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1"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annis/Downloads/"/>
    </mc:Choice>
  </mc:AlternateContent>
  <xr:revisionPtr revIDLastSave="0" documentId="13_ncr:1_{C8A58494-37DD-4243-B76C-54B6E70BD10E}" xr6:coauthVersionLast="46" xr6:coauthVersionMax="46" xr10:uidLastSave="{00000000-0000-0000-0000-000000000000}"/>
  <bookViews>
    <workbookView xWindow="0" yWindow="520" windowWidth="38400" windowHeight="19640" activeTab="2" xr2:uid="{00000000-000D-0000-FFFF-FFFF00000000}"/>
  </bookViews>
  <sheets>
    <sheet name="WebOfScience" sheetId="1" r:id="rId1"/>
    <sheet name="PsychInfo" sheetId="2" r:id="rId2"/>
    <sheet name="Combined" sheetId="3" r:id="rId3"/>
    <sheet name="SearchTerms" sheetId="4"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 i="3" l="1"/>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2" i="3"/>
  <c r="R478" i="3"/>
  <c r="R477" i="3"/>
  <c r="R476" i="3"/>
  <c r="R475" i="3"/>
  <c r="R474" i="3"/>
  <c r="R473" i="3"/>
  <c r="R472" i="3"/>
  <c r="R471" i="3"/>
  <c r="R470" i="3"/>
  <c r="R469" i="3"/>
  <c r="R468" i="3"/>
  <c r="R467" i="3"/>
  <c r="R466" i="3"/>
  <c r="R465" i="3"/>
  <c r="R464" i="3"/>
  <c r="R463" i="3"/>
  <c r="R462" i="3"/>
  <c r="R461" i="3"/>
  <c r="R460" i="3"/>
  <c r="R459" i="3"/>
  <c r="R458" i="3"/>
  <c r="R457" i="3"/>
  <c r="R456" i="3"/>
  <c r="R455" i="3"/>
  <c r="R454" i="3"/>
  <c r="R453" i="3"/>
  <c r="R452" i="3"/>
  <c r="R451" i="3"/>
  <c r="R450" i="3"/>
  <c r="R449" i="3"/>
  <c r="R448" i="3"/>
  <c r="R447" i="3"/>
  <c r="R446" i="3"/>
  <c r="R445" i="3"/>
  <c r="R444" i="3"/>
  <c r="R443" i="3"/>
  <c r="R442" i="3"/>
  <c r="R441" i="3"/>
  <c r="R440" i="3"/>
  <c r="R439" i="3"/>
  <c r="R438" i="3"/>
  <c r="R437" i="3"/>
  <c r="R436" i="3"/>
  <c r="R435" i="3"/>
  <c r="R434" i="3"/>
  <c r="R433" i="3"/>
  <c r="R432" i="3"/>
  <c r="R431" i="3"/>
  <c r="R430" i="3"/>
  <c r="R429" i="3"/>
  <c r="R428" i="3"/>
  <c r="R427" i="3"/>
  <c r="R426" i="3"/>
  <c r="R425" i="3"/>
  <c r="R424" i="3"/>
  <c r="R423" i="3"/>
  <c r="R422" i="3"/>
  <c r="R421" i="3"/>
  <c r="R420" i="3"/>
  <c r="R419" i="3"/>
  <c r="R418" i="3"/>
  <c r="R417" i="3"/>
  <c r="R416" i="3"/>
  <c r="R415" i="3"/>
  <c r="R414" i="3"/>
  <c r="R413" i="3"/>
  <c r="R412" i="3"/>
  <c r="R411" i="3"/>
  <c r="R410" i="3"/>
  <c r="R409" i="3"/>
  <c r="R408" i="3"/>
  <c r="R407" i="3"/>
  <c r="R406" i="3"/>
  <c r="R405" i="3"/>
  <c r="R404" i="3"/>
  <c r="R403" i="3"/>
  <c r="R402" i="3"/>
  <c r="R401" i="3"/>
  <c r="R400" i="3"/>
  <c r="R399" i="3"/>
  <c r="R398" i="3"/>
  <c r="R397" i="3"/>
  <c r="R396" i="3"/>
  <c r="R395" i="3"/>
  <c r="R394" i="3"/>
  <c r="R393" i="3"/>
  <c r="R392" i="3"/>
  <c r="R391" i="3"/>
  <c r="R390" i="3"/>
  <c r="R389" i="3"/>
  <c r="R388" i="3"/>
  <c r="R387" i="3"/>
  <c r="R386" i="3"/>
  <c r="R385" i="3"/>
  <c r="R384" i="3"/>
  <c r="R383" i="3"/>
  <c r="R382" i="3"/>
  <c r="R381" i="3"/>
  <c r="R380" i="3"/>
  <c r="R379" i="3"/>
  <c r="R378" i="3"/>
  <c r="R377" i="3"/>
  <c r="R376" i="3"/>
  <c r="R375" i="3"/>
  <c r="R374" i="3"/>
  <c r="R373" i="3"/>
  <c r="R372" i="3"/>
  <c r="R371" i="3"/>
  <c r="R370" i="3"/>
  <c r="R369" i="3"/>
  <c r="R368" i="3"/>
  <c r="R367" i="3"/>
  <c r="R366" i="3"/>
  <c r="R365" i="3"/>
  <c r="R364" i="3"/>
  <c r="R363" i="3"/>
  <c r="R362" i="3"/>
  <c r="R361" i="3"/>
  <c r="R360" i="3"/>
  <c r="R359" i="3"/>
  <c r="R358" i="3"/>
  <c r="R357" i="3"/>
  <c r="R356" i="3"/>
  <c r="R355" i="3"/>
  <c r="R354" i="3"/>
  <c r="R353" i="3"/>
  <c r="R352" i="3"/>
  <c r="R351" i="3"/>
  <c r="R350" i="3"/>
  <c r="R349" i="3"/>
  <c r="R348" i="3"/>
  <c r="R347" i="3"/>
  <c r="R346" i="3"/>
  <c r="R345" i="3"/>
  <c r="R344" i="3"/>
  <c r="R343" i="3"/>
  <c r="R342" i="3"/>
  <c r="R341" i="3"/>
  <c r="R340" i="3"/>
  <c r="R339" i="3"/>
  <c r="R338" i="3"/>
  <c r="R337" i="3"/>
  <c r="R336" i="3"/>
  <c r="R335" i="3"/>
  <c r="R334" i="3"/>
  <c r="R333" i="3"/>
  <c r="R332" i="3"/>
  <c r="R331" i="3"/>
  <c r="R330" i="3"/>
  <c r="R329" i="3"/>
  <c r="R328" i="3"/>
  <c r="R327" i="3"/>
  <c r="R326" i="3"/>
  <c r="R325" i="3"/>
  <c r="R324" i="3"/>
  <c r="R323" i="3"/>
  <c r="R322" i="3"/>
  <c r="R321" i="3"/>
  <c r="R320" i="3"/>
  <c r="R319" i="3"/>
  <c r="R318" i="3"/>
  <c r="R317" i="3"/>
  <c r="R316" i="3"/>
  <c r="R315" i="3"/>
  <c r="R314" i="3"/>
  <c r="R313" i="3"/>
  <c r="R312" i="3"/>
  <c r="R311" i="3"/>
  <c r="R310" i="3"/>
  <c r="R309" i="3"/>
  <c r="R308" i="3"/>
  <c r="R307" i="3"/>
  <c r="R306" i="3"/>
  <c r="R305" i="3"/>
  <c r="R304" i="3"/>
  <c r="R303" i="3"/>
  <c r="R302" i="3"/>
  <c r="R301" i="3"/>
  <c r="R300" i="3"/>
  <c r="R299" i="3"/>
  <c r="R298" i="3"/>
  <c r="R297" i="3"/>
  <c r="R296" i="3"/>
  <c r="R295" i="3"/>
  <c r="R294" i="3"/>
  <c r="R293" i="3"/>
  <c r="R292" i="3"/>
  <c r="R291" i="3"/>
  <c r="R290" i="3"/>
  <c r="R289" i="3"/>
  <c r="R288" i="3"/>
  <c r="R287" i="3"/>
  <c r="R286" i="3"/>
  <c r="R285" i="3"/>
  <c r="R284" i="3"/>
  <c r="R283" i="3"/>
  <c r="R282" i="3"/>
  <c r="R281" i="3"/>
  <c r="R280" i="3"/>
  <c r="R279" i="3"/>
  <c r="R278" i="3"/>
  <c r="R277" i="3"/>
  <c r="R276" i="3"/>
  <c r="R275" i="3"/>
  <c r="R274" i="3"/>
  <c r="R273" i="3"/>
  <c r="R272" i="3"/>
  <c r="R271" i="3"/>
  <c r="R270" i="3"/>
  <c r="R269" i="3"/>
  <c r="R268" i="3"/>
  <c r="R267" i="3"/>
  <c r="R266" i="3"/>
  <c r="R265" i="3"/>
  <c r="R264" i="3"/>
  <c r="R263" i="3"/>
  <c r="Q472" i="3"/>
  <c r="Q466" i="3"/>
  <c r="Q462" i="3"/>
  <c r="Q461" i="3"/>
  <c r="Q458" i="3"/>
  <c r="Q454" i="3"/>
  <c r="Q446" i="3"/>
  <c r="Q445" i="3"/>
  <c r="Q441" i="3"/>
  <c r="Q439" i="3"/>
  <c r="Q431" i="3"/>
  <c r="Q427" i="3"/>
  <c r="Q420" i="3"/>
  <c r="Q412" i="3"/>
  <c r="Q408" i="3"/>
  <c r="Q406" i="3"/>
  <c r="Q395" i="3"/>
  <c r="Q393" i="3"/>
  <c r="Q392" i="3"/>
  <c r="Q390" i="3"/>
  <c r="Q386" i="3"/>
  <c r="Q377" i="3"/>
  <c r="Q376" i="3"/>
  <c r="Q375" i="3"/>
  <c r="Q371" i="3"/>
  <c r="Q369" i="3"/>
  <c r="Q367" i="3"/>
  <c r="Q365" i="3"/>
  <c r="Q364" i="3"/>
  <c r="Q363" i="3"/>
  <c r="Q356" i="3"/>
  <c r="Q347" i="3"/>
  <c r="Q344" i="3"/>
  <c r="Q342" i="3"/>
  <c r="Q338" i="3"/>
  <c r="Q335" i="3"/>
  <c r="Q333" i="3"/>
  <c r="Q328" i="3"/>
  <c r="Q326" i="3"/>
  <c r="Q319" i="3"/>
  <c r="Q318" i="3"/>
  <c r="Q317" i="3"/>
  <c r="Q316" i="3"/>
  <c r="Q314" i="3"/>
  <c r="Q312" i="3"/>
  <c r="Q308" i="3"/>
  <c r="Q307" i="3"/>
  <c r="Q301" i="3"/>
  <c r="Q296" i="3"/>
  <c r="Q295" i="3"/>
  <c r="Q294" i="3"/>
  <c r="Q292" i="3"/>
  <c r="Q290" i="3"/>
  <c r="Q288" i="3"/>
  <c r="Q287" i="3"/>
  <c r="Q281" i="3"/>
  <c r="Q280" i="3"/>
  <c r="Q279" i="3"/>
  <c r="Q276" i="3"/>
  <c r="Q275" i="3"/>
  <c r="Q263" i="3"/>
  <c r="O478" i="3"/>
  <c r="O477" i="3"/>
  <c r="O476" i="3"/>
  <c r="O475" i="3"/>
  <c r="O474" i="3"/>
  <c r="O473" i="3"/>
  <c r="O471" i="3"/>
  <c r="O470" i="3"/>
  <c r="O469" i="3"/>
  <c r="O468" i="3"/>
  <c r="O467" i="3"/>
  <c r="O465" i="3"/>
  <c r="O464" i="3"/>
  <c r="O463" i="3"/>
  <c r="O460" i="3"/>
  <c r="O459" i="3"/>
  <c r="O457" i="3"/>
  <c r="O456" i="3"/>
  <c r="O455" i="3"/>
  <c r="O454" i="3"/>
  <c r="O453" i="3"/>
  <c r="O452" i="3"/>
  <c r="O451" i="3"/>
  <c r="O450" i="3"/>
  <c r="O449" i="3"/>
  <c r="O448" i="3"/>
  <c r="O447" i="3"/>
  <c r="O446" i="3"/>
  <c r="O444" i="3"/>
  <c r="O443" i="3"/>
  <c r="O442" i="3"/>
  <c r="O440" i="3"/>
  <c r="O439" i="3"/>
  <c r="O438" i="3"/>
  <c r="O437" i="3"/>
  <c r="O436" i="3"/>
  <c r="O435" i="3"/>
  <c r="O434" i="3"/>
  <c r="O433" i="3"/>
  <c r="O432" i="3"/>
  <c r="O431" i="3"/>
  <c r="O430" i="3"/>
  <c r="O429" i="3"/>
  <c r="O428" i="3"/>
  <c r="O427" i="3"/>
  <c r="O426" i="3"/>
  <c r="O425" i="3"/>
  <c r="O424" i="3"/>
  <c r="O423" i="3"/>
  <c r="O422" i="3"/>
  <c r="O421" i="3"/>
  <c r="O419" i="3"/>
  <c r="O418" i="3"/>
  <c r="O417" i="3"/>
  <c r="O416" i="3"/>
  <c r="O415" i="3"/>
  <c r="O414" i="3"/>
  <c r="O413" i="3"/>
  <c r="O411" i="3"/>
  <c r="O410" i="3"/>
  <c r="O409" i="3"/>
  <c r="O408" i="3"/>
  <c r="O407" i="3"/>
  <c r="O405" i="3"/>
  <c r="O404" i="3"/>
  <c r="O403" i="3"/>
  <c r="O402" i="3"/>
  <c r="O401" i="3"/>
  <c r="O400" i="3"/>
  <c r="O399" i="3"/>
  <c r="O398" i="3"/>
  <c r="O397" i="3"/>
  <c r="O396" i="3"/>
  <c r="O394" i="3"/>
  <c r="O393" i="3"/>
  <c r="O391" i="3"/>
  <c r="O389" i="3"/>
  <c r="O388" i="3"/>
  <c r="O387" i="3"/>
  <c r="O385" i="3"/>
  <c r="O384" i="3"/>
  <c r="O383" i="3"/>
  <c r="O382" i="3"/>
  <c r="O381" i="3"/>
  <c r="O380" i="3"/>
  <c r="O379" i="3"/>
  <c r="O378" i="3"/>
  <c r="O377" i="3"/>
  <c r="O374" i="3"/>
  <c r="O373" i="3"/>
  <c r="O372" i="3"/>
  <c r="O370" i="3"/>
  <c r="O369" i="3"/>
  <c r="O368" i="3"/>
  <c r="O367" i="3"/>
  <c r="O366" i="3"/>
  <c r="O365" i="3"/>
  <c r="O364" i="3"/>
  <c r="O362" i="3"/>
  <c r="O361" i="3"/>
  <c r="O360" i="3"/>
  <c r="O359" i="3"/>
  <c r="O358" i="3"/>
  <c r="O357" i="3"/>
  <c r="O356" i="3"/>
  <c r="O355" i="3"/>
  <c r="O354" i="3"/>
  <c r="O353" i="3"/>
  <c r="O352" i="3"/>
  <c r="O351" i="3"/>
  <c r="O350" i="3"/>
  <c r="O349" i="3"/>
  <c r="O348" i="3"/>
  <c r="O346" i="3"/>
  <c r="O345" i="3"/>
  <c r="O343" i="3"/>
  <c r="O341" i="3"/>
  <c r="O340" i="3"/>
  <c r="O339" i="3"/>
  <c r="O337" i="3"/>
  <c r="O336" i="3"/>
  <c r="O334" i="3"/>
  <c r="O332" i="3"/>
  <c r="O331" i="3"/>
  <c r="O330" i="3"/>
  <c r="O329" i="3"/>
  <c r="O328" i="3"/>
  <c r="O327" i="3"/>
  <c r="O325" i="3"/>
  <c r="O324" i="3"/>
  <c r="O323" i="3"/>
  <c r="O322" i="3"/>
  <c r="O321" i="3"/>
  <c r="O320" i="3"/>
  <c r="O319" i="3"/>
  <c r="O318" i="3"/>
  <c r="O316" i="3"/>
  <c r="O315" i="3"/>
  <c r="O314" i="3"/>
  <c r="O313" i="3"/>
  <c r="O311" i="3"/>
  <c r="O310" i="3"/>
  <c r="O309" i="3"/>
  <c r="O308" i="3"/>
  <c r="O307" i="3"/>
  <c r="O306" i="3"/>
  <c r="O305" i="3"/>
  <c r="O304" i="3"/>
  <c r="O303" i="3"/>
  <c r="O302" i="3"/>
  <c r="O300" i="3"/>
  <c r="O299" i="3"/>
  <c r="O298" i="3"/>
  <c r="O297" i="3"/>
  <c r="O294" i="3"/>
  <c r="O293" i="3"/>
  <c r="O291" i="3"/>
  <c r="O289" i="3"/>
  <c r="O288" i="3"/>
  <c r="O287" i="3"/>
  <c r="O286" i="3"/>
  <c r="O285" i="3"/>
  <c r="O284" i="3"/>
  <c r="O283" i="3"/>
  <c r="O282" i="3"/>
  <c r="O278" i="3"/>
  <c r="O277" i="3"/>
  <c r="O275" i="3"/>
  <c r="O274" i="3"/>
  <c r="O273" i="3"/>
  <c r="O272" i="3"/>
  <c r="O271" i="3"/>
  <c r="O270" i="3"/>
  <c r="O269" i="3"/>
  <c r="O268" i="3"/>
  <c r="O267" i="3"/>
  <c r="O266" i="3"/>
  <c r="O265" i="3"/>
  <c r="O264" i="3"/>
  <c r="O263" i="3"/>
  <c r="D2" i="2"/>
  <c r="E2" i="2"/>
  <c r="F2" i="2"/>
  <c r="D3" i="2"/>
  <c r="F3" i="2"/>
  <c r="D4" i="2"/>
  <c r="F4" i="2"/>
  <c r="D5" i="2"/>
  <c r="F5" i="2"/>
  <c r="D6" i="2"/>
  <c r="F6" i="2"/>
  <c r="D7" i="2"/>
  <c r="F7" i="2"/>
  <c r="D8" i="2"/>
  <c r="F8" i="2"/>
  <c r="D9" i="2"/>
  <c r="F9" i="2"/>
  <c r="D10" i="2"/>
  <c r="F10" i="2"/>
  <c r="D11" i="2"/>
  <c r="F11" i="2"/>
  <c r="D12" i="2"/>
  <c r="F12" i="2"/>
  <c r="D13" i="2"/>
  <c r="F13" i="2"/>
  <c r="D14" i="2"/>
  <c r="E14" i="2"/>
  <c r="F14" i="2"/>
  <c r="E15" i="2"/>
  <c r="F15" i="2"/>
  <c r="D16" i="2"/>
  <c r="F16" i="2"/>
  <c r="D17" i="2"/>
  <c r="F17" i="2"/>
  <c r="E18" i="2"/>
  <c r="F18" i="2"/>
  <c r="E19" i="2"/>
  <c r="F19" i="2"/>
  <c r="E20" i="2"/>
  <c r="F20" i="2"/>
  <c r="D21" i="2"/>
  <c r="F21" i="2"/>
  <c r="D22" i="2"/>
  <c r="F22" i="2"/>
  <c r="D23" i="2"/>
  <c r="F23" i="2"/>
  <c r="D24" i="2"/>
  <c r="F24" i="2"/>
  <c r="D25" i="2"/>
  <c r="F25" i="2"/>
  <c r="D26" i="2"/>
  <c r="E26" i="2"/>
  <c r="F26" i="2"/>
  <c r="D27" i="2"/>
  <c r="E27" i="2"/>
  <c r="F27" i="2"/>
  <c r="D28" i="2"/>
  <c r="F28" i="2"/>
  <c r="E29" i="2"/>
  <c r="F29" i="2"/>
  <c r="D30" i="2"/>
  <c r="F30" i="2"/>
  <c r="E31" i="2"/>
  <c r="F31" i="2"/>
  <c r="D32" i="2"/>
  <c r="F32" i="2"/>
  <c r="D33" i="2"/>
  <c r="E33" i="2"/>
  <c r="F33" i="2"/>
  <c r="E34" i="2"/>
  <c r="F34" i="2"/>
  <c r="E35" i="2"/>
  <c r="F35" i="2"/>
  <c r="D36" i="2"/>
  <c r="F36" i="2"/>
  <c r="D37" i="2"/>
  <c r="F37" i="2"/>
  <c r="D38" i="2"/>
  <c r="F38" i="2"/>
  <c r="D39" i="2"/>
  <c r="F39" i="2"/>
  <c r="E40" i="2"/>
  <c r="F40" i="2"/>
  <c r="D41" i="2"/>
  <c r="F41" i="2"/>
  <c r="D42" i="2"/>
  <c r="F42" i="2"/>
  <c r="D43" i="2"/>
  <c r="F43" i="2"/>
  <c r="D44" i="2"/>
  <c r="F44" i="2"/>
  <c r="D45" i="2"/>
  <c r="F45" i="2"/>
  <c r="D46" i="2"/>
  <c r="E46" i="2"/>
  <c r="F46" i="2"/>
  <c r="D47" i="2"/>
  <c r="E47" i="2"/>
  <c r="F47" i="2"/>
  <c r="D48" i="2"/>
  <c r="F48" i="2"/>
  <c r="D49" i="2"/>
  <c r="F49" i="2"/>
  <c r="D50" i="2"/>
  <c r="F50" i="2"/>
  <c r="E51" i="2"/>
  <c r="F51" i="2"/>
  <c r="D52" i="2"/>
  <c r="F52" i="2"/>
  <c r="D53" i="2"/>
  <c r="E53" i="2"/>
  <c r="F53" i="2"/>
  <c r="D54" i="2"/>
  <c r="F54" i="2"/>
  <c r="D55" i="2"/>
  <c r="E55" i="2"/>
  <c r="F55" i="2"/>
  <c r="E56" i="2"/>
  <c r="F56" i="2"/>
  <c r="D57" i="2"/>
  <c r="E57" i="2"/>
  <c r="F57" i="2"/>
  <c r="D58" i="2"/>
  <c r="E58" i="2"/>
  <c r="F58" i="2"/>
  <c r="D59" i="2"/>
  <c r="F59" i="2"/>
  <c r="D60" i="2"/>
  <c r="F60" i="2"/>
  <c r="D61" i="2"/>
  <c r="F61" i="2"/>
  <c r="D62" i="2"/>
  <c r="F62" i="2"/>
  <c r="D63" i="2"/>
  <c r="F63" i="2"/>
  <c r="D64" i="2"/>
  <c r="F64" i="2"/>
  <c r="E65" i="2"/>
  <c r="F65" i="2"/>
  <c r="D66" i="2"/>
  <c r="F66" i="2"/>
  <c r="D67" i="2"/>
  <c r="E67" i="2"/>
  <c r="F67" i="2"/>
  <c r="D68" i="2"/>
  <c r="F68" i="2"/>
  <c r="D69" i="2"/>
  <c r="F69" i="2"/>
  <c r="D70" i="2"/>
  <c r="F70" i="2"/>
  <c r="D71" i="2"/>
  <c r="F71" i="2"/>
  <c r="E72" i="2"/>
  <c r="F72" i="2"/>
  <c r="D73" i="2"/>
  <c r="F73" i="2"/>
  <c r="E74" i="2"/>
  <c r="F74" i="2"/>
  <c r="D75" i="2"/>
  <c r="F75" i="2"/>
  <c r="D76" i="2"/>
  <c r="F76" i="2"/>
  <c r="E77" i="2"/>
  <c r="F77" i="2"/>
  <c r="D78" i="2"/>
  <c r="F78" i="2"/>
  <c r="D79" i="2"/>
  <c r="F79" i="2"/>
  <c r="D80" i="2"/>
  <c r="F80" i="2"/>
  <c r="E81" i="2"/>
  <c r="F81" i="2"/>
  <c r="D82" i="2"/>
  <c r="F82" i="2"/>
  <c r="E83" i="2"/>
  <c r="F83" i="2"/>
  <c r="D84" i="2"/>
  <c r="F84" i="2"/>
  <c r="D85" i="2"/>
  <c r="F85" i="2"/>
  <c r="E86" i="2"/>
  <c r="F86" i="2"/>
  <c r="D87" i="2"/>
  <c r="F87" i="2"/>
  <c r="D88" i="2"/>
  <c r="F88" i="2"/>
  <c r="D89" i="2"/>
  <c r="F89" i="2"/>
  <c r="D90" i="2"/>
  <c r="F90" i="2"/>
  <c r="D91" i="2"/>
  <c r="F91" i="2"/>
  <c r="D92" i="2"/>
  <c r="F92" i="2"/>
  <c r="D93" i="2"/>
  <c r="F93" i="2"/>
  <c r="D94" i="2"/>
  <c r="F94" i="2"/>
  <c r="D95" i="2"/>
  <c r="E95" i="2"/>
  <c r="F95" i="2"/>
  <c r="D96" i="2"/>
  <c r="F96" i="2"/>
  <c r="D97" i="2"/>
  <c r="F97" i="2"/>
  <c r="D98" i="2"/>
  <c r="F98" i="2"/>
  <c r="D99" i="2"/>
  <c r="F99" i="2"/>
  <c r="D100" i="2"/>
  <c r="F100" i="2"/>
  <c r="D101" i="2"/>
  <c r="F101" i="2"/>
  <c r="E102" i="2"/>
  <c r="F102" i="2"/>
  <c r="D103" i="2"/>
  <c r="E103" i="2"/>
  <c r="F103" i="2"/>
  <c r="D104" i="2"/>
  <c r="E104" i="2"/>
  <c r="F104" i="2"/>
  <c r="D105" i="2"/>
  <c r="F105" i="2"/>
  <c r="D106" i="2"/>
  <c r="E106" i="2"/>
  <c r="F106" i="2"/>
  <c r="D107" i="2"/>
  <c r="F107" i="2"/>
  <c r="D108" i="2"/>
  <c r="E108" i="2"/>
  <c r="F108" i="2"/>
  <c r="D109" i="2"/>
  <c r="F109" i="2"/>
  <c r="E110" i="2"/>
  <c r="F110" i="2"/>
  <c r="D111" i="2"/>
  <c r="F111" i="2"/>
  <c r="D112" i="2"/>
  <c r="F112" i="2"/>
  <c r="D113" i="2"/>
  <c r="F113" i="2"/>
  <c r="E114" i="2"/>
  <c r="F114" i="2"/>
  <c r="E115" i="2"/>
  <c r="F115" i="2"/>
  <c r="D116" i="2"/>
  <c r="E116" i="2"/>
  <c r="F116" i="2"/>
  <c r="D117" i="2"/>
  <c r="F117" i="2"/>
  <c r="D118" i="2"/>
  <c r="F118" i="2"/>
  <c r="D119" i="2"/>
  <c r="F119" i="2"/>
  <c r="D120" i="2"/>
  <c r="F120" i="2"/>
  <c r="D121" i="2"/>
  <c r="F121" i="2"/>
  <c r="D122" i="2"/>
  <c r="F122" i="2"/>
  <c r="D123" i="2"/>
  <c r="F123" i="2"/>
  <c r="D124" i="2"/>
  <c r="F124" i="2"/>
  <c r="E125" i="2"/>
  <c r="F125" i="2"/>
  <c r="D126" i="2"/>
  <c r="F126" i="2"/>
  <c r="D127" i="2"/>
  <c r="F127" i="2"/>
  <c r="D128" i="2"/>
  <c r="F128" i="2"/>
  <c r="E129" i="2"/>
  <c r="F129" i="2"/>
  <c r="D130" i="2"/>
  <c r="F130" i="2"/>
  <c r="E131" i="2"/>
  <c r="F131" i="2"/>
  <c r="D132" i="2"/>
  <c r="E132" i="2"/>
  <c r="F132" i="2"/>
  <c r="D133" i="2"/>
  <c r="F133" i="2"/>
  <c r="E134" i="2"/>
  <c r="F134" i="2"/>
  <c r="D135" i="2"/>
  <c r="F135" i="2"/>
  <c r="D136" i="2"/>
  <c r="F136" i="2"/>
  <c r="D137" i="2"/>
  <c r="F137" i="2"/>
  <c r="D138" i="2"/>
  <c r="F138" i="2"/>
  <c r="D139" i="2"/>
  <c r="F139" i="2"/>
  <c r="D140" i="2"/>
  <c r="F140" i="2"/>
  <c r="D141" i="2"/>
  <c r="F141" i="2"/>
  <c r="D142" i="2"/>
  <c r="F142" i="2"/>
  <c r="D143" i="2"/>
  <c r="F143" i="2"/>
  <c r="D144" i="2"/>
  <c r="F144" i="2"/>
  <c r="E145" i="2"/>
  <c r="F145" i="2"/>
  <c r="D146" i="2"/>
  <c r="F146" i="2"/>
  <c r="D147" i="2"/>
  <c r="E147" i="2"/>
  <c r="F147" i="2"/>
  <c r="D148" i="2"/>
  <c r="F148" i="2"/>
  <c r="D149" i="2"/>
  <c r="F149" i="2"/>
  <c r="D150" i="2"/>
  <c r="F150" i="2"/>
  <c r="E151" i="2"/>
  <c r="F151" i="2"/>
  <c r="D152" i="2"/>
  <c r="F152" i="2"/>
  <c r="D153" i="2"/>
  <c r="F153" i="2"/>
  <c r="D154" i="2"/>
  <c r="F154" i="2"/>
  <c r="D155" i="2"/>
  <c r="F155" i="2"/>
  <c r="D156" i="2"/>
  <c r="F156" i="2"/>
  <c r="D157" i="2"/>
  <c r="F157" i="2"/>
  <c r="D158" i="2"/>
  <c r="F158" i="2"/>
  <c r="E159" i="2"/>
  <c r="F159" i="2"/>
  <c r="D160" i="2"/>
  <c r="F160" i="2"/>
  <c r="D161" i="2"/>
  <c r="F161" i="2"/>
  <c r="D162" i="2"/>
  <c r="F162" i="2"/>
  <c r="D163" i="2"/>
  <c r="F163" i="2"/>
  <c r="D164" i="2"/>
  <c r="F164" i="2"/>
  <c r="D165" i="2"/>
  <c r="F165" i="2"/>
  <c r="D166" i="2"/>
  <c r="E166" i="2"/>
  <c r="F166" i="2"/>
  <c r="D167" i="2"/>
  <c r="F167" i="2"/>
  <c r="D168" i="2"/>
  <c r="F168" i="2"/>
  <c r="D169" i="2"/>
  <c r="F169" i="2"/>
  <c r="D170" i="2"/>
  <c r="E170" i="2"/>
  <c r="F170" i="2"/>
  <c r="D171" i="2"/>
  <c r="F171" i="2"/>
  <c r="D172" i="2"/>
  <c r="F172" i="2"/>
  <c r="D173" i="2"/>
  <c r="F173" i="2"/>
  <c r="D174" i="2"/>
  <c r="F174" i="2"/>
  <c r="D175" i="2"/>
  <c r="F175" i="2"/>
  <c r="D176" i="2"/>
  <c r="F176" i="2"/>
  <c r="D177" i="2"/>
  <c r="F177" i="2"/>
  <c r="D178" i="2"/>
  <c r="E178" i="2"/>
  <c r="F178" i="2"/>
  <c r="D179" i="2"/>
  <c r="F179" i="2"/>
  <c r="E180" i="2"/>
  <c r="F180" i="2"/>
  <c r="D181" i="2"/>
  <c r="F181" i="2"/>
  <c r="D182" i="2"/>
  <c r="F182" i="2"/>
  <c r="D183" i="2"/>
  <c r="F183" i="2"/>
  <c r="E184" i="2"/>
  <c r="F184" i="2"/>
  <c r="D185" i="2"/>
  <c r="E185" i="2"/>
  <c r="F185" i="2"/>
  <c r="D186" i="2"/>
  <c r="F186" i="2"/>
  <c r="D187" i="2"/>
  <c r="F187" i="2"/>
  <c r="D188" i="2"/>
  <c r="F188" i="2"/>
  <c r="D189" i="2"/>
  <c r="F189" i="2"/>
  <c r="D190" i="2"/>
  <c r="F190" i="2"/>
  <c r="D191" i="2"/>
  <c r="F191" i="2"/>
  <c r="D192" i="2"/>
  <c r="F192" i="2"/>
  <c r="D193" i="2"/>
  <c r="E193" i="2"/>
  <c r="F193" i="2"/>
  <c r="D194" i="2"/>
  <c r="F194" i="2"/>
  <c r="D195" i="2"/>
  <c r="F195" i="2"/>
  <c r="D196" i="2"/>
  <c r="F196" i="2"/>
  <c r="E197" i="2"/>
  <c r="F197" i="2"/>
  <c r="D198" i="2"/>
  <c r="F198" i="2"/>
  <c r="D199" i="2"/>
  <c r="F199" i="2"/>
  <c r="E200" i="2"/>
  <c r="F200" i="2"/>
  <c r="E201" i="2"/>
  <c r="F201" i="2"/>
  <c r="D202" i="2"/>
  <c r="F202" i="2"/>
  <c r="D203" i="2"/>
  <c r="F203" i="2"/>
  <c r="D204" i="2"/>
  <c r="F204" i="2"/>
  <c r="E205" i="2"/>
  <c r="F205" i="2"/>
  <c r="D206" i="2"/>
  <c r="F206" i="2"/>
  <c r="D207" i="2"/>
  <c r="F207" i="2"/>
  <c r="D208" i="2"/>
  <c r="F208" i="2"/>
  <c r="D209" i="2"/>
  <c r="F209" i="2"/>
  <c r="D210" i="2"/>
  <c r="F210" i="2"/>
  <c r="E211" i="2"/>
  <c r="F211" i="2"/>
  <c r="D212" i="2"/>
  <c r="F212" i="2"/>
  <c r="D213" i="2"/>
  <c r="F213" i="2"/>
  <c r="D214" i="2"/>
  <c r="F214" i="2"/>
  <c r="D215" i="2"/>
  <c r="F215" i="2"/>
  <c r="D216" i="2"/>
  <c r="F216" i="2"/>
  <c r="D217" i="2"/>
  <c r="F217" i="2"/>
  <c r="G115" i="3" a="1"/>
  <c r="G243" i="3" a="1"/>
  <c r="G371" i="3" a="1"/>
  <c r="G389" i="3" a="1"/>
  <c r="G124" i="3" a="1"/>
  <c r="G252" i="3" a="1"/>
  <c r="G380" i="3" a="1"/>
  <c r="G237" i="3" a="1"/>
  <c r="G5" i="3" a="1"/>
  <c r="G133" i="3" a="1"/>
  <c r="G46" i="3" a="1"/>
  <c r="G174" i="3" a="1"/>
  <c r="G302" i="3" a="1"/>
  <c r="G430" i="3" a="1"/>
  <c r="G55" i="3" a="1"/>
  <c r="G183" i="3" a="1"/>
  <c r="G311" i="3" a="1"/>
  <c r="G447" i="3" a="1"/>
  <c r="G88" i="3" a="1"/>
  <c r="G216" i="3" a="1"/>
  <c r="G344" i="3" a="1"/>
  <c r="G421" i="3" a="1"/>
  <c r="G97" i="3" a="1"/>
  <c r="G225" i="3" a="1"/>
  <c r="G361" i="3" a="1"/>
  <c r="G317" i="3" a="1"/>
  <c r="G122" i="3" a="1"/>
  <c r="G250" i="3" a="1"/>
  <c r="G386" i="3" a="1"/>
  <c r="G53" i="3" a="1"/>
  <c r="G359" i="3" a="1"/>
  <c r="G145" i="3" a="1"/>
  <c r="G298" i="3" a="1"/>
  <c r="G111" i="3" a="1"/>
  <c r="G144" i="3" a="1"/>
  <c r="G417" i="3" a="1"/>
  <c r="G425" i="3" a="1"/>
  <c r="G330" i="3" a="1"/>
  <c r="G390" i="3" a="1"/>
  <c r="G429" i="3" a="1"/>
  <c r="G407" i="3" a="1"/>
  <c r="G477" i="3" a="1"/>
  <c r="G22" i="3" a="1"/>
  <c r="G64" i="3" a="1"/>
  <c r="G293" i="3" a="1"/>
  <c r="G364" i="3" a="1"/>
  <c r="G167" i="3" a="1"/>
  <c r="G234" i="3" a="1"/>
  <c r="G166" i="3" a="1"/>
  <c r="G123" i="3" a="1"/>
  <c r="G251" i="3" a="1"/>
  <c r="G379" i="3" a="1"/>
  <c r="G4" i="3" a="1"/>
  <c r="G132" i="3" a="1"/>
  <c r="G260" i="3" a="1"/>
  <c r="G388" i="3" a="1"/>
  <c r="G261" i="3" a="1"/>
  <c r="G13" i="3" a="1"/>
  <c r="G141" i="3" a="1"/>
  <c r="G54" i="3" a="1"/>
  <c r="G182" i="3" a="1"/>
  <c r="G310" i="3" a="1"/>
  <c r="G438" i="3" a="1"/>
  <c r="G63" i="3" a="1"/>
  <c r="G191" i="3" a="1"/>
  <c r="G319" i="3" a="1"/>
  <c r="G455" i="3" a="1"/>
  <c r="G96" i="3" a="1"/>
  <c r="G224" i="3" a="1"/>
  <c r="G352" i="3" a="1"/>
  <c r="G297" i="3" a="1"/>
  <c r="G105" i="3" a="1"/>
  <c r="G233" i="3" a="1"/>
  <c r="G369" i="3" a="1"/>
  <c r="G469" i="3" a="1"/>
  <c r="G130" i="3" a="1"/>
  <c r="G258" i="3" a="1"/>
  <c r="G394" i="3" a="1"/>
  <c r="G402" i="3" a="1"/>
  <c r="G410" i="3" a="1"/>
  <c r="G181" i="3" a="1"/>
  <c r="G103" i="3" a="1"/>
  <c r="G264" i="3" a="1"/>
  <c r="G170" i="3" a="1"/>
  <c r="G450" i="3" a="1"/>
  <c r="G466" i="3" a="1"/>
  <c r="G15" i="3" a="1"/>
  <c r="G101" i="3" a="1"/>
  <c r="G23" i="3" a="1"/>
  <c r="G312" i="3" a="1"/>
  <c r="G445" i="3" a="1"/>
  <c r="G456" i="3" a="1"/>
  <c r="G117" i="3" a="1"/>
  <c r="G464" i="3" a="1"/>
  <c r="G125" i="3" a="1"/>
  <c r="G378" i="3" a="1"/>
  <c r="G3" i="3" a="1"/>
  <c r="G131" i="3" a="1"/>
  <c r="G259" i="3" a="1"/>
  <c r="G387" i="3" a="1"/>
  <c r="G12" i="3" a="1"/>
  <c r="G140" i="3" a="1"/>
  <c r="G268" i="3" a="1"/>
  <c r="G396" i="3" a="1"/>
  <c r="G269" i="3" a="1"/>
  <c r="G21" i="3" a="1"/>
  <c r="G149" i="3" a="1"/>
  <c r="G62" i="3" a="1"/>
  <c r="G190" i="3" a="1"/>
  <c r="G318" i="3" a="1"/>
  <c r="G446" i="3" a="1"/>
  <c r="G71" i="3" a="1"/>
  <c r="G199" i="3" a="1"/>
  <c r="G327" i="3" a="1"/>
  <c r="G463" i="3" a="1"/>
  <c r="G104" i="3" a="1"/>
  <c r="G232" i="3" a="1"/>
  <c r="G360" i="3" a="1"/>
  <c r="G433" i="3" a="1"/>
  <c r="G113" i="3" a="1"/>
  <c r="G241" i="3" a="1"/>
  <c r="G377" i="3" a="1"/>
  <c r="G10" i="3" a="1"/>
  <c r="G138" i="3" a="1"/>
  <c r="G266" i="3" a="1"/>
  <c r="G282" i="3" a="1"/>
  <c r="G94" i="3" a="1"/>
  <c r="G409" i="3" a="1"/>
  <c r="G16" i="3" a="1"/>
  <c r="G281" i="3" a="1"/>
  <c r="G58" i="3" a="1"/>
  <c r="G202" i="3" a="1"/>
  <c r="G271" i="3" a="1"/>
  <c r="G14" i="3" a="1"/>
  <c r="G279" i="3" a="1"/>
  <c r="G65" i="3" a="1"/>
  <c r="G228" i="3" a="1"/>
  <c r="G73" i="3" a="1"/>
  <c r="G355" i="3" a="1"/>
  <c r="G72" i="3" a="1"/>
  <c r="G244" i="3" a="1"/>
  <c r="G11" i="3" a="1"/>
  <c r="G139" i="3" a="1"/>
  <c r="G267" i="3" a="1"/>
  <c r="G395" i="3" a="1"/>
  <c r="G20" i="3" a="1"/>
  <c r="G148" i="3" a="1"/>
  <c r="G276" i="3" a="1"/>
  <c r="G404" i="3" a="1"/>
  <c r="G277" i="3" a="1"/>
  <c r="G29" i="3" a="1"/>
  <c r="G157" i="3" a="1"/>
  <c r="G70" i="3" a="1"/>
  <c r="G198" i="3" a="1"/>
  <c r="G326" i="3" a="1"/>
  <c r="G454" i="3" a="1"/>
  <c r="G79" i="3" a="1"/>
  <c r="G207" i="3" a="1"/>
  <c r="G335" i="3" a="1"/>
  <c r="G471" i="3" a="1"/>
  <c r="G112" i="3" a="1"/>
  <c r="G240" i="3" a="1"/>
  <c r="G368" i="3" a="1"/>
  <c r="G465" i="3" a="1"/>
  <c r="G121" i="3" a="1"/>
  <c r="G249" i="3" a="1"/>
  <c r="G385" i="3" a="1"/>
  <c r="G18" i="3" a="1"/>
  <c r="G146" i="3" a="1"/>
  <c r="G274" i="3" a="1"/>
  <c r="G222" i="3" a="1"/>
  <c r="G8" i="3" a="1"/>
  <c r="G273" i="3" a="1"/>
  <c r="G358" i="3" a="1"/>
  <c r="G25" i="3" a="1"/>
  <c r="G442" i="3" a="1"/>
  <c r="G458" i="3" a="1"/>
  <c r="G313" i="3" a="1"/>
  <c r="G143" i="3" a="1"/>
  <c r="G220" i="3" a="1"/>
  <c r="G473" i="3" a="1"/>
  <c r="G278" i="3" a="1"/>
  <c r="G362" i="3" a="1"/>
  <c r="G99" i="3" a="1"/>
  <c r="G221" i="3" a="1"/>
  <c r="G200" i="3" a="1"/>
  <c r="G229" i="3" a="1"/>
  <c r="G19" i="3" a="1"/>
  <c r="G147" i="3" a="1"/>
  <c r="G275" i="3" a="1"/>
  <c r="G403" i="3" a="1"/>
  <c r="G28" i="3" a="1"/>
  <c r="G156" i="3" a="1"/>
  <c r="G284" i="3" a="1"/>
  <c r="G412" i="3" a="1"/>
  <c r="G285" i="3" a="1"/>
  <c r="G37" i="3" a="1"/>
  <c r="G165" i="3" a="1"/>
  <c r="G78" i="3" a="1"/>
  <c r="G206" i="3" a="1"/>
  <c r="G334" i="3" a="1"/>
  <c r="G462" i="3" a="1"/>
  <c r="G87" i="3" a="1"/>
  <c r="G215" i="3" a="1"/>
  <c r="G343" i="3" a="1"/>
  <c r="G397" i="3" a="1"/>
  <c r="G120" i="3" a="1"/>
  <c r="G248" i="3" a="1"/>
  <c r="G376" i="3" a="1"/>
  <c r="G373" i="3" a="1"/>
  <c r="G129" i="3" a="1"/>
  <c r="G257" i="3" a="1"/>
  <c r="G393" i="3" a="1"/>
  <c r="G26" i="3" a="1"/>
  <c r="G154" i="3" a="1"/>
  <c r="G418" i="3" a="1"/>
  <c r="G478" i="3" a="1"/>
  <c r="G17" i="3" a="1"/>
  <c r="G434" i="3" a="1"/>
  <c r="G239" i="3" a="1"/>
  <c r="G272" i="3" a="1"/>
  <c r="G50" i="3" a="1"/>
  <c r="G289" i="3" a="1"/>
  <c r="G449" i="3" a="1"/>
  <c r="G176" i="3" a="1"/>
  <c r="G309" i="3" a="1"/>
  <c r="G92" i="3" a="1"/>
  <c r="G218" i="3" a="1"/>
  <c r="G415" i="3" a="1"/>
  <c r="G98" i="3" a="1"/>
  <c r="G39" i="3" a="1"/>
  <c r="G439" i="3" a="1"/>
  <c r="G89" i="3" a="1"/>
  <c r="G27" i="3" a="1"/>
  <c r="G155" i="3" a="1"/>
  <c r="G283" i="3" a="1"/>
  <c r="G411" i="3" a="1"/>
  <c r="G36" i="3" a="1"/>
  <c r="G164" i="3" a="1"/>
  <c r="G292" i="3" a="1"/>
  <c r="G420" i="3" a="1"/>
  <c r="G301" i="3" a="1"/>
  <c r="G45" i="3" a="1"/>
  <c r="G173" i="3" a="1"/>
  <c r="G86" i="3" a="1"/>
  <c r="G214" i="3" a="1"/>
  <c r="G342" i="3" a="1"/>
  <c r="G470" i="3" a="1"/>
  <c r="G95" i="3" a="1"/>
  <c r="G223" i="3" a="1"/>
  <c r="G351" i="3" a="1"/>
  <c r="G384" i="3" a="1"/>
  <c r="G128" i="3" a="1"/>
  <c r="G256" i="3" a="1"/>
  <c r="G392" i="3" a="1"/>
  <c r="G9" i="3" a="1"/>
  <c r="G137" i="3" a="1"/>
  <c r="G265" i="3" a="1"/>
  <c r="G401" i="3" a="1"/>
  <c r="G34" i="3" a="1"/>
  <c r="G162" i="3" a="1"/>
  <c r="G290" i="3" a="1"/>
  <c r="G426" i="3" a="1"/>
  <c r="G172" i="3" a="1"/>
  <c r="G136" i="3" a="1"/>
  <c r="G230" i="3" a="1"/>
  <c r="G153" i="3" a="1"/>
  <c r="G314" i="3" a="1"/>
  <c r="G432" i="3" a="1"/>
  <c r="G185" i="3" a="1"/>
  <c r="G211" i="3" a="1"/>
  <c r="G406" i="3" a="1"/>
  <c r="G365" i="3" a="1"/>
  <c r="G453" i="3" a="1"/>
  <c r="G328" i="3" a="1"/>
  <c r="G461" i="3" a="1"/>
  <c r="G35" i="3" a="1"/>
  <c r="G163" i="3" a="1"/>
  <c r="G291" i="3" a="1"/>
  <c r="G419" i="3" a="1"/>
  <c r="G44" i="3" a="1"/>
  <c r="G300" i="3" a="1"/>
  <c r="G436" i="3" a="1"/>
  <c r="G325" i="3" a="1"/>
  <c r="G350" i="3" a="1"/>
  <c r="G231" i="3" a="1"/>
  <c r="G400" i="3" a="1"/>
  <c r="G42" i="3" a="1"/>
  <c r="G437" i="3" a="1"/>
  <c r="G408" i="3" a="1"/>
  <c r="G306" i="3" a="1"/>
  <c r="G186" i="3" a="1"/>
  <c r="G49" i="3" a="1"/>
  <c r="G304" i="3" a="1"/>
  <c r="G457" i="3" a="1"/>
  <c r="G253" i="3" a="1"/>
  <c r="G56" i="3" a="1"/>
  <c r="G356" i="3" a="1"/>
  <c r="G192" i="3" a="1"/>
  <c r="G158" i="3" a="1"/>
  <c r="G106" i="3" a="1"/>
  <c r="G422" i="3" a="1"/>
  <c r="G474" i="3" a="1"/>
  <c r="G43" i="3" a="1"/>
  <c r="G171" i="3" a="1"/>
  <c r="G299" i="3" a="1"/>
  <c r="G427" i="3" a="1"/>
  <c r="G52" i="3" a="1"/>
  <c r="G180" i="3" a="1"/>
  <c r="G308" i="3" a="1"/>
  <c r="G444" i="3" a="1"/>
  <c r="G333" i="3" a="1"/>
  <c r="G61" i="3" a="1"/>
  <c r="G189" i="3" a="1"/>
  <c r="G102" i="3" a="1"/>
  <c r="G367" i="3" a="1"/>
  <c r="G178" i="3" a="1"/>
  <c r="G399" i="3" a="1"/>
  <c r="G338" i="3" a="1"/>
  <c r="G142" i="3" a="1"/>
  <c r="G151" i="3" a="1"/>
  <c r="G448" i="3" a="1"/>
  <c r="G109" i="3" a="1"/>
  <c r="G320" i="3" a="1"/>
  <c r="G286" i="3" a="1"/>
  <c r="G346" i="3" a="1"/>
  <c r="G38" i="3" a="1"/>
  <c r="G242" i="3" a="1"/>
  <c r="G51" i="3" a="1"/>
  <c r="G179" i="3" a="1"/>
  <c r="G307" i="3" a="1"/>
  <c r="G435" i="3" a="1"/>
  <c r="G60" i="3" a="1"/>
  <c r="G188" i="3" a="1"/>
  <c r="G316" i="3" a="1"/>
  <c r="G452" i="3" a="1"/>
  <c r="G341" i="3" a="1"/>
  <c r="G69" i="3" a="1"/>
  <c r="G197" i="3" a="1"/>
  <c r="G110" i="3" a="1"/>
  <c r="G238" i="3" a="1"/>
  <c r="G366" i="3" a="1"/>
  <c r="G423" i="3" a="1"/>
  <c r="G119" i="3" a="1"/>
  <c r="G247" i="3" a="1"/>
  <c r="G375" i="3" a="1"/>
  <c r="G24" i="3" a="1"/>
  <c r="G152" i="3" a="1"/>
  <c r="G280" i="3" a="1"/>
  <c r="G416" i="3" a="1"/>
  <c r="G33" i="3" a="1"/>
  <c r="G161" i="3" a="1"/>
  <c r="G177" i="3" a="1"/>
  <c r="G48" i="3" a="1"/>
  <c r="G82" i="3" a="1"/>
  <c r="G348" i="3" a="1"/>
  <c r="G193" i="3" a="1"/>
  <c r="G150" i="3" a="1"/>
  <c r="G414" i="3" a="1"/>
  <c r="G370" i="3" a="1"/>
  <c r="G80" i="3" a="1"/>
  <c r="G336" i="3" a="1"/>
  <c r="G59" i="3" a="1"/>
  <c r="G187" i="3" a="1"/>
  <c r="G315" i="3" a="1"/>
  <c r="G443" i="3" a="1"/>
  <c r="G68" i="3" a="1"/>
  <c r="G196" i="3" a="1"/>
  <c r="G324" i="3" a="1"/>
  <c r="G460" i="3" a="1"/>
  <c r="G349" i="3" a="1"/>
  <c r="G77" i="3" a="1"/>
  <c r="G205" i="3" a="1"/>
  <c r="G118" i="3" a="1"/>
  <c r="G246" i="3" a="1"/>
  <c r="G374" i="3" a="1"/>
  <c r="G405" i="3" a="1"/>
  <c r="G127" i="3" a="1"/>
  <c r="G255" i="3" a="1"/>
  <c r="G383" i="3" a="1"/>
  <c r="G32" i="3" a="1"/>
  <c r="G160" i="3" a="1"/>
  <c r="G288" i="3" a="1"/>
  <c r="G424" i="3" a="1"/>
  <c r="G41" i="3" a="1"/>
  <c r="G169" i="3" a="1"/>
  <c r="G305" i="3" a="1"/>
  <c r="G441" i="3" a="1"/>
  <c r="G66" i="3" a="1"/>
  <c r="G194" i="3" a="1"/>
  <c r="G322" i="3" a="1"/>
  <c r="G296" i="3" a="1"/>
  <c r="G440" i="3" a="1"/>
  <c r="G210" i="3" a="1"/>
  <c r="G467" i="3" a="1"/>
  <c r="G354" i="3" a="1"/>
  <c r="G159" i="3" a="1"/>
  <c r="G295" i="3" a="1"/>
  <c r="G303" i="3" a="1"/>
  <c r="G353" i="3" a="1"/>
  <c r="G67" i="3" a="1"/>
  <c r="G195" i="3" a="1"/>
  <c r="G323" i="3" a="1"/>
  <c r="G451" i="3" a="1"/>
  <c r="G76" i="3" a="1"/>
  <c r="G204" i="3" a="1"/>
  <c r="G332" i="3" a="1"/>
  <c r="G468" i="3" a="1"/>
  <c r="G381" i="3" a="1"/>
  <c r="G85" i="3" a="1"/>
  <c r="G357" i="3" a="1"/>
  <c r="G126" i="3" a="1"/>
  <c r="G254" i="3" a="1"/>
  <c r="G382" i="3" a="1"/>
  <c r="G7" i="3" a="1"/>
  <c r="G135" i="3" a="1"/>
  <c r="G263" i="3" a="1"/>
  <c r="G391" i="3" a="1"/>
  <c r="G40" i="3" a="1"/>
  <c r="G168" i="3" a="1"/>
  <c r="G74" i="3" a="1"/>
  <c r="G57" i="3" a="1"/>
  <c r="G339" i="3" a="1"/>
  <c r="G329" i="3" a="1"/>
  <c r="G287" i="3" a="1"/>
  <c r="G226" i="3" a="1"/>
  <c r="G30" i="3" a="1"/>
  <c r="G209" i="3" a="1"/>
  <c r="G47" i="3" a="1"/>
  <c r="G472" i="3" a="1"/>
  <c r="G75" i="3" a="1"/>
  <c r="G203" i="3" a="1"/>
  <c r="G331" i="3" a="1"/>
  <c r="G459" i="3" a="1"/>
  <c r="G84" i="3" a="1"/>
  <c r="G212" i="3" a="1"/>
  <c r="G340" i="3" a="1"/>
  <c r="G476" i="3" a="1"/>
  <c r="G413" i="3" a="1"/>
  <c r="G93" i="3" a="1"/>
  <c r="G6" i="3" a="1"/>
  <c r="G134" i="3" a="1"/>
  <c r="G262" i="3" a="1"/>
  <c r="G321" i="3" a="1"/>
  <c r="G270" i="3" a="1"/>
  <c r="G398" i="3" a="1"/>
  <c r="G184" i="3" a="1"/>
  <c r="G100" i="3" a="1"/>
  <c r="G201" i="3" a="1"/>
  <c r="G245" i="3" a="1"/>
  <c r="G431" i="3" a="1"/>
  <c r="G372" i="3" a="1"/>
  <c r="G83" i="3" a="1"/>
  <c r="G90" i="3" a="1"/>
  <c r="G236" i="3" a="1"/>
  <c r="G345" i="3" a="1"/>
  <c r="G294" i="3" a="1"/>
  <c r="G114" i="3" a="1"/>
  <c r="G91" i="3" a="1"/>
  <c r="G219" i="3" a="1"/>
  <c r="G347" i="3" a="1"/>
  <c r="G475" i="3" a="1"/>
  <c r="G213" i="3" a="1"/>
  <c r="G31" i="3" a="1"/>
  <c r="G337" i="3" a="1"/>
  <c r="G108" i="3" a="1"/>
  <c r="G81" i="3" a="1"/>
  <c r="G175" i="3" a="1"/>
  <c r="G217" i="3" a="1"/>
  <c r="G227" i="3" a="1"/>
  <c r="G2" i="3" a="1"/>
  <c r="G107" i="3" a="1"/>
  <c r="G235" i="3" a="1"/>
  <c r="G363" i="3" a="1"/>
  <c r="G428" i="3" a="1"/>
  <c r="G116" i="3" a="1"/>
  <c r="G208" i="3" a="1"/>
  <c r="G293" i="3" l="1"/>
  <c r="G477" i="3"/>
  <c r="G309" i="3"/>
  <c r="G466" i="3"/>
  <c r="G458" i="3"/>
  <c r="G450" i="3"/>
  <c r="G442" i="3"/>
  <c r="G434" i="3"/>
  <c r="G426" i="3"/>
  <c r="G418" i="3"/>
  <c r="G410" i="3"/>
  <c r="G402" i="3"/>
  <c r="G394" i="3"/>
  <c r="G386" i="3"/>
  <c r="G378" i="3"/>
  <c r="G370" i="3"/>
  <c r="G362" i="3"/>
  <c r="G354" i="3"/>
  <c r="G338" i="3"/>
  <c r="G330" i="3"/>
  <c r="G322" i="3"/>
  <c r="G314" i="3"/>
  <c r="G306" i="3"/>
  <c r="G298" i="3"/>
  <c r="G290" i="3"/>
  <c r="G282" i="3"/>
  <c r="G274" i="3"/>
  <c r="G266" i="3"/>
  <c r="G258" i="3"/>
  <c r="G250" i="3"/>
  <c r="G242" i="3"/>
  <c r="G234" i="3"/>
  <c r="G226" i="3"/>
  <c r="G218" i="3"/>
  <c r="G210" i="3"/>
  <c r="G202" i="3"/>
  <c r="G194" i="3"/>
  <c r="G186" i="3"/>
  <c r="G178" i="3"/>
  <c r="G170" i="3"/>
  <c r="G162" i="3"/>
  <c r="G154" i="3"/>
  <c r="G146" i="3"/>
  <c r="G138" i="3"/>
  <c r="G130" i="3"/>
  <c r="G122" i="3"/>
  <c r="G114" i="3"/>
  <c r="G106" i="3"/>
  <c r="G98" i="3"/>
  <c r="G90" i="3"/>
  <c r="G82" i="3"/>
  <c r="G74" i="3"/>
  <c r="G66" i="3"/>
  <c r="G58" i="3"/>
  <c r="G50" i="3"/>
  <c r="G42" i="3"/>
  <c r="G34" i="3"/>
  <c r="G26" i="3"/>
  <c r="G18" i="3"/>
  <c r="G10" i="3"/>
  <c r="G469" i="3"/>
  <c r="G317" i="3"/>
  <c r="G474" i="3"/>
  <c r="G346" i="3"/>
  <c r="G365" i="3"/>
  <c r="G473" i="3"/>
  <c r="G457" i="3"/>
  <c r="G449" i="3"/>
  <c r="G441" i="3"/>
  <c r="G425" i="3"/>
  <c r="G417" i="3"/>
  <c r="G409" i="3"/>
  <c r="G401" i="3"/>
  <c r="G393" i="3"/>
  <c r="G385" i="3"/>
  <c r="G377" i="3"/>
  <c r="G369" i="3"/>
  <c r="G361" i="3"/>
  <c r="G353" i="3"/>
  <c r="G345" i="3"/>
  <c r="G337" i="3"/>
  <c r="G329" i="3"/>
  <c r="G321" i="3"/>
  <c r="G313" i="3"/>
  <c r="G305" i="3"/>
  <c r="G289" i="3"/>
  <c r="G281" i="3"/>
  <c r="G273" i="3"/>
  <c r="G265" i="3"/>
  <c r="G257" i="3"/>
  <c r="G249" i="3"/>
  <c r="G241" i="3"/>
  <c r="G233" i="3"/>
  <c r="G225" i="3"/>
  <c r="G217" i="3"/>
  <c r="G209" i="3"/>
  <c r="G201" i="3"/>
  <c r="G193" i="3"/>
  <c r="G185" i="3"/>
  <c r="G177" i="3"/>
  <c r="G169" i="3"/>
  <c r="G161" i="3"/>
  <c r="G153" i="3"/>
  <c r="G145" i="3"/>
  <c r="G137" i="3"/>
  <c r="G129" i="3"/>
  <c r="G121" i="3"/>
  <c r="G113" i="3"/>
  <c r="G105" i="3"/>
  <c r="G97" i="3"/>
  <c r="G89" i="3"/>
  <c r="G81" i="3"/>
  <c r="G73" i="3"/>
  <c r="G65" i="3"/>
  <c r="G57" i="3"/>
  <c r="G49" i="3"/>
  <c r="G41" i="3"/>
  <c r="G33" i="3"/>
  <c r="G25" i="3"/>
  <c r="G17" i="3"/>
  <c r="G9" i="3"/>
  <c r="G373" i="3"/>
  <c r="G465" i="3"/>
  <c r="G433" i="3"/>
  <c r="G297" i="3"/>
  <c r="G421" i="3"/>
  <c r="G472" i="3"/>
  <c r="G464" i="3"/>
  <c r="G456" i="3"/>
  <c r="G448" i="3"/>
  <c r="G440" i="3"/>
  <c r="G432" i="3"/>
  <c r="G424" i="3"/>
  <c r="G416" i="3"/>
  <c r="G408" i="3"/>
  <c r="G400" i="3"/>
  <c r="G392" i="3"/>
  <c r="G376" i="3"/>
  <c r="G368" i="3"/>
  <c r="G360" i="3"/>
  <c r="G352" i="3"/>
  <c r="G344" i="3"/>
  <c r="G336" i="3"/>
  <c r="G328" i="3"/>
  <c r="G320" i="3"/>
  <c r="G312" i="3"/>
  <c r="G304" i="3"/>
  <c r="G296" i="3"/>
  <c r="G288" i="3"/>
  <c r="G280" i="3"/>
  <c r="G272" i="3"/>
  <c r="G264" i="3"/>
  <c r="G256" i="3"/>
  <c r="G248" i="3"/>
  <c r="G240" i="3"/>
  <c r="G232" i="3"/>
  <c r="G224" i="3"/>
  <c r="G216" i="3"/>
  <c r="G208" i="3"/>
  <c r="G200" i="3"/>
  <c r="G192" i="3"/>
  <c r="G184" i="3"/>
  <c r="G176" i="3"/>
  <c r="G168" i="3"/>
  <c r="G160" i="3"/>
  <c r="G152" i="3"/>
  <c r="G144" i="3"/>
  <c r="G136" i="3"/>
  <c r="G128" i="3"/>
  <c r="G120" i="3"/>
  <c r="G112" i="3"/>
  <c r="G104" i="3"/>
  <c r="G96" i="3"/>
  <c r="G88" i="3"/>
  <c r="G80" i="3"/>
  <c r="G72" i="3"/>
  <c r="G64" i="3"/>
  <c r="G56" i="3"/>
  <c r="G48" i="3"/>
  <c r="G40" i="3"/>
  <c r="G32" i="3"/>
  <c r="G24" i="3"/>
  <c r="G16" i="3"/>
  <c r="G8" i="3"/>
  <c r="G384" i="3"/>
  <c r="G397" i="3"/>
  <c r="G471" i="3"/>
  <c r="G463" i="3"/>
  <c r="G455" i="3"/>
  <c r="G447" i="3"/>
  <c r="G439" i="3"/>
  <c r="G431" i="3"/>
  <c r="G415" i="3"/>
  <c r="G407" i="3"/>
  <c r="G399" i="3"/>
  <c r="G391" i="3"/>
  <c r="G383" i="3"/>
  <c r="G375" i="3"/>
  <c r="G367" i="3"/>
  <c r="G359" i="3"/>
  <c r="G351" i="3"/>
  <c r="G343" i="3"/>
  <c r="G335" i="3"/>
  <c r="G327" i="3"/>
  <c r="G319" i="3"/>
  <c r="G311" i="3"/>
  <c r="G303" i="3"/>
  <c r="G295" i="3"/>
  <c r="G287" i="3"/>
  <c r="G279" i="3"/>
  <c r="G271" i="3"/>
  <c r="G263" i="3"/>
  <c r="G255" i="3"/>
  <c r="G247" i="3"/>
  <c r="G239" i="3"/>
  <c r="G231" i="3"/>
  <c r="G223" i="3"/>
  <c r="G215" i="3"/>
  <c r="G207" i="3"/>
  <c r="G199" i="3"/>
  <c r="G191" i="3"/>
  <c r="G183" i="3"/>
  <c r="G175" i="3"/>
  <c r="G167" i="3"/>
  <c r="G159" i="3"/>
  <c r="G151" i="3"/>
  <c r="G143" i="3"/>
  <c r="G135" i="3"/>
  <c r="G127" i="3"/>
  <c r="G119" i="3"/>
  <c r="G111" i="3"/>
  <c r="G103" i="3"/>
  <c r="G95" i="3"/>
  <c r="G87" i="3"/>
  <c r="G79" i="3"/>
  <c r="G71" i="3"/>
  <c r="G63" i="3"/>
  <c r="G55" i="3"/>
  <c r="G47" i="3"/>
  <c r="G39" i="3"/>
  <c r="G31" i="3"/>
  <c r="G23" i="3"/>
  <c r="G15" i="3"/>
  <c r="G7" i="3"/>
  <c r="G405" i="3"/>
  <c r="G423" i="3"/>
  <c r="G437" i="3"/>
  <c r="G478" i="3"/>
  <c r="G470" i="3"/>
  <c r="G462" i="3"/>
  <c r="G454" i="3"/>
  <c r="G446" i="3"/>
  <c r="G438" i="3"/>
  <c r="G430" i="3"/>
  <c r="G422" i="3"/>
  <c r="G414" i="3"/>
  <c r="G406" i="3"/>
  <c r="G398" i="3"/>
  <c r="G390" i="3"/>
  <c r="G382" i="3"/>
  <c r="G374" i="3"/>
  <c r="G366" i="3"/>
  <c r="G358" i="3"/>
  <c r="G350" i="3"/>
  <c r="G342" i="3"/>
  <c r="G334" i="3"/>
  <c r="G326" i="3"/>
  <c r="G318" i="3"/>
  <c r="G310" i="3"/>
  <c r="G302" i="3"/>
  <c r="G294" i="3"/>
  <c r="G286" i="3"/>
  <c r="G278" i="3"/>
  <c r="G270" i="3"/>
  <c r="G262" i="3"/>
  <c r="G254" i="3"/>
  <c r="G246" i="3"/>
  <c r="G238" i="3"/>
  <c r="G230" i="3"/>
  <c r="G222" i="3"/>
  <c r="G214" i="3"/>
  <c r="G206" i="3"/>
  <c r="G198" i="3"/>
  <c r="G190" i="3"/>
  <c r="G182" i="3"/>
  <c r="G174" i="3"/>
  <c r="G166" i="3"/>
  <c r="G158" i="3"/>
  <c r="G150" i="3"/>
  <c r="G142" i="3"/>
  <c r="G134" i="3"/>
  <c r="G126" i="3"/>
  <c r="G118" i="3"/>
  <c r="G110" i="3"/>
  <c r="G102" i="3"/>
  <c r="G94" i="3"/>
  <c r="G86" i="3"/>
  <c r="G78" i="3"/>
  <c r="G70" i="3"/>
  <c r="G62" i="3"/>
  <c r="G54" i="3"/>
  <c r="G46" i="3"/>
  <c r="G38" i="3"/>
  <c r="G30" i="3"/>
  <c r="G22" i="3"/>
  <c r="G14" i="3"/>
  <c r="G6" i="3"/>
  <c r="G357" i="3"/>
  <c r="G205" i="3"/>
  <c r="G197" i="3"/>
  <c r="G189" i="3"/>
  <c r="G181" i="3"/>
  <c r="G173" i="3"/>
  <c r="G165" i="3"/>
  <c r="G157" i="3"/>
  <c r="G149" i="3"/>
  <c r="G141" i="3"/>
  <c r="G133" i="3"/>
  <c r="G125" i="3"/>
  <c r="G117" i="3"/>
  <c r="G109" i="3"/>
  <c r="G101" i="3"/>
  <c r="G93" i="3"/>
  <c r="G85" i="3"/>
  <c r="G77" i="3"/>
  <c r="G69" i="3"/>
  <c r="G61" i="3"/>
  <c r="G53" i="3"/>
  <c r="G45" i="3"/>
  <c r="G37" i="3"/>
  <c r="G29" i="3"/>
  <c r="G21" i="3"/>
  <c r="G13" i="3"/>
  <c r="G5" i="3"/>
  <c r="G461" i="3"/>
  <c r="G453" i="3"/>
  <c r="G445" i="3"/>
  <c r="G429" i="3"/>
  <c r="G413" i="3"/>
  <c r="G381" i="3"/>
  <c r="G349" i="3"/>
  <c r="G341" i="3"/>
  <c r="G333" i="3"/>
  <c r="G325" i="3"/>
  <c r="G301" i="3"/>
  <c r="G285" i="3"/>
  <c r="G277" i="3"/>
  <c r="G269" i="3"/>
  <c r="G261" i="3"/>
  <c r="G237" i="3"/>
  <c r="G229" i="3"/>
  <c r="G221" i="3"/>
  <c r="G213" i="3"/>
  <c r="G253" i="3"/>
  <c r="G476" i="3"/>
  <c r="G468" i="3"/>
  <c r="G460" i="3"/>
  <c r="G452" i="3"/>
  <c r="G444" i="3"/>
  <c r="G436" i="3"/>
  <c r="G420" i="3"/>
  <c r="G412" i="3"/>
  <c r="G404" i="3"/>
  <c r="G396" i="3"/>
  <c r="G388" i="3"/>
  <c r="G380" i="3"/>
  <c r="G372" i="3"/>
  <c r="G364" i="3"/>
  <c r="G356" i="3"/>
  <c r="G348" i="3"/>
  <c r="G340" i="3"/>
  <c r="G332" i="3"/>
  <c r="G324" i="3"/>
  <c r="G316" i="3"/>
  <c r="G308" i="3"/>
  <c r="G300" i="3"/>
  <c r="G292" i="3"/>
  <c r="G284" i="3"/>
  <c r="G276" i="3"/>
  <c r="G268" i="3"/>
  <c r="G260" i="3"/>
  <c r="G252" i="3"/>
  <c r="G244" i="3"/>
  <c r="G236" i="3"/>
  <c r="G228" i="3"/>
  <c r="G220" i="3"/>
  <c r="G212" i="3"/>
  <c r="G204" i="3"/>
  <c r="G196" i="3"/>
  <c r="G188" i="3"/>
  <c r="G180" i="3"/>
  <c r="G172" i="3"/>
  <c r="G164" i="3"/>
  <c r="G156" i="3"/>
  <c r="G148" i="3"/>
  <c r="G140" i="3"/>
  <c r="G132" i="3"/>
  <c r="G124" i="3"/>
  <c r="G116" i="3"/>
  <c r="G108" i="3"/>
  <c r="G100" i="3"/>
  <c r="G92" i="3"/>
  <c r="G84" i="3"/>
  <c r="G76" i="3"/>
  <c r="G68" i="3"/>
  <c r="G60" i="3"/>
  <c r="G52" i="3"/>
  <c r="G44" i="3"/>
  <c r="G36" i="3"/>
  <c r="G28" i="3"/>
  <c r="G20" i="3"/>
  <c r="G12" i="3"/>
  <c r="G4" i="3"/>
  <c r="G389" i="3"/>
  <c r="G428" i="3"/>
  <c r="G245" i="3"/>
  <c r="G475" i="3"/>
  <c r="G467" i="3"/>
  <c r="G459" i="3"/>
  <c r="G451" i="3"/>
  <c r="G443" i="3"/>
  <c r="G435" i="3"/>
  <c r="G427" i="3"/>
  <c r="G419" i="3"/>
  <c r="G411" i="3"/>
  <c r="G403" i="3"/>
  <c r="G395" i="3"/>
  <c r="G387" i="3"/>
  <c r="G379" i="3"/>
  <c r="G371" i="3"/>
  <c r="G363" i="3"/>
  <c r="G355" i="3"/>
  <c r="G347" i="3"/>
  <c r="G339" i="3"/>
  <c r="G331" i="3"/>
  <c r="G323" i="3"/>
  <c r="G315" i="3"/>
  <c r="G307" i="3"/>
  <c r="G299" i="3"/>
  <c r="G291" i="3"/>
  <c r="G283" i="3"/>
  <c r="G275" i="3"/>
  <c r="G267" i="3"/>
  <c r="G259" i="3"/>
  <c r="G251" i="3"/>
  <c r="G243" i="3"/>
  <c r="G235" i="3"/>
  <c r="G227" i="3"/>
  <c r="G219" i="3"/>
  <c r="G211" i="3"/>
  <c r="G203" i="3"/>
  <c r="G195" i="3"/>
  <c r="G187" i="3"/>
  <c r="G179" i="3"/>
  <c r="G171" i="3"/>
  <c r="G163" i="3"/>
  <c r="G155" i="3"/>
  <c r="G147" i="3"/>
  <c r="G139" i="3"/>
  <c r="G131" i="3"/>
  <c r="G123" i="3"/>
  <c r="G115" i="3"/>
  <c r="G107" i="3"/>
  <c r="G99" i="3"/>
  <c r="G91" i="3"/>
  <c r="G83" i="3"/>
  <c r="G75" i="3"/>
  <c r="G67" i="3"/>
  <c r="G59" i="3"/>
  <c r="G51" i="3"/>
  <c r="G43" i="3"/>
  <c r="G35" i="3"/>
  <c r="G27" i="3"/>
  <c r="G19" i="3"/>
  <c r="G11" i="3"/>
  <c r="G3" i="3"/>
  <c r="G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<sst xmlns="http://schemas.openxmlformats.org/spreadsheetml/2006/main" count="24252" uniqueCount="6253">
  <si>
    <t>Publication Type</t>
  </si>
  <si>
    <t>Authors</t>
  </si>
  <si>
    <t>Book Authors</t>
  </si>
  <si>
    <t>Book Editors</t>
  </si>
  <si>
    <t>Book Group Authors</t>
  </si>
  <si>
    <t>Author Full Names</t>
  </si>
  <si>
    <t>Book Author Full Names</t>
  </si>
  <si>
    <t>Group Authors</t>
  </si>
  <si>
    <t>Article Title</t>
  </si>
  <si>
    <t>Source Title</t>
  </si>
  <si>
    <t>Book Series Title</t>
  </si>
  <si>
    <t>Book Series Subtitle</t>
  </si>
  <si>
    <t>Language</t>
  </si>
  <si>
    <t>Document Type</t>
  </si>
  <si>
    <t>Conference Title</t>
  </si>
  <si>
    <t>Conference Date</t>
  </si>
  <si>
    <t>Conference Location</t>
  </si>
  <si>
    <t>Conference Sponsor</t>
  </si>
  <si>
    <t>Conference Host</t>
  </si>
  <si>
    <t>Author Keywords</t>
  </si>
  <si>
    <t>Keywords Plus</t>
  </si>
  <si>
    <t>Abstract</t>
  </si>
  <si>
    <t>Addresses</t>
  </si>
  <si>
    <t>Reprint Addresses</t>
  </si>
  <si>
    <t>Email Addresses</t>
  </si>
  <si>
    <t>Researcher Ids</t>
  </si>
  <si>
    <t>ORCIDs</t>
  </si>
  <si>
    <t>Funding Orgs</t>
  </si>
  <si>
    <t>Funding Text</t>
  </si>
  <si>
    <t>Cited References</t>
  </si>
  <si>
    <t>Cited Reference Count</t>
  </si>
  <si>
    <t>Times Cited, WoS Core</t>
  </si>
  <si>
    <t>Times Cited, All Databases</t>
  </si>
  <si>
    <t>180 Day Usage Count</t>
  </si>
  <si>
    <t>Since 2013 Usage Count</t>
  </si>
  <si>
    <t>Publisher</t>
  </si>
  <si>
    <t>Publisher City</t>
  </si>
  <si>
    <t>Publisher Address</t>
  </si>
  <si>
    <t>ISSN</t>
  </si>
  <si>
    <t>eISSN</t>
  </si>
  <si>
    <t>ISBN</t>
  </si>
  <si>
    <t>Journal Abbreviation</t>
  </si>
  <si>
    <t>Journal ISO Abbreviation</t>
  </si>
  <si>
    <t>Publication Date</t>
  </si>
  <si>
    <t>Publication Year</t>
  </si>
  <si>
    <t>Volume</t>
  </si>
  <si>
    <t>Issue</t>
  </si>
  <si>
    <t>Part Number</t>
  </si>
  <si>
    <t>Supplement</t>
  </si>
  <si>
    <t>Special Issue</t>
  </si>
  <si>
    <t>Meeting Abstract</t>
  </si>
  <si>
    <t>Start Page</t>
  </si>
  <si>
    <t>End Page</t>
  </si>
  <si>
    <t>Article Number</t>
  </si>
  <si>
    <t>DOI</t>
  </si>
  <si>
    <t>Book DOI</t>
  </si>
  <si>
    <t>Early Access Date</t>
  </si>
  <si>
    <t>Number of Pages</t>
  </si>
  <si>
    <t>WoS Categories</t>
  </si>
  <si>
    <t>Research Areas</t>
  </si>
  <si>
    <t>IDS Number</t>
  </si>
  <si>
    <t>UT (Unique WOS ID)</t>
  </si>
  <si>
    <t>Pubmed Id</t>
  </si>
  <si>
    <t>Open Access Designations</t>
  </si>
  <si>
    <t>Highly Cited Status</t>
  </si>
  <si>
    <t>Hot Paper Status</t>
  </si>
  <si>
    <t>Date of Export</t>
  </si>
  <si>
    <t>J</t>
  </si>
  <si>
    <t>Murayama, K; Nagayasu, J</t>
  </si>
  <si>
    <t/>
  </si>
  <si>
    <t>Murayama, Koji; Nagayasu, Jun</t>
  </si>
  <si>
    <t>Toward Coexistence of Immigrants and Local People in Japan: Implications from Spatial Assimilation Theory</t>
  </si>
  <si>
    <t>SUSTAINABILITY</t>
  </si>
  <si>
    <t>English</t>
  </si>
  <si>
    <t>Article</t>
  </si>
  <si>
    <t>spatial assimilation; social integration; spatial interaction model; migration; Japan</t>
  </si>
  <si>
    <t>We investigate the validity of spatial assimilation theory (SAT), which predicts geographical dispersion of immigrants from ethnically concentrated areas to non-concentrated areas as time elapses. This can be tested by analyzing the concentration tendency among immigrants who arrive in Japan from overseas and relocate within the country. Using spatial models, we find that immigrants from overseas tend to move to ethnically concentrated regions in Japan, which is in line with SAT. By contrast, this trend substantially weakens with their subsequent domestic relocation, and it differs by national group. The results reveal slow assimilation among nationals from countries characterized as being low-income or culturally dissimilar from Japan. Based on these findings, we discuss potential deficiencies in a new immigration policy (2018), which has been designed to increase the number of immigrants and compensate for a labor shortage in Japan.</t>
  </si>
  <si>
    <t>[Murayama, Koji; Nagayasu, Jun] Tohoku Univ, Grad Sch Econ &amp; Management, 27-1 Aobaku, Sendai, Miyagi 9808576, Japan</t>
  </si>
  <si>
    <t>Nagayasu, J (corresponding author), Tohoku Univ, Grad Sch Econ &amp; Management, 27-1 Aobaku, Sendai, Miyagi 9808576, Japan.</t>
  </si>
  <si>
    <t>koji.murayama.tl@dc.tohoku.ac.jp; jun.nagayasu.d8@tohoku.ac.jp</t>
  </si>
  <si>
    <t>Tohoku Forum for Creativity via the thematic program (Environmental and Financial Risks)</t>
  </si>
  <si>
    <t>This research was partially supported by the Tohoku Forum for Creativity via the thematic program (Environmental and Financial Risks).</t>
  </si>
  <si>
    <t>MDPI</t>
  </si>
  <si>
    <t>BASEL</t>
  </si>
  <si>
    <t>ST ALBAN-ANLAGE 66, CH-4052 BASEL, SWITZERLAND</t>
  </si>
  <si>
    <t>2071-1050</t>
  </si>
  <si>
    <t>SUSTAINABILITY-BASEL</t>
  </si>
  <si>
    <t>Sustainability</t>
  </si>
  <si>
    <t>APR</t>
  </si>
  <si>
    <t>10.3390/su13073849</t>
  </si>
  <si>
    <t>Green &amp; Sustainable Science &amp; Technology; Environmental Sciences; Environmental Studies</t>
  </si>
  <si>
    <t>Science &amp; Technology - Other Topics; Environmental Sciences &amp; Ecology</t>
  </si>
  <si>
    <t>RL4BY</t>
  </si>
  <si>
    <t>WOS:000638922100001</t>
  </si>
  <si>
    <t>DOAJ Gold</t>
  </si>
  <si>
    <t>2021-05-01</t>
  </si>
  <si>
    <t>Komisarof, A</t>
  </si>
  <si>
    <t>Komisarof, Adam</t>
  </si>
  <si>
    <t>A new framework of workplace belonging: Instrument validation and testing relationships to crucial acculturation outcomes</t>
  </si>
  <si>
    <t>JOURNAL OF INTERNATIONAL AND INTERCULTURAL COMMUNICATION</t>
  </si>
  <si>
    <t>Article; Early Access</t>
  </si>
  <si>
    <t>Inclusion; acculturation in Japan; migrant belonging; national identity; workplace belonging</t>
  </si>
  <si>
    <t>Contemporary global migrant flows challenge national ingroup boundaries, leading to demands for greater inclusivity of those migrants in receiving societies worldwide. Utilizing the specific case of Japanese and foreigners in Japan, this study aimed to validate Komisarof's framework of workplace belonging. The framework refines understanding of how perceptions of belonging - particularly the degrees to which people see themselves accepted as members of another group's cultural-linguistic community and as core members of their shared work organization - impact quality and effectiveness of intercultural work relations for both migrants and members of the host society. Instruments measuring both dimensions of belonging were validated first through a review of potential items by a panel of experts, followed by an exploratory factor analysis of retained items with a sample of 228 respondents (116 Japanese and 112 non-Japanese representing 24 nationalities). Relationships between four permutations of belonging, termed ontological interpretive spaces (OIS), and four outcome variables (job effectiveness, flourishing, organizational commitment, and intercultural competence) were hypothesized and tested. Significant effects of OIS were found for job effectiveness, flourishing, and organizational commitment, providing evidence of belonging's effects on these crucial acculturation outcomes in intercultural work contexts.</t>
  </si>
  <si>
    <t>[Komisarof, Adam] Keio Univ, Fac Letters, Tokyo, Japan</t>
  </si>
  <si>
    <t>Komisarof, A (corresponding author), Keio Univ, Fac Letters, Tokyo, Japan.</t>
  </si>
  <si>
    <t>komisarof.adam@gmail.com</t>
  </si>
  <si>
    <t>Keio University</t>
  </si>
  <si>
    <t>I am grateful to Eugene Teng for his assistance in gathering and processing the data for this study, the generous financial grants to develop this research received from Keio University, and Dr. Bernadette Calafell and my anonymous reviewers for feedback on previous versions of this manuscript.</t>
  </si>
  <si>
    <t>ROUTLEDGE JOURNALS, TAYLOR &amp; FRANCIS LTD</t>
  </si>
  <si>
    <t>ABINGDON</t>
  </si>
  <si>
    <t>2-4 PARK SQUARE, MILTON PARK, ABINGDON OX14 4RN, OXON, ENGLAND</t>
  </si>
  <si>
    <t>1751-3057</t>
  </si>
  <si>
    <t>1751-3065</t>
  </si>
  <si>
    <t>J INT INTERCULT COMM</t>
  </si>
  <si>
    <t>J. Int. Intercult. Commun.</t>
  </si>
  <si>
    <t>10.1080/17513057.2021.1897152</t>
  </si>
  <si>
    <t>MAR 2021</t>
  </si>
  <si>
    <t>Communication</t>
  </si>
  <si>
    <t>RC3OJ</t>
  </si>
  <si>
    <t>WOS:000632713300001</t>
  </si>
  <si>
    <t>Karim, S</t>
  </si>
  <si>
    <t>Karim, Shahid</t>
  </si>
  <si>
    <t>Acculturation in a globalised world: implications for theory and educational policy and practice</t>
  </si>
  <si>
    <t>INTERNATIONAL JOURNAL OF COMPARATIVE EDUCATION AND DEVELOPMENT</t>
  </si>
  <si>
    <t>Globalisation; Intercultural contact; Acculturation; Culture learning; Education</t>
  </si>
  <si>
    <t>Purpose This article examines the existing body of knowledge on acculturation, identifies the gaps, discusses its potential consequences for theory and proposes a possible way forward for educational policy and practice in the globalised world. Design/methodology/approach The body of knowledge on acculturation has developed tremendously during the last century. However, some scholars are critical of its impact on acculturating people, particularly in the societies of settlement. This paper adopted an integrative literature review approach to critique and synthesise the published text on acculturation and education in the era of globalisation. Findings Despite phenomenal growth in acculturation research and theory, the dominant perspectives and research methodologies hardly help to respond to the emerging trends in intercultural contact and its associated issues in education. A culture learning approach to the study of acculturation can help address the existing gaps, extend the theory, draw contextualised conclusions and take appropriate steps in education to prepare younger generations for an interconnected and interdependent world. Research limitations/implications Researchers and practitioners in education may need to be sensitive to the sociopolitical realities in a given context and contextualise their educational endeavours in preparing younger generations for an ever-changing social world. Practical implications This narrative review suggests that an intercultural learning approach to education in contemporary times may better facilitate acculturation processes amongst immigrants and non-immigrants alike. Educational systems in multicultural societies may need to undertake context-specific interventions for immigrant children and adolescents in helping them acculturate to the societies of their settlement. Social implications An intercultural approach to education in general and social studies education, in particular, can help younger generations better respond to the emerging trends of acculturation in the multicultural societies of their residence. Originality/value Given that young people follow diverse trajectories of acculturation, irrespective of their status of immigration, researchers in cross-cultural studies may need to reflect on existing theories, approaches, frameworks and methodologies with greater sensitiveness to the ecological context, cultural distance hypothesis and the nature of intercultural contact for a deeper understanding of immigrants' acculturation in plural societies.</t>
  </si>
  <si>
    <t>[Karim, Shahid] Educ Univ Hong Kong, Fac Educ &amp; Human Dev, Dept Special Educ &amp; Counselling, Hong Kong, Peoples R China</t>
  </si>
  <si>
    <t>Karim, S (corresponding author), Educ Univ Hong Kong, Fac Educ &amp; Human Dev, Dept Special Educ &amp; Counselling, Hong Kong, Peoples R China.</t>
  </si>
  <si>
    <t>s1119885@s.eduhk.hk</t>
  </si>
  <si>
    <t>Karim, Shahid/AAK-5911-2021</t>
  </si>
  <si>
    <t>Karim, Shahid/0000-0002-8050-9856</t>
  </si>
  <si>
    <t>EMERALD GROUP PUBLISHING LTD</t>
  </si>
  <si>
    <t>BINGLEY</t>
  </si>
  <si>
    <t>HOWARD HOUSE, WAGON LANE, BINGLEY BD16 1WA, W YORKSHIRE, ENGLAND</t>
  </si>
  <si>
    <t>2396-7404</t>
  </si>
  <si>
    <t>2309-4907</t>
  </si>
  <si>
    <t>INT J COMP EDUC DEV</t>
  </si>
  <si>
    <t>Int. J. Comp. Educ. Dev.</t>
  </si>
  <si>
    <t>MAR 16</t>
  </si>
  <si>
    <t>10.1108/IJCED-11-2020-0078</t>
  </si>
  <si>
    <t>Education &amp; Educational Research</t>
  </si>
  <si>
    <t>QZ9EN</t>
  </si>
  <si>
    <t>WOS:000631021800004</t>
  </si>
  <si>
    <t>Dawson, AZ; Walker, RJ; Gregory, C; Egede, LE</t>
  </si>
  <si>
    <t>Dawson, Aprill Z.; Walker, Rebekah J.; Gregory, Chris; Egede, Leonard E.</t>
  </si>
  <si>
    <t>Contributions of social determinants of health to systolic blood pressure in United States adult immigrants: Use of path analysis to validate a conceptual framework</t>
  </si>
  <si>
    <t>CHRONIC ILLNESS</t>
  </si>
  <si>
    <t>Social determinants; immigrant; blood pressure</t>
  </si>
  <si>
    <t>Objective Validate a conceptual framework and identify pathways between antecedent (life-course socioeconomic status (L-SES)), predisposing (age, sex, married, homeless as a child), enabling (health literacy, acculturation), and need (disability) social determinants of health (SDoH) and systolic blood pressure (SBP) in US immigrants. Methods 181 immigrants were enrolled in the study. Path analysis was used to identify paths by which SDoH influence SBP and to determine if antecedents, predisposing, enabling, and need factors have direct and indirect relationships with SBP. Results The final model(chi(2)(5)=14.88, p = 0.011, RMSEA = 0.070, pclose = 0.17, CFI = 0.96) showed L-SES was directly associated with age (0.12, p = 0.019) and disability(0.17, p = 0.001); and indirectly associated with disability (0.29, p &lt; 0.001) and SBP (0.31, p &lt; 0.001). Age (0.31, p &lt; 0.001) and sex(0.25, p &lt; 0.001) were directly associated with SBP, and age was directly associated with disability (0.29, p &lt; 0.001) and indirectly associated with SBP(0.14, p = 0.018). Other predisposing factors such as being married (-0.32, p &lt; 0.001) and being homeless as a child alone (0.16, p &lt; 0.001) were directly associated with disability and indirectly associated (0.14, p = 0.018) with SBP. Enabling factor of health literacy (0.16, p = 0.001) was directly associated with disability and indirectly associated (0.14, p = 0.018) with SBP. Need factor of disability (0.14, p = 0.018) was directly associated with SBP. Conclusions This study provides the first validation of a conceptual model for the relationship between SDoH and SBP among immigrants and identifies potential targets for focused interventions.</t>
  </si>
  <si>
    <t>[Dawson, Aprill Z.; Walker, Rebekah J.; Egede, Leonard E.] Med Coll Wisconsin, Dept Med, Div Gen Internal Med, 8701 Watertown Plank Rd, Milwaukee, WI 53226 USA; [Dawson, Aprill Z.; Walker, Rebekah J.; Egede, Leonard E.] Med Coll Wisconsin, Ctr Adv Populat Sci, Milwaukee, WI 53226 USA; [Gregory, Chris] Med Univ South Carolina, Coll Hlth Profess, Charleston, SC 29425 USA</t>
  </si>
  <si>
    <t>Egede, LE (corresponding author), Med Coll Wisconsin, Dept Med, Div Gen Internal Med, 8701 Watertown Plank Rd, Milwaukee, WI 53226 USA.</t>
  </si>
  <si>
    <t>legede@mcw.edu</t>
  </si>
  <si>
    <t>Egede, Leonard/0000-0003-1546-1515</t>
  </si>
  <si>
    <t>National Institute of Diabetes and Digestive and Kidney DiseasesUnited States Department of Health &amp; Human ServicesNational Institutes of Health (NIH) - USANIH National Institute of Diabetes &amp; Digestive &amp; Kidney Diseases (NIDDK) [K24DK093699, R01DK118038, R01DK120861]; National Institute on Minority Health and Health DisparitiesUnited States Department of Health &amp; Human ServicesNational Institutes of Health (NIH) - USANIH National Institute on Minority Health &amp; Health Disparities (NIMHD) [R01MD013826]; American Diabetes AssociationAmerican Diabetes Association [1-19-JDF-075]</t>
  </si>
  <si>
    <t>The author(s) disclosed receipt of the following financial support for the research, authorship, and/or publication of this article: This study was supported by the National Institute of Diabetes and Digestive and Kidney Diseases (grant K24DK093699, R01DK118038, R01DK120861), National Institute on Minority Health and Health Disparities (R01MD013826), American Diabetes Association (1-19-JDF-075).</t>
  </si>
  <si>
    <t>SAGE PUBLICATIONS LTD</t>
  </si>
  <si>
    <t>LONDON</t>
  </si>
  <si>
    <t>1 OLIVERS YARD, 55 CITY ROAD, LONDON EC1Y 1SP, ENGLAND</t>
  </si>
  <si>
    <t>1742-3953</t>
  </si>
  <si>
    <t>1745-9206</t>
  </si>
  <si>
    <t>CHRONIC ILLN</t>
  </si>
  <si>
    <t>Chronic Illn.</t>
  </si>
  <si>
    <t>10.1177/17423953211000412</t>
  </si>
  <si>
    <t>Health Care Sciences &amp; Services; Public, Environmental &amp; Occupational Health; Medicine, General &amp; Internal</t>
  </si>
  <si>
    <t>Health Care Sciences &amp; Services; Public, Environmental &amp; Occupational Health; General &amp; Internal Medicine</t>
  </si>
  <si>
    <t>QZ2KT</t>
  </si>
  <si>
    <t>WOS:000630562500001</t>
  </si>
  <si>
    <t>Purpose - This article examines the existing body of knowledge on acculturation, identifies the gaps, discusses its potential consequences for theory and proposes a possible way forward for educational policy and practice in the globalised world. Design/methodology/approach - The body of knowledge on acculturation has developed tremendously during the last century. However, some scholars are critical of its impact on acculturating people, particularly in the societies of settlement. This paper adopted an integrative literature review approach to critique and synthesise the published text on acculturation and education in the era of globalisation. Findings - Despite phenomenal growth in acculturation research and theory, the dominant perspectives and research methodologies hardly help to respond to the emerging trends in intercultural contact and its associated issues in education. A culture learning approach to the study of acculturation can help address the existing gaps, extend the theory, draw contextualised conclusions and take appropriate steps in education to prepare younger generations for an interconnected and interdependent world. Research limitations/implications - Researchers and practitioners in education may need to be sensitive to the sociopolitical realities in a given context and contextualise their educational endeavours in preparing younger generations for an ever-changing social world. Practical implications - This narrative review suggests that an intercultural learning approach to education in contemporary times may better facilitate acculturation processes amongst immigrants and non-immigrants alike. Educational systems in multicultural societies may need to undertake context-specific interventions for immigrant children and adolescents in helping them acculturate to the societies of their settlement. Social implications - An intercultural approach to education in general and social studies education, in particular, can help younger generations better respond to the emerging trends of acculturation in the multicultural societies of their residence. Originality/value - Given that young people follow diverse trajectories of acculturation, irrespective of their status of immigration, researchers in cross-cultural studies may need to reflect on existing theories, approaches, frameworks and methodologies with greater sensitiveness to the ecological context, cultural distance hypothesis and the nature of intercultural contact for a deeper understanding of immigrants' acculturation in plural societies.</t>
  </si>
  <si>
    <t>QU3PL</t>
  </si>
  <si>
    <t>WOS:000627194700001</t>
  </si>
  <si>
    <t>McCann, WS; Zhang, SJ; Boateng, FD</t>
  </si>
  <si>
    <t>McCann, Wesley S.; Zhang, Saijun; Boateng, Francis D.</t>
  </si>
  <si>
    <t>Immigrants, Crime, and the American Dream: Testing a Segmented Assimilation Theory of Crime</t>
  </si>
  <si>
    <t>INTERNATIONAL JOURNAL OF OFFENDER THERAPY AND COMPARATIVE CRIMINOLOGY</t>
  </si>
  <si>
    <t>crime; assimilation; segmented assimilation; immigrant; delinquency</t>
  </si>
  <si>
    <t>The immigrant-crime relationship is often misunderstood and highly complex. To date, criminological research has largely ignored theory testing of this relationship. This paper examines the extant literature on intergenerational offending amongst immigrant youth and subsequently tests whether the segmented assimilation theory- a theory borrowed from the interdisciplinary social sciences- adequately explains immigrant offending. The study uses data (N = 1,267) from the Pathways to Desistance Study (PTD) to examine intergenerational differences in changes to offending between immigrant youth and the native-born. The analyses largely reveal that the theory, based on its original assumptions, fails to adequately explain youth offending, and that the models provide more support for the straight-line theory of assimilation in regards to delinquency. Limitations and recommendations are discussed and proffered, respectively.</t>
  </si>
  <si>
    <t>[McCann, Wesley S.] Coll New Jersey, Ewing, NJ USA; [Zhang, Saijun; Boateng, Francis D.] Univ Mississippi, University Pk, PA USA</t>
  </si>
  <si>
    <t>McCann, WS (corresponding author), Coll New Jersey, Dept Criminol, 333 Social Sci Bldg, Ewing, NJ 08268 USA.</t>
  </si>
  <si>
    <t>mccannw@tcnj.edu</t>
  </si>
  <si>
    <t>Boateng, Francis/0000-0001-8411-271X</t>
  </si>
  <si>
    <t>SAGE PUBLICATIONS INC</t>
  </si>
  <si>
    <t>THOUSAND OAKS</t>
  </si>
  <si>
    <t>2455 TELLER RD, THOUSAND OAKS, CA 91320 USA</t>
  </si>
  <si>
    <t>0306-624X</t>
  </si>
  <si>
    <t>1552-6933</t>
  </si>
  <si>
    <t>INT J OFFENDER THER</t>
  </si>
  <si>
    <t>Int. J. Offender Ther. Comp. Criminol.</t>
  </si>
  <si>
    <t>0306624X21994061</t>
  </si>
  <si>
    <t>10.1177/0306624X21994061</t>
  </si>
  <si>
    <t>FEB 2021</t>
  </si>
  <si>
    <t>Criminology &amp; Penology; Psychology, Applied</t>
  </si>
  <si>
    <t>Criminology &amp; Penology; Psychology</t>
  </si>
  <si>
    <t>QT6EO</t>
  </si>
  <si>
    <t>WOS:000626679200001</t>
  </si>
  <si>
    <t>Erlinghagen, M</t>
  </si>
  <si>
    <t>Erlinghagen, Marcel</t>
  </si>
  <si>
    <t>The transnational life course: an integrated and unified theoretical concept for migration research</t>
  </si>
  <si>
    <t>ETHNIC AND RACIAL STUDIES</t>
  </si>
  <si>
    <t>Integration; life course; transnational migration; assimilation; dissimilation; cultural spaces</t>
  </si>
  <si>
    <t>Migration research developed significantly in the past decades. However, with the life course approach and the concept of transnational migration, there are still two different, as yet largely unconnected conceptual perspectives on migration. Both approaches have their merits but also their shortcomings. This paper tries to overcome these shortcomings by combining the advantages of both perspectives to suggest a unified theoretical concept of transnational life courses (TNLC). TNLC builds on the multidimensional understanding of transnational migration research that (potential) migrants live in multiple social and cultural spaces leading to parallel assimilation and dissimilation processes. This perspective is merged with the life course approach with its chronologically ordered understanding of causality relying on preceding determinants and subsequent outcomes in form of events and periods. Based on data provided by the German Emigration and Remigration Panel Study (GERPS) some simple empirical analyses were conducted to illustrate the potential of the TNLC approach.</t>
  </si>
  <si>
    <t>[Erlinghagen, Marcel] Univ Duisburg Essen, Inst Sociol, Duisburg, Germany</t>
  </si>
  <si>
    <t>Erlinghagen, M (corresponding author), Univ Duisburg Essen, Inst Sociol, Duisburg, Germany.</t>
  </si>
  <si>
    <t>marcel.erlinghagen@uni-due.de</t>
  </si>
  <si>
    <t>German Research Foundation (Deutsche Forschungsgemeinschaft DFG)German Research Foundation (DFG) [345626236]</t>
  </si>
  <si>
    <t>This work was supported by the German Research Foundation (Deutsche Forschungsgemeinschaft DFG) under the project number 345626236.</t>
  </si>
  <si>
    <t>0141-9870</t>
  </si>
  <si>
    <t>1466-4356</t>
  </si>
  <si>
    <t>ETHNIC RACIAL STUD</t>
  </si>
  <si>
    <t>Ethn. Racial Stud.</t>
  </si>
  <si>
    <t>10.1080/01419870.2021.1880014</t>
  </si>
  <si>
    <t>Ethnic Studies; Sociology</t>
  </si>
  <si>
    <t>QI6DP</t>
  </si>
  <si>
    <t>WOS:000619068000001</t>
  </si>
  <si>
    <t>Bronze</t>
  </si>
  <si>
    <t>Loon, M; Vitale, A</t>
  </si>
  <si>
    <t>Loon, Mark; Vitale, Agata</t>
  </si>
  <si>
    <t>A liminal lens on integrating refugees into the workplace: Conceptualising a theoretical model</t>
  </si>
  <si>
    <t>HUMAN RESOURCE MANAGEMENT JOURNAL</t>
  </si>
  <si>
    <t>ambidexterity; HR architecture; liminality; refugees; workforce integration</t>
  </si>
  <si>
    <t>The integration of refugees into workplaces in their destination country remains a global concern. We meet the challenge of this problem by conceptualising a theoretical model using a liminal lens; more specifically, through the three thematic lenses of liminality as process, liminality as position and liminality as place. By addressing the research question; 'how does a liminal lens provide new insights into refugees' integration into the workplace?' we make three contributions to extant literature. First, we offer a dynamic perspective of refugees' integration into the workplace. Second, we provide a synthesis that brings together key factors at the micro, meso and macro levels that are germane to refugees' assimilation into the workplace. Finally, we contribute to human resource (HR) literature by showing a more nuanced view of the role of human resource management, specifically how an ambidextrous HR architecture can help firms explore refugees as a talent pool, while exploiting existing talents.</t>
  </si>
  <si>
    <t>[Loon, Mark] Bath Spa Univ, Res &amp; Grad Affairs, Bath BA2 9BN, Avon, England; [Vitale, Agata] Bath Spa Univ, Sch Sci, Bath, Avon, England</t>
  </si>
  <si>
    <t>Loon, M (corresponding author), Bath Spa Univ, Res &amp; Grad Affairs, Bath BA2 9BN, Avon, England.</t>
  </si>
  <si>
    <t>m.loon@bathspa.ac.uk</t>
  </si>
  <si>
    <t>WILEY</t>
  </si>
  <si>
    <t>HOBOKEN</t>
  </si>
  <si>
    <t>111 RIVER ST, HOBOKEN 07030-5774, NJ USA</t>
  </si>
  <si>
    <t>0954-5395</t>
  </si>
  <si>
    <t>1748-8583</t>
  </si>
  <si>
    <t>HUM RESOUR MANAG J</t>
  </si>
  <si>
    <t>Hum. Resour. Manag. J.</t>
  </si>
  <si>
    <t>10.1111/1748-8583.12338</t>
  </si>
  <si>
    <t>Industrial Relations &amp; Labor; Management</t>
  </si>
  <si>
    <t>Business &amp; Economics</t>
  </si>
  <si>
    <t>QC5SI</t>
  </si>
  <si>
    <t>WOS:000614895000001</t>
  </si>
  <si>
    <t>Parke, RD; Cookston, JT</t>
  </si>
  <si>
    <t>Parke, Ross D.; Cookston, Jeffrey T.</t>
  </si>
  <si>
    <t>Transnational Fathers: New Theoretical and Conceptual Challenges</t>
  </si>
  <si>
    <t>JOURNAL OF FAMILY THEORY &amp; REVIEW</t>
  </si>
  <si>
    <t>family; work issues; fathers; nontraditional family structures; transnational</t>
  </si>
  <si>
    <t>MIGRANT PARENTS; AMBIGUOUS LOSS; CHILDREN; MIGRATION; FAMILIES; ACCULTURATION; RESILIENCE; SEPARATION; DEPORTATION; REMITTANCES</t>
  </si>
  <si>
    <t>We propose a transactional model of risk and resilience and ambiguous loss as theoretical guides to understanding transnational fathering. We also examine the risk and buffering conditions associated with each temporal aspect of the migrant journey of transnational fathers beginning with the initial decision to leave their country of origin to their process of resettlement in a destination country. In addition, we examine the effects of the absence of transnational fathers from their family on the fathers themselves, their partners, and their children. We critically explore the buffering effects of communication at a distance as a strategy for reducing the risks associated with the migration experience of transnational fathers and examine the buffering role of substitute caregivers in the home country as a means of reducing the risk associated with the absence of fathers on children. New directions for future work in this area are noted.</t>
  </si>
  <si>
    <t>[Parke, Ross D.] Univ Calif Riverside, Riverside, CA 92521 USA; [Cookston, Jeffrey T.] San Francisco State Univ, San Francisco, CA 94132 USA</t>
  </si>
  <si>
    <t>Parke, RD (corresponding author), Univ Calif Riverside, Psychol, 900 Univ Ave, Riverside, CA 92521 USA.</t>
  </si>
  <si>
    <t>ross.parke@ucr.edu</t>
  </si>
  <si>
    <t>1756-2570</t>
  </si>
  <si>
    <t>1756-2589</t>
  </si>
  <si>
    <t>J FAM THEOR REV</t>
  </si>
  <si>
    <t>J. Fam. Theory. Rev.</t>
  </si>
  <si>
    <t>10.1111/jftr.12392</t>
  </si>
  <si>
    <t>NOV 2020</t>
  </si>
  <si>
    <t>Family Studies</t>
  </si>
  <si>
    <t>OR5ON</t>
  </si>
  <si>
    <t>WOS:000589519900001</t>
  </si>
  <si>
    <t>Lakshman, C; Lakshman, S; Gok, K</t>
  </si>
  <si>
    <t>Lakshman, C.; Lakshman, Sangeetha; Gok, Kubilay</t>
  </si>
  <si>
    <t>Biculturalism and cross-cultural competence: examination of an attribution complexity theory-based model</t>
  </si>
  <si>
    <t>CROSS CULTURAL &amp; STRATEGIC MANAGEMENT</t>
  </si>
  <si>
    <t>Biculturalism; Migrants; Isomorphic attributions; Cross-cultural adjustment; Attributional complexity (AC); Attributional knowledge</t>
  </si>
  <si>
    <t>DISTANCE; ASSIMILATION; ADJUSTMENT; BUSINESS; CONTRAST</t>
  </si>
  <si>
    <t>Purpose Based on attributional complexity (AC) theory, the authors empirically examine the impact of biculturalism on cross-cultural adjustment and the degree to which people make isomorphic attributions, critical for cross-cultural leadership effectiveness. Design/methodology/approach Using questionnaire surveys, the authors first validate measures in a validation sample and then empirically test the model in a second sample, using structural equation modeling. Findings The authors' findings reveal an empirical connection between biculturalism and AC on the one hand, while also showing support for the relationship between biculturalism and attributional knowledge. Findings also demonstrate that biculturalism is related to attributional accuracy in cross-cultural contexts via an attributional mechanism, as suggested by AC theory. Research limitations/implications First, AC theory emerges as one with excellent prospects for explaining intercultural work in multicultural settings. Biculturalism's links to AC and attributional knowledge are critical for extensions to cross-cultural leadership effectiveness, and international knowledge transfer, interesting and high potential research avenues for the discipline. Practical implications The authors' findings carry a host of managerial implications. AC training can provide all international assignees with the necessary foundational skills and learning abilities to successfully interact in the host country setting with local nationals. This study also suggests that managers on international assignments should focus their efforts on acquiring attributional knowledge because it can provide a solid boost to their understanding of the local culture. Originality/value One's understanding of biculturals and their cross-cultural management competencies is very limited. The authors provide empirical support for the hypotheses, hitherto unexamined in extant literature.</t>
  </si>
  <si>
    <t>[Lakshman, C.; Lakshman, Sangeetha] Florida Atlantic Univ, Management Programs, Boca Raton, FL 33431 USA; [Gok, Kubilay] Winona State Univ, Coll Business, Business Adm, Winona, MN 55987 USA</t>
  </si>
  <si>
    <t>Lakshman, C (corresponding author), Florida Atlantic Univ, Management Programs, Boca Raton, FL 33431 USA.</t>
  </si>
  <si>
    <t>clakshman2007@gmail.com; sangilak78@gmail.com; kgok@winona.edu</t>
  </si>
  <si>
    <t>2059-5794</t>
  </si>
  <si>
    <t>CROSS CULT STRATEG M</t>
  </si>
  <si>
    <t>Cross Cult. Strateg. Manag.</t>
  </si>
  <si>
    <t>10.1108/CCSM-03-2020-0081</t>
  </si>
  <si>
    <t>Management</t>
  </si>
  <si>
    <t>OV8PF</t>
  </si>
  <si>
    <t>WOS:000592464000001</t>
  </si>
  <si>
    <t>Massengale, M; Shebuski, KM; Karaga, S; Choe, E; Hong, J; Hunter, TL; Dispenza, F</t>
  </si>
  <si>
    <t>Massengale, Michael; Shebuski, Karen M.; Karaga, Sara; Choe, Elise; Hong, Jihee; Hunter, Tameeka L.; Dispenza, Franco</t>
  </si>
  <si>
    <t>Psychology of Working Theory With Refugee Persons: Applications for Career Counseling</t>
  </si>
  <si>
    <t>JOURNAL OF CAREER DEVELOPMENT</t>
  </si>
  <si>
    <t>career counseling; refugee persons; psychology of working theory</t>
  </si>
  <si>
    <t>SELF-EFFICACY; BHUTANESE REFUGEES; RECENT IMMIGRANTS; HEALTH; ACCULTURATION; ADOLESCENTS; PREVALENCE; ADJUSTMENT; TRANSITIONS; AMERICAN</t>
  </si>
  <si>
    <t>The world is facing the largest number of displaced persons in history, with many refugee persons seeking safety in the United States. Among many challenges, refugee persons may face difficulty when navigating the world of work in the United States. We conceptualize career-related barriers for refugee persons residing in the United States, including economic constraints, acculturation challenges, and health disparities. Given these challenges, we describe the relevance of psychology of working theory as a potential theoretical model from which to conceptualize career concerns in refugee persons. Finally, based on previous research, we provide implications for counselors working with refugee persons with vocational concerns, as well as suggested areas for future research.</t>
  </si>
  <si>
    <t>[Massengale, Michael; Hong, Jihee] Georgia State Univ, Counseling Psychol Program, Atlanta, GA 30302 USA; [Shebuski, Karen M.] Georgia State Univ, Counseling Psychol PhD Program, Atlanta, GA 30302 USA; [Karaga, Sara; Choe, Elise] Georgia State Univ, Counseling Psychol Doctoral Program, Atlanta, GA 30302 USA; [Hunter, Tameeka L.] Georgia State Univ, Counselor Educ &amp; Practice, Atlanta, GA 30302 USA; [Dispenza, Franco] Georgia State Univ, Dept Counseling &amp; Psychol Serv, Atlanta, GA 30302 USA</t>
  </si>
  <si>
    <t>Massengale, M (corresponding author), Georgia State Univ, POB 3980, Atlanta, GA 30302 USA.</t>
  </si>
  <si>
    <t>mmassengale1@student.gsu.edu</t>
  </si>
  <si>
    <t>0894-8453</t>
  </si>
  <si>
    <t>1556-0856</t>
  </si>
  <si>
    <t>J CAREER DEV</t>
  </si>
  <si>
    <t>J. Career Dev.</t>
  </si>
  <si>
    <t>OCT</t>
  </si>
  <si>
    <t>10.1177/0894845319832670</t>
  </si>
  <si>
    <t>Psychology, Applied</t>
  </si>
  <si>
    <t>Psychology</t>
  </si>
  <si>
    <t>NV8JH</t>
  </si>
  <si>
    <t>WOS:000574560100009</t>
  </si>
  <si>
    <t>Njie-Carr, VPS; Sabri, B; Messing, JT; Suarez, C; Ward-Lasher, A; Wachter, K; Marea, CX; Campbell, J</t>
  </si>
  <si>
    <t>Njie-Carr, Veronica P. S.; Sabri, Bushra; Messing, Jill T.; Suarez, Cecilia; Ward-Lasher, Allison; Wachter, Karin; Marea, Christina X.; Campbell, Jacquelyn</t>
  </si>
  <si>
    <t>Understanding Intimate Partner Violence among Immigrant and Refugee Women: A Grounded Theory Analysis</t>
  </si>
  <si>
    <t>JOURNAL OF AGGRESSION MALTREATMENT &amp; TRAUMA</t>
  </si>
  <si>
    <t>Acculturation; domestic violence; resilience; safety</t>
  </si>
  <si>
    <t>DOMESTIC VIOLENCE; RESILIENCE; AFRICAN; RISK; CULTURE</t>
  </si>
  <si>
    <t>Immigrant and refugee women may experience considerable multifaceted and interrelated barriers that place them at heightened risk for intimate partner violence (IPV). The objective of this analysis was to increase our understanding of immigrant and refugee women's responses to abuse. We conducted in-depth interviews with 84 women who immigrated from Africa, Asia, and Latin America.Engendering Resilience to Surviveemerged as the core category explaining women's strength to stay safe and survive IPV experiences. In the face of the violence they experienced, women in this sample demonstrated remarkable resilience and the ability to harness their strength to survive. Resilience as a process and outcome could facilitate empowerment, and self-directedness to access health services and resources to stay safe. The developed Engendering Resilience to Survive Model can be utilized as a framework to inform research, policy, and practice to support abused women.</t>
  </si>
  <si>
    <t>[Njie-Carr, Veronica P. S.] Univ Maryland, Dept Org Syst &amp; Adult Hlth, Sch Nursing, Baltimore, MD 21201 USA; [Sabri, Bushra; Marea, Christina X.; Campbell, Jacquelyn] Johns Hopkins Univ, Sch Nursing, Baltimore, MD USA; [Messing, Jill T.; Ward-Lasher, Allison; Wachter, Karin] Arizona State Univ, Sch Social Work, Phoenix, AZ USA; [Suarez, Cecilia] Univ Maryland, Sch Publ Hlth, Dept Behav &amp; Community Hlth, College Pk, MD 20742 USA</t>
  </si>
  <si>
    <t>Njie-Carr, VPS (corresponding author), Univ Maryland, Sch Nursing, Baltimore, MD 21201 USA.</t>
  </si>
  <si>
    <t>vnjiecarr@umaryland.edu</t>
  </si>
  <si>
    <t>MAREA, CHRISTINA/0000-0003-3820-2452</t>
  </si>
  <si>
    <t>Eunice Kennedy Shriver National Institute of Child Health &amp; Human Development of the National Institutes of Health [1 R01 HD081179 01A1]</t>
  </si>
  <si>
    <t>This research project is supported by the Eunice Kennedy Shriver National Institute of Child Health &amp; Human Development of the National Institutes of Health under Grant Award Number 1 R01 HD081179 01A1</t>
  </si>
  <si>
    <t>1092-6771</t>
  </si>
  <si>
    <t>1545-083X</t>
  </si>
  <si>
    <t>J AGGRESS MALTREAT T</t>
  </si>
  <si>
    <t>J. Aggress. Maltreatment Trauma</t>
  </si>
  <si>
    <t>10.1080/10926771.2020.1796870</t>
  </si>
  <si>
    <t>SEP 2020</t>
  </si>
  <si>
    <t>Psychology, Clinical; Criminology &amp; Penology; Family Studies; Psychiatry</t>
  </si>
  <si>
    <t>Psychology; Criminology &amp; Penology; Family Studies; Psychiatry</t>
  </si>
  <si>
    <t>NW0DS</t>
  </si>
  <si>
    <t>WOS:000574680800001</t>
  </si>
  <si>
    <t>Haque, S; Malebranche, M</t>
  </si>
  <si>
    <t>Haque, Saarah; Malebranche, Mary</t>
  </si>
  <si>
    <t>Impact of culture on refugee women's conceptualization and experience of postpartum depression in high-income countries of resettlement: A scoping review</t>
  </si>
  <si>
    <t>PLOS ONE</t>
  </si>
  <si>
    <t>Review</t>
  </si>
  <si>
    <t>POSTNATAL DEPRESSION; ASYLUM SEEKERS; IMMIGRANT; ACCULTURATION; SYMPTOMS; SEEKING; HEALTH; RISK; CARE</t>
  </si>
  <si>
    <t>Background The global refugee population has reached a staggering 25.9 million. Approximately 16% of global refugees resettle in high-income countries which are often culturally very different from their home countries. This can create cross-cultural challenges when accessing health services, leading to inappropriate assessments, diagnoses and treatments if cultural background is not factored in. The impact of culture on the conceptualization and experience of postpartum depression (PPD) amongst migrant women has received growing attention in recent years, however, a specific focus on refugee and asylum-seeking women is lacking. Given the unique mental health challenges refugee women face, it is hypothesized that the interplay between culture and postpartum depression amongst refugee women may differ from other migrant women. Therefore, a scoping review was conducted to characterize what is known about the impact of culture on the conceptualization and experience of PPD in refugee women resettled in high-income countries. Methods and findings This study was conducted as a scoping review in accordance with the Joanna Briggs Institute's Methodology for Scoping Reviews. A systematic search of studies addressing the relationship between culture and postpartum depression amongst refugee women (including asylum-seeking women) resettled in high-income countries was conducted across 6 databases including MEDLINE, PsycINFO and SOCINDEX between June 2018 and August 2019. A total of 637 articles were found. Studies were eligible if they focused on refugee women who had a pregnancy during forced migration or upon resettlement in a high-income country and focused on the impact of culture on women's conceptualization and/or experience of PPD. Eight studies met inclusion criteria and were included in the final analysis, the majority of which were qualitatively driven. Four key themes emerged: 1) there are diverse conceptualizations and experiences of postpartum depression amongst refugee women; 2) mental health stigma has a significant impact on women's conceptualizations and experiences of postpartum depression and help-seeking behaviors; 3) cultural traditions and social support play protective roles in postpartum mental wellbeing; and, 4) host culture has a significant influence on the pregnancy and postpartum experience of refugee women. The overall themes align with those seen in the literature on migrant women in general, however significant research gaps remain. Conclusion The studies identified through this scoping review provide a rich description of the significant impact culture has on the conceptualization and experience of postpartum depression among refugee women resettled in high-income countries. Though overall themes align with those seen in the literature on migrant women in general, further research is needed to better characterize how culture impacts refugee women's experiences of PPD as a distinct sub-group of migrant women.</t>
  </si>
  <si>
    <t>[Haque, Saarah] Univ Toronto, Toronto, ON, Canada; [Malebranche, Mary] Univ Calgary, Cumming Sch Med, Dept Med, Calgary, AB, Canada</t>
  </si>
  <si>
    <t>Malebranche, M (corresponding author), Univ Calgary, Cumming Sch Med, Dept Med, Calgary, AB, Canada.</t>
  </si>
  <si>
    <t>mary.malebranche@ucalgary.ca</t>
  </si>
  <si>
    <t>PUBLIC LIBRARY SCIENCE</t>
  </si>
  <si>
    <t>SAN FRANCISCO</t>
  </si>
  <si>
    <t>1160 BATTERY STREET, STE 100, SAN FRANCISCO, CA 94111 USA</t>
  </si>
  <si>
    <t>1932-6203</t>
  </si>
  <si>
    <t>PLoS One</t>
  </si>
  <si>
    <t>SEP 1</t>
  </si>
  <si>
    <t>e0238109</t>
  </si>
  <si>
    <t>10.1371/journal.pone.0238109</t>
  </si>
  <si>
    <t>Multidisciplinary Sciences</t>
  </si>
  <si>
    <t>Science &amp; Technology - Other Topics</t>
  </si>
  <si>
    <t>NN6BT</t>
  </si>
  <si>
    <t>WOS:000568872300029</t>
  </si>
  <si>
    <t>DOAJ Gold, Green Published</t>
  </si>
  <si>
    <t>Collet-Sabe, J</t>
  </si>
  <si>
    <t>Collet-Sabe, Jordi</t>
  </si>
  <si>
    <t>Religious discrimination in young Muslim assimilation in Spain: Contributions to Portes and Rumbaut's segmented assimilation theory</t>
  </si>
  <si>
    <t>SOCIAL COMPASS</t>
  </si>
  <si>
    <t>Islam; Portes and Rumbaut; religion; segmented assimilation</t>
  </si>
  <si>
    <t>2ND-GENERATION; ADAPTATION; MOROCCAN</t>
  </si>
  <si>
    <t>This article aims to consider the role of religion in the integration process of children born to immigrants in host societies (second generation) in Spain using the theory of segmented assimilation of Portes and Rumbaut and Portes, Aparicio and Haller. It is based on an exploratory qualitative research project conducted in a medium-sized city in Catalonia that examined the integration of young people of different origins and the role religion played in this process. To do so, we proffer a religious discrimination hypothesis: a scenario in which Islam, but not other religions, can become a significant barrier to positive assimilation. According to the results, this 'religious stigma' scenario occurs in the majority of the young Muslims who were interviewed and across many aspects of their lives.</t>
  </si>
  <si>
    <t>[Collet-Sabe, Jordi] Univ Vic, Cent Univ Catalonia, Barcelona, Spain</t>
  </si>
  <si>
    <t>Collet-Sabe, J (corresponding author), Univ Vic, Cent Univ Catalonia, Dept Pedag, C Sagrada Familia 7, Barcelona 08500, Spain.</t>
  </si>
  <si>
    <t>iordi.collet@uvic.cat</t>
  </si>
  <si>
    <t>Collet-Sabe, Jordi/AAA-2650-2019</t>
  </si>
  <si>
    <t>Collet-Sabe, Jordi/0000-0001-8526-9997</t>
  </si>
  <si>
    <t>Generalitat de CatalunyaGeneralitat de Catalunya [2016 RELIG00015]</t>
  </si>
  <si>
    <t>The author(s) disclosed receipt of the following financial support for the research, authorship, and/or publication of this article: This research was supported by Generalitat de Catalunya (Direccio General d'Afers religiosos 2016 RELIG00015).</t>
  </si>
  <si>
    <t>0037-7686</t>
  </si>
  <si>
    <t>1461-7404</t>
  </si>
  <si>
    <t>SOC COMPASS</t>
  </si>
  <si>
    <t>Soc. Compass</t>
  </si>
  <si>
    <t>DEC</t>
  </si>
  <si>
    <t>SI</t>
  </si>
  <si>
    <t>10.1177/0037768620948476</t>
  </si>
  <si>
    <t>AUG 2020</t>
  </si>
  <si>
    <t>Sociology; Religion</t>
  </si>
  <si>
    <t>OZ7KR</t>
  </si>
  <si>
    <t>WOS:000560768900001</t>
  </si>
  <si>
    <t>Valentin-Cortes, M; Benavides, Q; Bryce, R; Rabinowitz, E; Rion, R; Lopez, WD; Fleming, PJ</t>
  </si>
  <si>
    <t>Valentin-Cortes, Mislael; Benavides, Quetzabel; Bryce, Richard; Rabinowitz, Ellen; Rion, Raymond; Lopez, William D.; Fleming, Paul J.</t>
  </si>
  <si>
    <t>Application of the Minority Stress Theory: Understanding the Mental Health of Undocumented Latinx Immigrants</t>
  </si>
  <si>
    <t>AMERICAN JOURNAL OF COMMUNITY PSYCHOLOGY</t>
  </si>
  <si>
    <t>Hispanic; Anxiety; Law enforcement; Racism; Discrimination; Public health</t>
  </si>
  <si>
    <t>PSYCHOLOGICAL DISTRESS; UNITED-STATES; DISCRIMINATION; ACCULTURATION; MEXICANS; GAY</t>
  </si>
  <si>
    <t>This paper applies the Minority Stress framework to data collected from an ongoing community-based participatory research project with health and social service agencies in Southeast Michigan. We examine the stressors and coping strategies employed by undocumented Latinx immigrants and their families to manage immigration-related stress. We conducted in-depth interviews with 23 immigrant clients at Federally Qualified Health Care Centers (FQHC) in Southeast Michigan and 28 in-depth interviews with staff at two FQHC's and a non-profit agency serving immigrants. Findings suggest that immigrants face heightened anxiety and adverse mental health outcomes because of unique minority identity-related stressors created by a growing anti-immigrant social environment. Chronic stress experienced stems from restrictive immigration policies, anti-immigrant rhetoric in the media and by political leaders, fear of deportation, discriminatory events, concealment, and internalized anti-immigrant sentiment. Though identity can be an important effect modifier in the stress process, social isolation in the immigrant community has heightened the impact of stress and impeded coping strategies. These stressors have resulted in distrust in community resources, uncertainty about future health benefits, delayed medical care, and adverse mental health outcomes. Findings provide a framework for understanding the unique stressors experienced by immigrants and strategies for interventions by social service agencies.</t>
  </si>
  <si>
    <t>[Valentin-Cortes, Mislael; Benavides, Quetzabel; Lopez, William D.; Fleming, Paul J.] Univ Michigan, Sch Publ Hlth, Ann Arbor, MI 48109 USA; [Bryce, Richard] Community Hlth &amp; Social Serv Ctr, Detroit, MI USA; [Rabinowitz, Ellen] Washtenaw Hlth Plan, Washtenaw Cty Hlth Dept, Ypsilanti, MI USA; [Rion, Raymond] Packard Hlth, Ann Arbor, MI USA</t>
  </si>
  <si>
    <t>Fleming, PJ (corresponding author), Univ Michigan, Sch Publ Hlth, Ann Arbor, MI 48109 USA.</t>
  </si>
  <si>
    <t>pauljf@umich.edu</t>
  </si>
  <si>
    <t>Fleming, Paul/0000-0001-9150-1254</t>
  </si>
  <si>
    <t>University of Michigan Poverty Solutions Initiative; Michigan Institute for Clinical &amp; Health Research [UL1TR002240]</t>
  </si>
  <si>
    <t>This research was supported in part by grants from University of Michigan Poverty Solutions Initiative and the Michigan Institute for Clinical &amp; Health Research (UL1TR002240). The authors would like to thank participants for sharing their time.</t>
  </si>
  <si>
    <t>0091-0562</t>
  </si>
  <si>
    <t>1573-2770</t>
  </si>
  <si>
    <t>AM J COMMUN PSYCHOL</t>
  </si>
  <si>
    <t>Am. J. Community Psychol.</t>
  </si>
  <si>
    <t>3-4</t>
  </si>
  <si>
    <t>10.1002/ajcp.12455</t>
  </si>
  <si>
    <t>Public, Environmental &amp; Occupational Health; Psychology, Multidisciplinary; Social Work</t>
  </si>
  <si>
    <t>Public, Environmental &amp; Occupational Health; Psychology; Social Work</t>
  </si>
  <si>
    <t>PL4GV</t>
  </si>
  <si>
    <t>WOS:000557412800001</t>
  </si>
  <si>
    <t>Asfari, A; Askar, A</t>
  </si>
  <si>
    <t>Asfari, Amin; Askar, Anas</t>
  </si>
  <si>
    <t>Understanding Muslim Assimilation in America: An Exploratory Assessment of First &amp; Second-Generation Muslims Using Segmented Assimilation Theory</t>
  </si>
  <si>
    <t>JOURNAL OF MUSLIM MINORITY AFFAIRS</t>
  </si>
  <si>
    <t>Assimilation; Muslim assimilation; integration; religious identity; religious culture; segmented assimilation theory</t>
  </si>
  <si>
    <t>RELIGIOUS IDENTITY; ACCULTURATION; IMMIGRANTS; TURKISH; MINORITIES</t>
  </si>
  <si>
    <t>Immediately following the attacks of 9/11 in New York, mainstream media outlets echoed the notion of Muslims as strangers who are unable to assimilate into American culture. The purported difficulty in the assimilation of Muslims in America was linked with their religious affiliation, an indelible marker of their ideology, and one that supersedes any national identity. Given the paucity of research on the assimilation of Muslims in America, this paper sought to explore if-and-how this group is assimilating into American culture. Utilizing a mixed-method design, we conducted focus groups, followed by a multi-state survey. Using segmented assimilation theory, we found evidence that Muslims with higher educational attainment and household incomes are well-assimilated. We also found that respondents who identify themselves strongly as Muslim are less likely to assimilate, preferring instead to maintain close in-group ties. We discuss the implications of these findings in greater detail.</t>
  </si>
  <si>
    <t>[Asfari, Amin] Wake Tech Coll, Dept Criminal Justice, Raleigh, NC 27603 USA; [Askar, Anas] Howard Univ, Dept Sociol &amp; Criminol, Washington, DC 20059 USA; [Askar, Anas] NOAA, Cooperat Sci Ctr Atmospher Sci &amp; Meteorol, Silver Spring, MD USA</t>
  </si>
  <si>
    <t>Asfari, A (corresponding author), Wake Tech Coll, Dept Criminal Justice, Raleigh, NC 27603 USA.</t>
  </si>
  <si>
    <t>1360-2004</t>
  </si>
  <si>
    <t>1469-9591</t>
  </si>
  <si>
    <t>J MUSLIM MINOR AFF</t>
  </si>
  <si>
    <t>J. Muslim Minor. Aff.</t>
  </si>
  <si>
    <t>APR 2</t>
  </si>
  <si>
    <t>10.1080/13602004.2020.1781467</t>
  </si>
  <si>
    <t>JUN 2020</t>
  </si>
  <si>
    <t>Religion</t>
  </si>
  <si>
    <t>MI8JU</t>
  </si>
  <si>
    <t>WOS:000546465400001</t>
  </si>
  <si>
    <t>Pirtle, WNL; Valdez, Z; Daniels, KP; Duenas, MD; Castro, D</t>
  </si>
  <si>
    <t>Pirtle, Whitney N. Laster; Valdez, Zulema; Daniels, Kathryn P.; Duenas, Maria D.; Castro, Denise</t>
  </si>
  <si>
    <t>CONCEPTUALIZING ETHNICITY. HOW DIMENSIONS OF ETHNICITY AFFECT DISPARITIES IN HEALTH OUTCOMES AMONG LATINXS IN THE UNITED STATES</t>
  </si>
  <si>
    <t>ETHNICITY &amp; DISEASE</t>
  </si>
  <si>
    <t>Ethnicity; Race; Latinxs; Worthlessness; Self-rated Health</t>
  </si>
  <si>
    <t>SELF-RATED HEALTH; CRITICAL RACE THEORY; MENTAL-HEALTH; MULTIDIMENSIONAL MEASURES; PUBLIC-HEALTH; SKIN COLOR; ACCULTURATION; DISCRIMINATION; PREVALENCE; IMMIGRANT</t>
  </si>
  <si>
    <t>Background: This study considers how attributional and relational dimensions of ethnicity affect Latinxs' health outcomes. Methods: Using regression methods to analyze data from the 2006 Portraits of American Life Study, we examined how attributional and relational dimensions of ethnicity affect: 1) intragroup diticrences in Latinx mental and physical health status, as measured by feelings of worthlessness and self-rated health, respectively; and 2) intergroup differences between Latinxs and non-Hispanic Whites in these health outcomes. Results: Latinxs have higher odds of feelings of worthlessness and lower odds of self-reporting good/excellent health compared with non-Hispanic Whites. Additionally, intragroup differences in health are observed among Latinxs, conditioned on attributional or relational dimensions of ethnicity. Conclusion: Multidimensional measures of ethnicity that distinguish between characteristics associated with ethnicity (attributional) or race (relational) offer a nuanced explanation of health disparities by revealing aspects of ethnicity that shape health outcomes differently, contributing to the goals of health equity.</t>
  </si>
  <si>
    <t>[Pirtle, Whitney N. Laster; Valdez, Zulema; Duenas, Maria D.] UC Merced, Dept Sociol, Merced, CA USA; [Daniels, Kathryn P.] Calif State Polytech Univ Pomona, Pomona, CA USA; [Castro, Denise] Students Making Change, Merced, CA USA</t>
  </si>
  <si>
    <t>Pirtle, WNL (corresponding author), Univ Calif Merced, Dept Sociol, 52000 N Lake Rd, Merced, CA 95340 USA.</t>
  </si>
  <si>
    <t>wpirtle@ucmerced.edu</t>
  </si>
  <si>
    <t>Daniels, Kathryn/0000-0002-8415-1687; Pirtle, Whitney/0000-0002-5357-8629</t>
  </si>
  <si>
    <t>INT SOC HYPERTENSION BLACKS-ISHIB</t>
  </si>
  <si>
    <t>ATLANTA</t>
  </si>
  <si>
    <t>100 AUBURN AVE NE STE 401, ATLANTA, GA 30303-2527 USA</t>
  </si>
  <si>
    <t>1049-510X</t>
  </si>
  <si>
    <t>1945-0826</t>
  </si>
  <si>
    <t>ETHNIC DIS</t>
  </si>
  <si>
    <t>Ethn. Dis.</t>
  </si>
  <si>
    <t>SUM</t>
  </si>
  <si>
    <t>10.18865/ed.30.3.489</t>
  </si>
  <si>
    <t>Public, Environmental &amp; Occupational Health</t>
  </si>
  <si>
    <t>MK4FB</t>
  </si>
  <si>
    <t>WOS:000548740000017</t>
  </si>
  <si>
    <t>Bronze, Green Published</t>
  </si>
  <si>
    <t>Seidler, Y; Seiler-Ramadas, R; Kundi, M</t>
  </si>
  <si>
    <t>Seidler, Yuki; Seiler-Ramadas, Radhika; Kundi, Michael</t>
  </si>
  <si>
    <t>'No Austrian Mother Does This to Sleep Without a Baby!'Postnatal Acculturative Stress and 'Doing the Month' Among East Asian Women in Austria: Revisiting Acculturation Theories From a Qualitative Perspective</t>
  </si>
  <si>
    <t>FRONTIERS IN PSYCHOLOGY</t>
  </si>
  <si>
    <t>acculturative stress; lived experience; postnatal care; immigrant; East Asian women; Austria; interpretative phenomenological analysis; qualitative methods</t>
  </si>
  <si>
    <t>CHINESE MIGRANT WOMEN; POSTPARTUM DEPRESSION; POSTNATAL DEPRESSION; COPING STRATEGIES; JAPANESE MOTHERS; SOCIAL MEANINGS; IMMIGRANT WOMEN; HEALTH-CARE; SYMPTOMS; SUPPORT</t>
  </si>
  <si>
    <t>Acculturative stress is a phenomenon describing negative emotions experienced by immigrants in their socio-cultural and psychological adaptation process to the host society's dominant culture and its population. Acculturative stress is assumed to be one the reasons for higher prevalence of postnatal depression among immigrant women compared to non-immigrant women. Theories and models of acculturation and coping strategies suggest that certain cultural orientations or behaviors could mitigate acculturative stress and postnatal depression. Nevertheless, quantitative studies applying these theories have so far revealed inconsistent results. Given this background, we ask: what can a qualitative study of immigrant women's postnatal experiences tell us about the interrelationships between immigrant mothers' acculturation behaviors or cultural orientations, and maternal psychological health? Particularly, we explore the postnatal experiences of Chinese and Japanese women who gave birth in Austria, focusing on their experiences and behaviors influenced by their heritage culture's postnatal practices (zuo yue ziandsatogaeri). Theoretically, we apply Berry's acculturation model through a focus on what we call 'Postnatal Acculturative Stress' (PAS). By doing so, we identify factors that prevent or mitigate PAS. Another aim of this article is to critically reassess Berry's model in the context of postnatal care and maternal psychological health. Data were analyzed using a combination of deductive and inductive method through the application of directed content analysis and phenomenological approach. Women's postnatal experiences were summarized as an 'unexpected solitary struggle in the midst of dual identity change' in four specific domains: postnatal rest and diet, social support, feelings toward significant others and identity. Preventive and mitigating factors against PAS included trust (in self and one's health beliefs) and mutual respectful relationships with and between the significant others. The application of Berry's acculturation model provided a useful framework of analysis. Nevertheless, the multifarious complexity involved in the process of acculturation as well as different power dynamics in the family and healthcare settings makes it difficult to draw causal relationships between certain acculturation behaviors or cultural orientations with specific health outcomes. Health professionals should be aware of the complex psychosocial processes, contexts as well as social environment that shape immigrants' acculturative behaviors.</t>
  </si>
  <si>
    <t>[Seidler, Yuki; Seiler-Ramadas, Radhika; Kundi, Michael] Med Univ Vienna, Ctr Publ Hlth, Vienna, Austria; [Seidler, Yuki] Univ Vienna, Dept Dev Studies, Vienna, Austria; [Seidler, Yuki] Ctr Hlth &amp; Migrat, Vienna, Austria</t>
  </si>
  <si>
    <t>Seidler, Y; Kundi, M (corresponding author), Med Univ Vienna, Ctr Publ Hlth, Vienna, Austria.; Seidler, Y (corresponding author), Univ Vienna, Dept Dev Studies, Vienna, Austria.; Seidler, Y (corresponding author), Ctr Hlth &amp; Migrat, Vienna, Austria.</t>
  </si>
  <si>
    <t>yuki.seidler@univie.ac.at; michael.kundi@meduniwien.ac.at</t>
  </si>
  <si>
    <t>Seidler, Yuki/0000-0003-2886-3054</t>
  </si>
  <si>
    <t>University of Vienna</t>
  </si>
  <si>
    <t>Open access funding was provided by the University of Vienna.</t>
  </si>
  <si>
    <t>FRONTIERS MEDIA SA</t>
  </si>
  <si>
    <t>LAUSANNE</t>
  </si>
  <si>
    <t>AVENUE DU TRIBUNAL FEDERAL 34, LAUSANNE, CH-1015, SWITZERLAND</t>
  </si>
  <si>
    <t>1664-1078</t>
  </si>
  <si>
    <t>FRONT PSYCHOL</t>
  </si>
  <si>
    <t>Front. Psychol.</t>
  </si>
  <si>
    <t>MAY 14</t>
  </si>
  <si>
    <t>10.3389/fpsyg.2020.00977</t>
  </si>
  <si>
    <t>Psychology, Multidisciplinary</t>
  </si>
  <si>
    <t>MV9MZ</t>
  </si>
  <si>
    <t>WOS:000556674100001</t>
  </si>
  <si>
    <t>Saban, K</t>
  </si>
  <si>
    <t>Saban, Karen</t>
  </si>
  <si>
    <t>FROM CULTURAL MEMORY TO MEMORY'S TRANSCULTURATION: A THEORETICAL PATH</t>
  </si>
  <si>
    <t>REVISTA CHILENA DE LITERATURA</t>
  </si>
  <si>
    <t>Spanish</t>
  </si>
  <si>
    <t>cultural memory; transcultural memory; mediated memory; transgenerational memory; collective trauma</t>
  </si>
  <si>
    <t>This article proposes a theoretical journey through some conceptions of memory to think about issues associated with cultural contact: beginning with early theories developed in the first half of the twentieth century in Europe (W. Benjamin and M. Halbwachs), passing through the memorial boom in the 80s and 90s (P. Nora, J. y A. Assmann, A. Huyssen) and ending with concepts of cultural memory and collective memory that include a semiotic and anthropological point of view (A. Erll) or those concerned about global phenomena such as terrorism, migration, virtual communications and post colonialism that also require thinking in a transnational and transcultural memory (M. Rothberg, D. Levy, A. Baer y N. Sznaider). Afterwards I discuss how this new paradigma could well enrich the analysis of phenomena such as forced disappearance, the transgenerational transmission of trauma or the discourses of human rights in South America.</t>
  </si>
  <si>
    <t>[Saban, Karen] Heidelberg Univ, Heidelberg, Germany</t>
  </si>
  <si>
    <t>Saban, K (corresponding author), Heidelberg Univ, Heidelberg, Germany.</t>
  </si>
  <si>
    <t>karen.saban@rose.uni-heidelberg.de</t>
  </si>
  <si>
    <t>UNIV CHILE, FAC FILOS HUMAN EDUC</t>
  </si>
  <si>
    <t>SANTIAGO</t>
  </si>
  <si>
    <t>CENTRO ESTGRIEGOS BIZANTINOS Y NEOHELENICOS, IGNACIO CARRERA PINTO 1025, CASILLA 73 SUC GRECIA NUNOA, SANTIAGO, 00000, CHILE</t>
  </si>
  <si>
    <t>0718-2295</t>
  </si>
  <si>
    <t>REV CHIL LIT</t>
  </si>
  <si>
    <t>Rev. Chil. Lit.</t>
  </si>
  <si>
    <t>MAY</t>
  </si>
  <si>
    <t>Literature, Romance</t>
  </si>
  <si>
    <t>Literature</t>
  </si>
  <si>
    <t>LS1AP</t>
  </si>
  <si>
    <t>WOS:000536124900017</t>
  </si>
  <si>
    <t>Kemppainen, T; Kemppainen, L; Kuusio, H; Rask, S; Saukkonen, P</t>
  </si>
  <si>
    <t>Kemppainen, Teemu; Kemppainen, Laura; Kuusio, Hannamaria; Rask, Shadia; Saukkonen, Pasi</t>
  </si>
  <si>
    <t>Multifocal Integration and Marginalisation: A Theoretical Model and an Empirical Study on Three Immigrant Groups</t>
  </si>
  <si>
    <t>SOCIOLOGY-THE JOURNAL OF THE BRITISH SOCIOLOGICAL ASSOCIATION</t>
  </si>
  <si>
    <t>belonging; immigration; integration; marginalisation; transnationalism</t>
  </si>
  <si>
    <t>WEAK TIES; ACCULTURATION; TRANSNATIONALISM; MIGRATION; SELF; IDENTIFICATION; SIMULTANEITY; ASSIMILATION; DIMENSIONS; DIVERSITY</t>
  </si>
  <si>
    <t>Recent sociological discussions have examined the classic theme of social integration from the point of view of belonging and multiple solidarities. As a research topic, migration importantly elucidates these general sociological questions. Literature on migration, integration and transnationalism lacks an encompassing theoretical model, which limits our understanding of complex integration processes. We propose a multifocal model of migrant integration including three key foci of integration: the host society; transnational sphere; and co-ethnic community in the host society. Moreover, the model considers integration in terms of different dimensions. With this model, we define multifocal marginalisation and study Russian, Kurdish and Somali migrants in Finland. We find that the different foci do not compete with each other, but are in a moderate positive relationship. There are clear group differences in integration patterns. Determinants of multifocal marginalisation include Kurdish background, weak Internet skills and older age. Discussion themes include belonging and social change.</t>
  </si>
  <si>
    <t>[Kemppainen, Teemu] Univ Helsinki, Urban Geog, Helsinki, Finland; [Kemppainen, Laura] Univ Helsinki, Helsinki, Finland; [Saukkonen, Pasi] Univ Helsinki, Polit Sci, Helsinki, Finland; [Kemppainen, Teemu] ENS, EHESS, CNRS, Ctr Maurice Halbwachs, Paris, France; [Kuusio, Hannamaria; Rask, Shadia] Finnish Inst Hlth &amp; Welf, Equal &amp; Inclus Unit, Helsinki, Finland; [Saukkonen, Pasi] City Helsinki Execut Off, Urban Res &amp; Stat, Helsinki, Finland; [Saukkonen, Pasi] Univ Jyvaskyla, Cultural Policy, Jyvaskyla, Finland</t>
  </si>
  <si>
    <t>Kemppainen, L (corresponding author), Univ Helsinki, Fac Social Sci, POB 54, FIN-00014 Helsinki, Finland.</t>
  </si>
  <si>
    <t>laura.kemppainen@helsinki.fi</t>
  </si>
  <si>
    <t>Kemppainen, Teemu/0000-0002-0450-4439</t>
  </si>
  <si>
    <t>Academy of FinlandAcademy of FinlandEuropean Commission [312310]; Strategic Research Council at the Academy of Finland [327145, 327148]; Kone Foundation; Helsinki Metropolitan Region Urban Research Program; City of Turku/West-Finland Housing Association of Public Utility</t>
  </si>
  <si>
    <t>The authors disclosed receipt of the following financial support for the research, authorship and/or publication of this article: the research was funded by the Academy of Finland (grant 312310 for the Centre of Excellence for Research on Ageing and Care, RG 3 Migration, Care and Ageing), the Strategic Research Council at the Academy of Finland (grant 327145 and 327148 for the DigiIn project), Kone Foundation (project Crossing Borders for Health and Well-Being), Helsinki Metropolitan Region Urban Research Program and the City of Turku/West-Finland Housing Association of Public Utility (Lansi-Suomen Yleishyodyllinen Asuntosaatio).</t>
  </si>
  <si>
    <t>0038-0385</t>
  </si>
  <si>
    <t>1469-8684</t>
  </si>
  <si>
    <t>SOCIOLOGY</t>
  </si>
  <si>
    <t>Sociol.-J. Brit. Sociol. Assoc.</t>
  </si>
  <si>
    <t>AUG</t>
  </si>
  <si>
    <t>10.1177/0038038520904715</t>
  </si>
  <si>
    <t>MAR 2020</t>
  </si>
  <si>
    <t>Sociology</t>
  </si>
  <si>
    <t>MK2IX</t>
  </si>
  <si>
    <t>WOS:000523535300001</t>
  </si>
  <si>
    <t>Other Gold, Green Published</t>
  </si>
  <si>
    <t>Zavala, E; Curry, TR; Morales, MC</t>
  </si>
  <si>
    <t>Zavala, Egbert; Curry, Theodore R.; Morales, Maria Cristina</t>
  </si>
  <si>
    <t>Explaining the Cultural Retention-Delinquency Relationship Using Differential Support and Coercion Theory: A Study of Native-Born and Immigrant Latino Youth</t>
  </si>
  <si>
    <t>SOCIAL SCIENCE QUARTERLY</t>
  </si>
  <si>
    <t>SOCIAL SUPPORT; IDENTITY FORMATION; CRIME RATES; ACCULTURATION; ASSIMILATION; VICTIMIZATION; BEHAVIOR; PLACE; SCALE</t>
  </si>
  <si>
    <t>Objective Although immigrants tend to have lower involvement in delinquency, increasing levels of acculturation to American society may lead to higher levels of delinquency. Conversely, cultural retention typically reduces such behavior. To explain these findings, this study employs differential coercion and support theory to predict that cultural retention is inversely associated with delinquency through associations with greater social support and less coercion. Method Using a large, national-level sample of Latino native-born and immigrant youth, analyses are conducted using both ordinary least squares (OLS) and logistic regression. Results Findings support hypotheses, showing that increases in cultural retention are associated with less coercion and more social support, both of which are, in turn, related to delinquency. Importantly, an initial strong inverse relationship between cultural retention and delinquency disappears when coercion and social support are controlled. Conclusion Higher social support and lower coercion help explain the inverse relationship between cultural retention and delinquency among native-born and immigrant Latino youth.</t>
  </si>
  <si>
    <t>[Zavala, Egbert; Curry, Theodore R.; Morales, Maria Cristina] Univ Texas El Paso, El Paso, TX 79968 USA</t>
  </si>
  <si>
    <t>Zavala, E (corresponding author), Univ Texas El Paso, Dept Criminal Justice, 500 West Univ Ave, El Paso, TX 79968 USA.</t>
  </si>
  <si>
    <t>egbertz@utep.edu</t>
  </si>
  <si>
    <t>Morales, Maria Cristina/0000-0003-4595-3908</t>
  </si>
  <si>
    <t>0038-4941</t>
  </si>
  <si>
    <t>1540-6237</t>
  </si>
  <si>
    <t>SOC SCI QUART</t>
  </si>
  <si>
    <t>Soc. Sci. Q.</t>
  </si>
  <si>
    <t>MAR</t>
  </si>
  <si>
    <t>10.1111/ssqu.12776</t>
  </si>
  <si>
    <t>FEB 2020</t>
  </si>
  <si>
    <t>Political Science; Sociology</t>
  </si>
  <si>
    <t>Government &amp; Law; Sociology</t>
  </si>
  <si>
    <t>KW3HO</t>
  </si>
  <si>
    <t>WOS:000511007800001</t>
  </si>
  <si>
    <t>Hossin, MZ</t>
  </si>
  <si>
    <t>Hossin, Muhammad Zakir</t>
  </si>
  <si>
    <t>International migration and health: it is time to go beyond conventional theoretical frameworks</t>
  </si>
  <si>
    <t>BMJ GLOBAL HEALTH</t>
  </si>
  <si>
    <t>SOCIAL DETERMINANTS; INTERSECTIONALITY THEORY; FORCED MIGRATION; UNITED-STATES; IMMIGRANT; GENDER; MORTALITY; DISCRIMINATION; SELECTION; MIGRANTS</t>
  </si>
  <si>
    <t>The large-scale international migration in the 21st century has emerged as a major threat to the global health equity movement. Not only has the volume of migration substantially increased but also the patterns of migration have become more complex. This paper began by focusing on the drivers of international migration and how health inequalities are linked to migration. Situating migration within the broader structural contexts, the paper calls for using the unharnessed potential of the intersectionality framework to advance immigrant health research. Despite coming from poorer socioeconomic backgrounds and facing disparities in the host society, the immigrants are often paradoxically shown to be healthier than the native population, although this health advantage diminishes over time. Studies on immigrant health, however, are traditionally informed by the acculturation framework which holds the assimilation of unhealthy lifestyles primarily responsible for immigrant health deterioration, diverting the attention away from the structural factors. Although the alternative structural framework came up with the promise to explore the structural factors, it is criticised for an overwhelming focus on access to healthcare and inadequate attention to institutional and societal contexts. However, the heterogeneity of the immigrant population across multiple dimensions of vulnerability demands a novel approach that can bring to the fore both premigratory and postmigratory contextual factors and adequately capture the picture of immigrant health. The paper concludes by questioning the acculturation perspective and pushing the structural paradigm to embrace the intersectionality framework which has the potential to address a wide range of vulnerabilities that intersect to produce health inequalities among the immigrants.</t>
  </si>
  <si>
    <t>[Hossin, Muhammad Zakir] Karolinska Inst, Dept Global Publ Hlth, Stockholm, Sweden; [Hossin, Muhammad Zakir] Stockholm Univ, Dept Publ Hlth Sci, Stockholm, Sweden; [Hossin, Muhammad Zakir] Eastern Univ Bangladesh, Dept Gen Educ, Dhaka, Bangladesh</t>
  </si>
  <si>
    <t>Hossin, MZ (corresponding author), Karolinska Inst, Dept Global Publ Hlth, Stockholm, Sweden.; Hossin, MZ (corresponding author), Stockholm Univ, Dept Publ Hlth Sci, Stockholm, Sweden.; Hossin, MZ (corresponding author), Eastern Univ Bangladesh, Dept Gen Educ, Dhaka, Bangladesh.</t>
  </si>
  <si>
    <t>zakir.hossin@ki.se</t>
  </si>
  <si>
    <t>Hossin, Muhammad Zakir/0000-0002-9078-419X</t>
  </si>
  <si>
    <t>Swedish Institute scholarship</t>
  </si>
  <si>
    <t>This article was produced during the author's stay at Stockholm University in Sweden, thanks to a Swedish Institute scholarship. The author wishes to express sincere gratitude to Dr Karl Gauffin and Dr Andrea Dunlavy at Stockholm University for providing critical feedback on an earlier version of the manuscript. The author also acknowledges the valuable comments received from three anonymous reviewers.</t>
  </si>
  <si>
    <t>BMJ PUBLISHING GROUP</t>
  </si>
  <si>
    <t>BRITISH MED ASSOC HOUSE, TAVISTOCK SQUARE, LONDON WC1H 9JR, ENGLAND</t>
  </si>
  <si>
    <t>2059-7908</t>
  </si>
  <si>
    <t>BMJ GLOB HEALTH</t>
  </si>
  <si>
    <t>BMJ Glob. Health</t>
  </si>
  <si>
    <t>FEB</t>
  </si>
  <si>
    <t>e001938</t>
  </si>
  <si>
    <t>10.1136/bmjgh-2019-001938</t>
  </si>
  <si>
    <t>LF9BG</t>
  </si>
  <si>
    <t>WOS:000527707600006</t>
  </si>
  <si>
    <t>Brand, T; Barbek, R; Gencer, H; Samkange-Zeeb, F; Zeeb, H</t>
  </si>
  <si>
    <t>Brand, Tilman; Barbek, Rieke; Gencer, Hande; Samkange-Zeeb, Florence; Zeeb, Hajo</t>
  </si>
  <si>
    <t>Socio-Culturally Sensitive Disease Prevention and Health Promotion: Development of a Theoretical Framework and Results of a Survey of Physical Activity Promotion Projects.</t>
  </si>
  <si>
    <t>GESUNDHEITSWESEN</t>
  </si>
  <si>
    <t>German</t>
  </si>
  <si>
    <t>Prevention; Migration; Socio-cultural appropriateness; Health promotion; Physical activity</t>
  </si>
  <si>
    <t>INTERVENTIONS; STRATEGIES</t>
  </si>
  <si>
    <t>Objective To develop a framework for socio-culturally sensitive disease prevention and health promotion and to assess which components of socio-cultural appropriateness are used in physical activity projects targeting migrants. Methods Based on 9 expert interviews and a rapid review in PubMed and PsycInfo, we identified domains and strategies of socio-cultural sensitivity for disease prevention and health promotion. The domains were used as a basis for a survey of physical activity projects targeting migrants as listed in a national project data base (Gesundheitliche Chancengleichheit). Results We identified 5 domains for socio-cultural adaptation of prevention programs (peripheral, evidential, linguistic, constituent-involving and socio-cultural strategies). Using multiple strategies seems to increase the efficacy of the interventions. Of the 48 contacted projects, 29 participated in the survey. Almost all projects used strategies from 4 of the 5 domains. Evidential strategies were used to a lesser extent. Conclusions The developed framework can be used for both, planning and evaluating prevention programs targeting migrants. The project survey shows how socio-cultural appropriateness can be improved through a variety of strategies.</t>
  </si>
  <si>
    <t>[Brand, Tilman; Barbek, Rieke; Gencer, Hande; Samkange-Zeeb, Florence; Zeeb, Hajo] Leibniz Inst Pravent Forsch &amp; Epidemiol BIPS, Abt Pravent &amp; Evaluat, Bremen, Germany; [Zeeb, Hajo] Univ Bremen, Gesundheitswissensch, Wissensch Schwerpunkt, Bremen, Germany</t>
  </si>
  <si>
    <t>Brand, T (corresponding author), Leibniz Inst Pravent Forsch &amp; Epidemiol BIPS, Achterstr 30, D-28359 Bremen, Germany.</t>
  </si>
  <si>
    <t>brand@bips.uni-bremen.de</t>
  </si>
  <si>
    <t>GEORG THIEME VERLAG KG</t>
  </si>
  <si>
    <t>STUTTGART</t>
  </si>
  <si>
    <t>RUDIGERSTR 14, D-70469 STUTTGART, GERMANY</t>
  </si>
  <si>
    <t>0941-3790</t>
  </si>
  <si>
    <t>1439-4421</t>
  </si>
  <si>
    <t>Gesundheitswesen</t>
  </si>
  <si>
    <t>10.1055/a-0996-8406</t>
  </si>
  <si>
    <t>KN2QC</t>
  </si>
  <si>
    <t>WOS:000514686100015</t>
  </si>
  <si>
    <t>Venta, A</t>
  </si>
  <si>
    <t>Venta, Amanda</t>
  </si>
  <si>
    <t>Attachment Facilitates Acculturative Learning and Adversity Moderates: Validating the Theory of Epistemic Trust in a Natural Experiment</t>
  </si>
  <si>
    <t>CHILD PSYCHIATRY &amp; HUMAN DEVELOPMENT</t>
  </si>
  <si>
    <t>Epistemic trust; Attachment; Adverse childhood experience; Immigrant; Acculturation</t>
  </si>
  <si>
    <t>SUBSTANCE USE; STRESS; BEHAVIORS; ADOLESCENTS; SYMPTOMS</t>
  </si>
  <si>
    <t>Acculturation has consequences for immigrant health, and provides a natural experimental context in which to test Fonagy and Allison's theory of epistemic trust. Their theory posits that secure attachment in the caregiver-youth dyad is a key mechanism for supporting, and exposure to childhood adversity and trauma is thought to block, the cultural learning process. The aim of this study was to validate the theory of epistemic trust by examining secure attachment as a predictor of acculturation across time and adverse childhood experiences as a moderator in 100 recently immigrated high school students followed for one year. Growth parameters were extracted and regressed on key study variables. Results indicated a significant main effect of maternal attachment on acculturation across time, as well an interaction in which the aforementioned link was blocked by adverse childhood experiences. In the context of acculturative learning, two tenets of the theory of epistemic trust were supported.</t>
  </si>
  <si>
    <t>[Venta, Amanda] Sam Houston State Univ, Dept Psychol &amp; Philosophy, Campus Box 2447, Huntsville, TX 77341 USA</t>
  </si>
  <si>
    <t>Venta, A (corresponding author), Sam Houston State Univ, Dept Psychol &amp; Philosophy, Campus Box 2447, Huntsville, TX 77341 USA.</t>
  </si>
  <si>
    <t>aventa@shsu.edu</t>
  </si>
  <si>
    <t>Sam Houston State University</t>
  </si>
  <si>
    <t>This work was funded by internal grants from Sam Houston State University.</t>
  </si>
  <si>
    <t>SPRINGER</t>
  </si>
  <si>
    <t>NEW YORK</t>
  </si>
  <si>
    <t>ONE NEW YORK PLAZA, SUITE 4600, NEW YORK, NY, UNITED STATES</t>
  </si>
  <si>
    <t>0009-398X</t>
  </si>
  <si>
    <t>1573-3327</t>
  </si>
  <si>
    <t>CHILD PSYCHIAT HUM D</t>
  </si>
  <si>
    <t>Child Psychiat. Hum. Dev.</t>
  </si>
  <si>
    <t>JUN</t>
  </si>
  <si>
    <t>10.1007/s10578-020-00958-x</t>
  </si>
  <si>
    <t>JAN 2020</t>
  </si>
  <si>
    <t>Psychology, Developmental; Pediatrics; Psychiatry</t>
  </si>
  <si>
    <t>Psychology; Pediatrics; Psychiatry</t>
  </si>
  <si>
    <t>LO7DS</t>
  </si>
  <si>
    <t>WOS:000509237000002</t>
  </si>
  <si>
    <t>Rodriguez-Garcia, D; Luken, VD; Solana-Solana, M</t>
  </si>
  <si>
    <t>Rodriguez-Garcia, Dan; Luken, Veronica de Miguel; Solana-Solana, Miguel</t>
  </si>
  <si>
    <t>MIXED COUPLES AND THEIR DESCENDANTS IN SPAIN Patterns of mixedness and theoretical considerations</t>
  </si>
  <si>
    <t>ANUARIO CIDOB DE LA INMIGRACION</t>
  </si>
  <si>
    <t>Mixed unions; descendants of mixed unions; mixedness; social inclusion/exclusion; Spain</t>
  </si>
  <si>
    <t>INTERMARRIAGE; INTEGRATION; IMMIGRANTS; ASSIMILATION; CATALONIA; MARRIAGES; CONTEXT</t>
  </si>
  <si>
    <t>This paper describes the state of play for mixed unions between nationals and foreigners and for their descendants in Spain. Broadly termed mixticidad, this growing worldwide phenomenon, is beginning to be better known in this country. First, a mainly descriptive statistical overview is given of the main patterns and evolution (in terms of time, type and geographical distribution), both in relation to mixed unions and the births resulting from them. Second, the paper explores the deeper meanings of this reality using first-hand ethnographic information, which allows us to make some reflections on its meaning and social consequences in Spanish social inclusion and exclusion dynamics. Finally, some conclusions are offered along with the main findings.</t>
  </si>
  <si>
    <t>[Rodriguez-Garcia, Dan; Solana-Solana, Miguel] Univ Autonoma Barcelona UAB, Barcelona, Spain; [Luken, Veronica de Miguel] Univ Malaga UMA, Malaga, Spain</t>
  </si>
  <si>
    <t>Rodriguez-Garcia, D (corresponding author), Univ Autonoma Barcelona UAB, Barcelona, Spain.</t>
  </si>
  <si>
    <t>dan.rodriguez@uab.es; vdmiguel@uma.es; AntonioMiguel.Solana@uab.es</t>
  </si>
  <si>
    <t>FUNDACIO CIDOB</t>
  </si>
  <si>
    <t>BARCELONA</t>
  </si>
  <si>
    <t>C ELISABETS, 12, BARCELONA, 08001, SPAIN</t>
  </si>
  <si>
    <t>2462-6732</t>
  </si>
  <si>
    <t>2462-6740</t>
  </si>
  <si>
    <t>ANU CIDOB INMIGR</t>
  </si>
  <si>
    <t>Anu. CIDOB Inmigr.</t>
  </si>
  <si>
    <t>10.24241/AnuarioCIDOBInmi.2020.168</t>
  </si>
  <si>
    <t>Demography</t>
  </si>
  <si>
    <t>QK1VO</t>
  </si>
  <si>
    <t>WOS:000620169900009</t>
  </si>
  <si>
    <t>Gonzalez, DR</t>
  </si>
  <si>
    <t>Renart Gonzalez, Diego</t>
  </si>
  <si>
    <t>THEORY OF ART, ABSTRACTION AND PROTEST IN THE DOMINICAN PLASTIC ARTS DURING THE FIRST TWO DECADES OF THE TRUJILLO'S DICTATORSHIP (1930-1952)</t>
  </si>
  <si>
    <t>ESPACIO TIEMPO Y FORMA SERIE VII-HISTORIA DEL ARTE</t>
  </si>
  <si>
    <t>Rafael L. Trujillo; Europeans in exile; theory of art; evolution; abstraction; Joseph Fulop; Dario Suro; protest</t>
  </si>
  <si>
    <t>Contemporary artistic forms and ideas had to wait in the Dominican Republic both up to the arrival of the European refugees after the devastating global conflicts in the late thirties as well as to the return of some Dominican artists to be assimilated. Without a doubt, this process of late assimilation produced a regional and special characteristic in its cultural environment. In this way, within one of the most dreadful dictatorships borne in America, the evolution of art ran in parallel to the most tragic political and social events, orienting itself, in general, in two different ways: on the one hand, through the purely aesthetic one, that apparently ended in abstraction (from which moreover we think its origin is guessed for the first time); on the other hand, through the symbolic one, the one that via traditional figurative art used insubordination and protest tools as a subtle relief. Additionally, in spite of being extended the Trujillato until 1961, the date of the tyrannicide, we delimit the chronology of the study because of the extension of the text.</t>
  </si>
  <si>
    <t>diego.renart@gmail.com</t>
  </si>
  <si>
    <t>UNIV NACIONAL EDUCACION DISTANCIA</t>
  </si>
  <si>
    <t>MADRID</t>
  </si>
  <si>
    <t>PO SENDA REY,BRAVO MURILLO 38, MADRID, 7-28040, SPAIN</t>
  </si>
  <si>
    <t>1130-4715</t>
  </si>
  <si>
    <t>2340-1478</t>
  </si>
  <si>
    <t>ESPAC TIEMPO FOR VII</t>
  </si>
  <si>
    <t>Espacio Tiempo Forma Ser. VII-Hist. Arte</t>
  </si>
  <si>
    <t>10.5944/etfvii.2020.27075</t>
  </si>
  <si>
    <t>Art</t>
  </si>
  <si>
    <t>OU9PR</t>
  </si>
  <si>
    <t>WOS:000591855900022</t>
  </si>
  <si>
    <t>Liang, XY; Sendjaya, S; Abeysekera, L</t>
  </si>
  <si>
    <t>Liang, Xiaoyan; Sendjaya, Sen; Abeysekera, Lakmal</t>
  </si>
  <si>
    <t>Does acculturation affect one's implicit leadership theories? Evidence from Chinese professionals in Australia and China</t>
  </si>
  <si>
    <t>ASIA PACIFIC JOURNAL OF MANAGEMENT</t>
  </si>
  <si>
    <t>Chinese immigrant professional; Implicit leadership theories; Acculturation</t>
  </si>
  <si>
    <t>PATERNALISTIC LEADERSHIP; MANAGERIAL EFFECTIVENESS; FOLLOWERSHIP THEORIES; LANGUAGE USE; IDENTITY; MIGRATION; GENDER; WOMEN; MODEL; INFORMATION</t>
  </si>
  <si>
    <t>Notwithstanding the increasing participation of Chinese immigrant professionals in developed countries, our knowledge on the link between acculturation and leadership is scant. By integrating the fields of acculturation and leadership, this study examines the effect of acculturation on the implicit leadership theories held by Chinese professionals in Australia relative to their counterparts in China. Seventy interviews involving Chinese immigrant professionals in Australia and China were conducted to explore the extent to which acculturation into a new and different cultural context changes one's implicit leadership theories. Analyses of the interview data led to the emergence of five culturally independent and two culturally dependent implicit leadership perceptions. This study contributes to the ongoing debate around the stability of implicit leadership theories and extends the validity of using a follower-centred approach to study leadership.</t>
  </si>
  <si>
    <t>[Liang, Xiaoyan] CQUniv Australia, Higher Educ Div, Sch Business &amp; Law, Melbourne, Vic, Australia; [Sendjaya, Sen] Swinburne Univ Technol, Swinburne Business Sch, Melbourne, Vic, Australia; [Abeysekera, Lakmal] Monash Univ, Dept Management, Melbourne, Vic, Australia</t>
  </si>
  <si>
    <t>Liang, XY (corresponding author), CQUniv Australia, Higher Educ Div, Sch Business &amp; Law, Melbourne, Vic, Australia.</t>
  </si>
  <si>
    <t>c.liang@cqu.edu.au; ssendjaya@swin.edu.au; lakmal.abeysekera@monash.edu</t>
  </si>
  <si>
    <t>Liang, xiaoyan/0000-0002-5303-2124</t>
  </si>
  <si>
    <t>233 SPRING ST, NEW YORK, NY 10013 USA</t>
  </si>
  <si>
    <t>0217-4561</t>
  </si>
  <si>
    <t>1572-9958</t>
  </si>
  <si>
    <t>ASIA PAC J MANAG</t>
  </si>
  <si>
    <t>Asia Pac. J. Manag.</t>
  </si>
  <si>
    <t>10.1007/s10490-019-09695-9</t>
  </si>
  <si>
    <t>DEC 2019</t>
  </si>
  <si>
    <t>JR9WL</t>
  </si>
  <si>
    <t>WOS:000499966400001</t>
  </si>
  <si>
    <t>Berger, R; Safdar, S; Spiess, E; Bekk, M; Font, A</t>
  </si>
  <si>
    <t>Berger, Rita; Safdar, Saba; Spiess, Erika; Bekk, Magdalena; Font, Antoni</t>
  </si>
  <si>
    <t>Acculturation of Erasmus students: Using the multidimensional individual difference acculturation model framework</t>
  </si>
  <si>
    <t>INTERNATIONAL JOURNAL OF PSYCHOLOGY</t>
  </si>
  <si>
    <t>Acculturation; Social axioms; International Students; Psychological well-being</t>
  </si>
  <si>
    <t>PSYCHOLOGICAL ADJUSTMENT; INTERNATIONAL STUDENTS; DAILY HASSLES; ADAPTATION; IMMIGRANTS</t>
  </si>
  <si>
    <t>The present self-report survey study examines the psychophysical (how they feel) and sociocultural (how they do) adjustment of Erasmus students (N=223) in Spain and Germany. We adopted the comprehensive multidimensional individual difference acculturation framework to examine the acculturation process of Erasmus students. Using structural equation modeling, we tested specific hypotheses drawn from the framework, chi(2)(15)=18.50, p=.24; chi(2)/df=1.23, CFI=.99; and RMSEA=.03. In particular, we expected and found that students who reported high cultural and linguistic skills, high resilience, and a strong sense of identity had successful adaption in the host country. These students also reported high intercultural contact and low levels of psychophysical symptoms. Our findings highlight the relevance of core psychosocial factors in the adjustment of Erasmus students. The results have implications for universities accepting foreign students as we found successful adjustment will be hampered even for resilient students if they receive little social support from their university or limited mentoring to acquire appropriate skills.</t>
  </si>
  <si>
    <t>[Berger, Rita] Univ Barcelona, Fac Psychol, Dept Social Psychol &amp; Quantitat Psychol, Passeig Vall dHebron 171, E-08035 Barcelona, Spain; [Safdar, Saba] Univ Guelph, Dept Psychol, Ctr Cross Cultural Res, Guelph, ON, Canada; [Spiess, Erika] Univ Ludwig Maxilimian Munich, Dept Psychol Econ &amp; Org Psychol, Munich, Germany; [Bekk, Magdalena] Univ Cologne, Dept Mkt &amp; Brand Mkt, Fac Management Econ &amp; Social Sci, Cologne, Germany; [Font, Antoni] Univ Autonoma Barcelona, Fac Psychol, Dept Basic Dev &amp; Educ Psychol, Bellaterra, Spain</t>
  </si>
  <si>
    <t>Berger, R (corresponding author), Univ Barcelona, Fac Psychol, Dept Social Psychol &amp; Quantitat Psychol, Passeig Vall dHebron 171, E-08035 Barcelona, Spain.</t>
  </si>
  <si>
    <t>ritaberger@ub.edu</t>
  </si>
  <si>
    <t>Berger, Rita/G-2950-2011</t>
  </si>
  <si>
    <t>Berger, Rita/0000-0002-9908-3672</t>
  </si>
  <si>
    <t>JOHN WILEY &amp; SONS LTD</t>
  </si>
  <si>
    <t>CHICHESTER</t>
  </si>
  <si>
    <t>THE ATRIUM, SOUTHERN GATE, CHICHESTER PO19 8SQ, W SUSSEX, ENGLAND</t>
  </si>
  <si>
    <t>0020-7594</t>
  </si>
  <si>
    <t>1464-066X</t>
  </si>
  <si>
    <t>INT J PSYCHOL</t>
  </si>
  <si>
    <t>Int. J. Psychol.</t>
  </si>
  <si>
    <t>10.1002/ijop.12526</t>
  </si>
  <si>
    <t>JN5GH</t>
  </si>
  <si>
    <t>WOS:000496926300005</t>
  </si>
  <si>
    <t>Yue, ZS; Fong, E; Li, SZ; Feldman, MW</t>
  </si>
  <si>
    <t>Yue, Zhongshan; Fong, Eric; Li, Shuzhuo; Feldman, Marcus W.</t>
  </si>
  <si>
    <t>Acculturation of rural-urban migrants in urbanising China: a multidimensional and bicultural framework</t>
  </si>
  <si>
    <t>POPULATION SPACE AND PLACE</t>
  </si>
  <si>
    <t>China; acculturation; cultural distance; rural-urban migrants; urbanisation; internal migration</t>
  </si>
  <si>
    <t>CULTURAL DISTANCE; BERRYS MODEL; INTEGRATION; ADJUSTMENT; STUDENTS; STRESS</t>
  </si>
  <si>
    <t>In many developing countries, including China, large numbers of internal migrants move to cities from rural areas in pursuit of an urban dream, but few studies have addressed acculturation of rural-urban migrants. We construct a multidimensional (in terms of components of acculturation such as practices, values, and identifications) and bicultural acculturation framework to understand adaptation by these migrants. Using data from a Guangzhou survey of rural-urban migrants in 2015-2016 and latent class analysis, four categories are identified, including two subtypes of integration and two subtypes of separation, which provide partial support for Berry's four-category acculturation model. The cultural distance hypothesis, that is, increasing cultural distance makes it more difficult for migrants to achieve integration, is partially confirmed at both individual and regional levels. These findings validate our theoretical framework for the pattern of acculturation.</t>
  </si>
  <si>
    <t>[Yue, Zhongshan] Sch Humanities &amp; Social Sci, Dept Sociol, Xian, Shaanxi, Peoples R China; [Yue, Zhongshan] Sch Humanities &amp; Social Sci, Inst Empir Social Sci Res, Xian, Shaanxi, Peoples R China; [Fong, Eric] Chinese Univ Hong Kong, Dept Sociol, Hong Kong, Peoples R China; [Fong, Eric] Chinese Univ Hong Kong, Ctr Migrat &amp; Mobil, Hong Kong, Peoples R China; [Fong, Eric; Li, Shuzhuo] Xi An Jiao Tong Univ, Inst Populat &amp; Dev Studies, Xian, Shaanxi, Peoples R China; [Feldman, Marcus W.] Stanford Univ, Morrison Inst Populat &amp; Resource Studies, Stanford, CA 94305 USA</t>
  </si>
  <si>
    <t>Yue, ZS (corresponding author), Xi An Jiao Tong Univ, Sch Humanities &amp; Social Sci, Dept Sociol, Xian, Shaanxi, Peoples R China.; Yue, ZS (corresponding author), Xi An Jiao Tong Univ, Sch Humanities &amp; Social Sci, Inst Empir Social Sci Res, Xian, Shaanxi, Peoples R China.</t>
  </si>
  <si>
    <t>zhshyue@xjtu.edu.cn</t>
  </si>
  <si>
    <t>Fong, Eric/AAD-8149-2020</t>
  </si>
  <si>
    <t>Yue, Zhongshan/0000-0001-9000-3683; Fong, Eric/0000-0003-1147-0182</t>
  </si>
  <si>
    <t>National Social Science Fund of China [13CRK015]</t>
  </si>
  <si>
    <t>National Social Science Fund of China, Grant/Award Number: 13CRK015</t>
  </si>
  <si>
    <t>1544-8444</t>
  </si>
  <si>
    <t>1544-8452</t>
  </si>
  <si>
    <t>POPUL SPACE PLACE</t>
  </si>
  <si>
    <t>Popul. Space Place.</t>
  </si>
  <si>
    <t>JAN</t>
  </si>
  <si>
    <t>e2278</t>
  </si>
  <si>
    <t>10.1002/psp.2278</t>
  </si>
  <si>
    <t>NOV 2019</t>
  </si>
  <si>
    <t>Demography; Geography</t>
  </si>
  <si>
    <t>KA7XD</t>
  </si>
  <si>
    <t>WOS:000496872200001</t>
  </si>
  <si>
    <t>Grindal, M; Admire, A; Nieri, T</t>
  </si>
  <si>
    <t>Grindal, Matthew; Admire, Amanda; Nieri, Tanya</t>
  </si>
  <si>
    <t>A Theoretical Examination of Immigrant Status and Substance Use among Latino College Students</t>
  </si>
  <si>
    <t>DEVIANT BEHAVIOR</t>
  </si>
  <si>
    <t>GENERAL STRAIN THEORY; ETHNIC-RACIAL SOCIALIZATION; SELF-CONTROL; MARIJUANA USE; ALCOHOL-USE; ACCULTURATION STRESS; GENDER-DIFFERENCES; BINGE DRINKING; ADOLESCENTS; DELINQUENCY</t>
  </si>
  <si>
    <t>Drawing on survey data from a sample of Latino college students, we examine the generalizability of social learning theory, general strain theory, social bond theory, and self-control theory to a Latino population and consider how these four theories can elaborate on the relationship between immigrant status and substance use. We find that social learning and general strain provide the most robust explanations of substance use across four outcomes. Also, third-plus generation respondents generally reported more substance use than first-generation respondents. Our findings suggest that this latter trend is due mostly to varying effect sizes in social learning by immigrant status.</t>
  </si>
  <si>
    <t>[Grindal, Matthew] Univ Idaho, Sociol, Moscow, ID 83843 USA; [Admire, Amanda] Univ Calif Riverside, Riverside, CA 92521 USA; [Nieri, Tanya] Univ Calif Riverside, Sociol, Riverside, CA 92521 USA</t>
  </si>
  <si>
    <t>Grindal, M (corresponding author), Univ Idaho, Dept Sociol &amp; Anthropol, 319 Phinney Hall, Moscow, ID 83843 USA.</t>
  </si>
  <si>
    <t>mgrindal@uidaho.edu</t>
  </si>
  <si>
    <t>TAYLOR &amp; FRANCIS INC</t>
  </si>
  <si>
    <t>PHILADELPHIA</t>
  </si>
  <si>
    <t>530 WALNUT STREET, STE 850, PHILADELPHIA, PA 19106 USA</t>
  </si>
  <si>
    <t>0163-9625</t>
  </si>
  <si>
    <t>1521-0456</t>
  </si>
  <si>
    <t>DEVIANT BEHAV</t>
  </si>
  <si>
    <t>Deviant Behav.</t>
  </si>
  <si>
    <t>NOV 2</t>
  </si>
  <si>
    <t>10.1080/01639625.2018.1512257</t>
  </si>
  <si>
    <t>Criminology &amp; Penology; Psychology, Social; Sociology</t>
  </si>
  <si>
    <t>Criminology &amp; Penology; Psychology; Sociology</t>
  </si>
  <si>
    <t>IX9WK</t>
  </si>
  <si>
    <t>WOS:000486041100005</t>
  </si>
  <si>
    <t>Gonultas, S; Mulvey, KL</t>
  </si>
  <si>
    <t>Gonultas, Secil; Mulvey, Kelly Lynn</t>
  </si>
  <si>
    <t>Social-Developmental Perspective on Intergroup Attitudes towards Immigrants and Refugees in Childhood and Adolescence: A Roadmap from Theory to Practice for an Inclusive Society</t>
  </si>
  <si>
    <t>HUMAN DEVELOPMENT</t>
  </si>
  <si>
    <t>Intergroup attitudes; Children; Youth; Immigrants and refugees; Promoting intergroup relations</t>
  </si>
  <si>
    <t>GROUP NORMS; OUTGROUP ATTITUDES; EXTENDED CONTACT; PREJUDICE; PERCEPTIONS; MAJORITY; CHILDREN; LANGUAGE; YOUTH; DISCRIMINATION</t>
  </si>
  <si>
    <t>The unprecedented rates of migration throughout the world have raised concerns about the social integration of immigrants and refugees due to possible experiences of prejudice, discrimination, and hostility from members of the host society. In this article, we review developmental and social theories and related research outlining children's and adolescents' intergroup attitudes towards immigrants and refugees. The discussion then moves to social agents that help shape children's and adolescents' attitudes regarding these relations. Theory-driven, empirically tested intervention studies that could potentially promote children's and adolescents' attitudes towards immigrants and refugees are discussed. We also address the limitations of current interventions, which were the starting points for this paper. Finally, we highlight important avenues for future research and make specific recommendations for practitioners and policy makers striving to promote harmonious intergroup relations across childhood and adolescence in social settings.</t>
  </si>
  <si>
    <t>[Gonultas, Secil; Mulvey, Kelly Lynn] North Carolina State Univ, Dept Psychol, Raleigh, NC 27695 USA</t>
  </si>
  <si>
    <t>Gonultas, S (corresponding author), North Carolina State Univ, Campus Box 7650,711 Poe Hall, Raleigh, NC 27695 USA.</t>
  </si>
  <si>
    <t>sgonult@ncsu.edu</t>
  </si>
  <si>
    <t>Mulvey, Kelly Lynn/0000-0002-1292-9066</t>
  </si>
  <si>
    <t>KARGER</t>
  </si>
  <si>
    <t>ALLSCHWILERSTRASSE 10, CH-4009 BASEL, SWITZERLAND</t>
  </si>
  <si>
    <t>0018-716X</t>
  </si>
  <si>
    <t>1423-0054</t>
  </si>
  <si>
    <t>HUM DEV</t>
  </si>
  <si>
    <t>Hum. Dev.</t>
  </si>
  <si>
    <t>NOV</t>
  </si>
  <si>
    <t>10.1159/000503173</t>
  </si>
  <si>
    <t>Psychology, Developmental</t>
  </si>
  <si>
    <t>JO6VM</t>
  </si>
  <si>
    <t>WOS:000497715300003</t>
  </si>
  <si>
    <t>Tzioka, E; Fradelos, E; Aggeli, A</t>
  </si>
  <si>
    <t>Tzioka, E.; Fradelos, E.; Aggeli, A.</t>
  </si>
  <si>
    <t>Cultural adaptation of cognitive behavioral therapy: From the theoretical framework to evidence-based practice</t>
  </si>
  <si>
    <t>ARCHIVES OF HELLENIC MEDICINE</t>
  </si>
  <si>
    <t>Greek</t>
  </si>
  <si>
    <t>Cognitive behavioral therapy; Cultural adaptation; Mental disorders</t>
  </si>
  <si>
    <t>HEALTH-PROFESSIONALS VIEWS; PSYCHOSIS; CBT; DEPRESSION; ISSUES</t>
  </si>
  <si>
    <t>Increasing trends in migration and a rise in the prevalence of mental health disorders have created a need for culturally appropriate psychotherapeutic interventions. There is a demand for psychotherapeutic services appropriate for the culture and ethnicity of affected individuals, and specifically those from the growing population of immigrants and asylum seekers. Efforts to culturally adapt cognitive behavioral therapy (CBT) regimens have yielded effective procedural frameworks for development and application. This is a review of the current trends in the development of cultural adaptation frameworks of CBT and of the application of the current models of culturally adapted CBT.</t>
  </si>
  <si>
    <t>[Tzioka, E.; Aggeli, A.] Inst Res &amp; Behav Therapy, Athens, Greece; [Fradelos, E.] Sotiria Gen Hosp Chest Dis, Dept Psychiat, Athens, Greece</t>
  </si>
  <si>
    <t>Tzioka, E (corresponding author), Sotiria Gen Hosp Chest Dis, 152 Messoghion Ave, Athens 11527, Greece.</t>
  </si>
  <si>
    <t>eirtzioka@gmail.com</t>
  </si>
  <si>
    <t>Fradelos C., Evangelos/0000-0003-0244-9760</t>
  </si>
  <si>
    <t>ATHENS MEDICAL SOC</t>
  </si>
  <si>
    <t>ATHENS</t>
  </si>
  <si>
    <t>23 MAEANDROU ST, ATHENS, 115 28, GREECE</t>
  </si>
  <si>
    <t>1105-3992</t>
  </si>
  <si>
    <t>ARCH HELL MED</t>
  </si>
  <si>
    <t>Arch. Hell. Med.</t>
  </si>
  <si>
    <t>NOV-DEC</t>
  </si>
  <si>
    <t>Medicine, General &amp; Internal</t>
  </si>
  <si>
    <t>General &amp; Internal Medicine</t>
  </si>
  <si>
    <t>JM9QH</t>
  </si>
  <si>
    <t>WOS:000496540100012</t>
  </si>
  <si>
    <t>Anier, N; Roebroeck, E; Kleinlogel, EP; Badea, C; Nugier, A; Berthon, M; Guimond, S</t>
  </si>
  <si>
    <t>Anier, Nolwenn; Roebroeck, Elodie; Kleinlogel, Emmanuelle P.; Badea, Constantina; Nugier, Armelle; Berthon, Mickael; Guimond, Serge</t>
  </si>
  <si>
    <t>The effect of the normative context on intergroup discrimination: implications for the scientific value of exact and conceptual replications</t>
  </si>
  <si>
    <t>INTERNATIONAL JOURNAL OF INTERCULTURAL RELATIONS</t>
  </si>
  <si>
    <t>Discrimination; Secularism; Cultural norms; Terrorism</t>
  </si>
  <si>
    <t>SOCIAL-DOMINANCE ORIENTATION; TERROR MANAGEMENT THEORY; MORTALITY SALIENCE; COLOR-BLINDNESS; PREJUDICE; MULTICULTURALISM; ATTITUDES; IDENTIFICATION; INTEGRATION; IMMIGRANTS</t>
  </si>
  <si>
    <t>We tested the hypothesis that discriminatory behaviors against religious or ethnic minorities are largely governed by culturally specific intergroup norms that are tied to a given social context. In Study 1 (N = 733), we compared participants from five countries and identified new secularism as the culture-specific norm predominant in the target country, France. In Study 2 (N = 296) and Study 3 (N = 135) conducted in France between November 2014 and January 2016, we assessed the effects of several distinct normative contexts on discriminatory behavior under high or low time pressure, and examined for the first time, the effect of a deadly terrorist attack on anti-Muslim discrimination. As predicted based on Study 1, the experimentally induced new secularism (nouvelle lakite in French) normative context had a major effect on discrimination on its own, and in interaction with the terrorist attack, whereas no effect was found for the three normative contexts (assimilation, multiculturalism, and colorblindness) that have been the focus of research in social psychology over the last 40 years. These results support the claim that intergroup behaviors are highly sensitive to variations in the social context and that culture-specific intergroup norm play a causal role in the emergence of discrimination. The implications of the findings for the scientific value of exact versus conceptual replications in social psychology are discussed.</t>
  </si>
  <si>
    <t>[Anier, Nolwenn; Roebroeck, Elodie; Nugier, Armelle; Berthon, Mickael; Guimond, Serge] Clermont Auvergne Univ, CNRS, LASPCO, UMR 6024, Clermont Ferrand, France; [Kleinlogel, Emmanuelle P.] Univ Lausanne, Fac Business &amp; Econ, Lausanne, Switzerland; [Badea, Constantina] Paris Nanterre Univ, LAPPS, EA 4286, Paris, France</t>
  </si>
  <si>
    <t>Anier, N (corresponding author), Clermont Auvergne Univ, CNRS, Lab Psychol Sociale &amp; Cognit, 34 Ave Carnot, F-63037 Clermont Ferrand 1, France.</t>
  </si>
  <si>
    <t>Nolwenn.Anier@uca.fr</t>
  </si>
  <si>
    <t>CNRS Defi S2C3 2016 grant;  [ANR 11-FRQU-004-01]</t>
  </si>
  <si>
    <t>This research was supported by grant ANR 11-FRQU-004-01 and by the CNRS Defi S2C3 2016 grant for the project IM3CP. Thanks are due to Danae Farges, Cedric Barbosa, and Marie Valette for their help with data gathering and formatting.</t>
  </si>
  <si>
    <t>PERGAMON-ELSEVIER SCIENCE LTD</t>
  </si>
  <si>
    <t>OXFORD</t>
  </si>
  <si>
    <t>THE BOULEVARD, LANGFORD LANE, KIDLINGTON, OXFORD OX5 1GB, ENGLAND</t>
  </si>
  <si>
    <t>0147-1767</t>
  </si>
  <si>
    <t>1873-7552</t>
  </si>
  <si>
    <t>INT J INTERCULT REL</t>
  </si>
  <si>
    <t>Int. J. Intercult. Relat.</t>
  </si>
  <si>
    <t>10.1016/j.ijintrel.2019.07.006</t>
  </si>
  <si>
    <t>Psychology, Social; Social Sciences, Interdisciplinary; Sociology</t>
  </si>
  <si>
    <t>Psychology; Social Sciences - Other Topics; Sociology</t>
  </si>
  <si>
    <t>JM6QM</t>
  </si>
  <si>
    <t>WOS:000496336700004</t>
  </si>
  <si>
    <t>Liu, Y; Kramer, E</t>
  </si>
  <si>
    <t>Liu, Yang; Kramer, Eric</t>
  </si>
  <si>
    <t>Conceptualizing the Other in Intercultural Encounters: Review, Formulation, and Typology of the Other-Identity</t>
  </si>
  <si>
    <t>HOWARD JOURNAL OF COMMUNICATIONS</t>
  </si>
  <si>
    <t>Hermeneutics; postmodernism; postcolonialism; the Other-identity; Otherness</t>
  </si>
  <si>
    <t>ACCULTURATION; COMMUNICATION; PSYCHOLOGY; IMMIGRANT; RACE</t>
  </si>
  <si>
    <t>Acculturation?s impact on migrating individuals? cultural identity is one of the foci of intercultural communication research. Many intercultural communication studies deliberately place ethnic identity at the core of identity research to avoid using racial identity. Influenced by the difference-as-problem viewpoint, sojourners? and immigrants? Other-identities are often viewed as abnormal, deviant, and alien and therefore should be managed, reduced, and even eliminated. However, critical scholarship has revealed that the sense of being the Other is the main theme of sojourners and immigrants. Drawing upon postmodern, postcolonial, and hermeneutic approaches, sojourners? and immigrants? 3 types of Other-identities are conceptualized in this review, and their embeddedness in asymmetric power structures is explained. These ideas emerge from social categorization processes that use both phenotypic and cultural markers as primary categorizing criteria. Consequently, the view held by biculturalists is refuted, and elaboration is presented about the ways migrating individuals?in intercultural encounters?enrich their sense of Self through integrating their Other-identities into their Self-identities, producing fused identities.</t>
  </si>
  <si>
    <t>[Liu, Yang] Beijing Foreign Studies Univ, Sch English &amp; Int Studies, 2 North West Third Ring Rd, Beijing 100089, Peoples R China; [Kramer, Eric] Univ Oklahoma, Dept Commun, Norman, OK 73019 USA</t>
  </si>
  <si>
    <t>Liu, Y (corresponding author), Beijing Foreign Studies Univ, Sch English &amp; Int Studies, 2 North West Third Ring Rd, Beijing 100089, Peoples R China.</t>
  </si>
  <si>
    <t>vivian.liu@bfsu.edu.cn</t>
  </si>
  <si>
    <t>1064-6175</t>
  </si>
  <si>
    <t>1096-4649</t>
  </si>
  <si>
    <t>HOWARD J COMMUN</t>
  </si>
  <si>
    <t>Howard J. Commun.</t>
  </si>
  <si>
    <t>OCT 20</t>
  </si>
  <si>
    <t>10.1080/10646175.2018.1532850</t>
  </si>
  <si>
    <t>JI6AG</t>
  </si>
  <si>
    <t>WOS:000493548100005</t>
  </si>
  <si>
    <t>Marino, S</t>
  </si>
  <si>
    <t>Marino, Simone</t>
  </si>
  <si>
    <t>An intergenerational conceptualisation of Italian-Australian ethnic identity through Bourdieu and Heidegger</t>
  </si>
  <si>
    <t>SOCIAL IDENTITIES</t>
  </si>
  <si>
    <t>Italian-Australians; migration; ethnic identity; social identities; institutional positionality</t>
  </si>
  <si>
    <t>This paper provides a phenomenological reconceptualisation of ethnic identity. Drawing upon a case study of a family originating in Calabria, Italy, and living in Adelaide, South Australia, I consider the way in which the three generations perceive their ?being ethnic? across time and space. The first-generation participants were born in Italy and migrated to Australia during the 1950s; the second generation are their children; and the third generation are the children of the second generation. The findings show a widespread intergenerational identification of ethnicity as ?being Italian?, which, however, has different meanings across the three generations. This depends on the participants? phenomenological perceptions of being thrown into the world [Heidegger, M. (1962). Being and time. (J. Macquarie &amp; E. Robinson, Trans.). New York, NY: Harper]. Some 40 years after Huber?s [(1977). From pasta to Pavlova: A comparative study of Italian settlers in Sydney and Griffith. St Lucia: University of Queensland Press] study about the assimilation of Italian-Australians published in her book From Pasta to Pavlova, the present paper shows a movement from pavlova to pasta, especially by the third-generation participants, who experience a sense of ethnic revival. Essential in such a shift of ethnic identity is what I refer to as institutional positionality; that is, one?s perceptions of the position of one?s ?ethnic being in the world?. This is investigated by combining with the sociology of migration, including the Bourdieusian conceptual apparatus of capital [Bourdieu, P. (1986). The forms of capital. In J. Richardson (Ed.), Handbook of theory and research in the sociology of education (pp. 241?258). New York, NY: Greenwood Press], a Heideggerian existential theory [Heidegger, 1962]. Such a juxtaposition provides further reflexivity through a reconceptualisation that considers the role of ontology in the sociology of migration.</t>
  </si>
  <si>
    <t>[Marino, Simone] Univ South Australia, Sch Creat Ind, Adelaide, SA, Australia</t>
  </si>
  <si>
    <t>Marino, S (corresponding author), Univ South Australia, Sch Creat Ind, Adelaide, SA, Australia.</t>
  </si>
  <si>
    <t>Simone.Marino@unisa.edu.au</t>
  </si>
  <si>
    <t>1350-4630</t>
  </si>
  <si>
    <t>1363-0296</t>
  </si>
  <si>
    <t>SOC IDENT</t>
  </si>
  <si>
    <t>Soc. Ident.</t>
  </si>
  <si>
    <t>JAN 2</t>
  </si>
  <si>
    <t>10.1080/13504630.2019.1664286</t>
  </si>
  <si>
    <t>OCT 2019</t>
  </si>
  <si>
    <t>Ethnic Studies</t>
  </si>
  <si>
    <t>KG3IT</t>
  </si>
  <si>
    <t>WOS:000490696600001</t>
  </si>
  <si>
    <t>Cheung, SY</t>
  </si>
  <si>
    <t>Cheung, Sin Yi</t>
  </si>
  <si>
    <t>Lessons from an old second generation in the US: fresh evidence on assimilation theories</t>
  </si>
  <si>
    <t>Second generation; immigrant assimilation; segmented assimilation; hyperselectivity; ethnic capital; multi-level models</t>
  </si>
  <si>
    <t>EDUCATIONAL-ATTAINMENT; IMMIGRANTS</t>
  </si>
  <si>
    <t>Taking a multilevel approach and accounting for the complex interaction between sending and host countries, Origins and Destinations: The Making of the Second Generation brings new insights to the divergent outcomes of immigrant children in the US. Using the same data of several award winning books, it directly challenges some of the predictions of assimilation theories and the hyperselectivity model.</t>
  </si>
  <si>
    <t>[Cheung, Sin Yi] Cardiff Univ, Sch Social Sci, Cardiff, S Glam, Wales</t>
  </si>
  <si>
    <t>Cheung, SY (corresponding author), Cardiff Univ, Sch Social Sci, Cardiff, S Glam, Wales.</t>
  </si>
  <si>
    <t>cheungsy@cardiff.ac.uk</t>
  </si>
  <si>
    <t>OCT 3</t>
  </si>
  <si>
    <t>10.1080/01419870.2019.1627477</t>
  </si>
  <si>
    <t>IR5XU</t>
  </si>
  <si>
    <t>WOS:000481513200009</t>
  </si>
  <si>
    <t>Green Accepted</t>
  </si>
  <si>
    <t>Dey, BL; Alwi, S; Yamoah, F; Agyepong, SA; Kizgin, H; Sarma, M</t>
  </si>
  <si>
    <t>Dey, Bidit Lal; Alwi, Sharifah; Yamoah, Fred; Agyepong, Stephanie Agyepongmaa; Kizgin, Hatice; Sarma, Meera</t>
  </si>
  <si>
    <t>Towards a framework for understanding ethnic consumers' acculturation strategies in a multicultural environment A food consumption perspective</t>
  </si>
  <si>
    <t>INTERNATIONAL MARKETING REVIEW</t>
  </si>
  <si>
    <t>Food consumption; Acculturation; Consumer cosmopolitanism; Cultural hybridity; Multicultural London</t>
  </si>
  <si>
    <t>CULTURE; COSMOPOLITANISM; ATTITUDES; IDENTITY; ETHNOCENTRISM; MANAGEMENT; DIVERSITY; RELIGION; SELF; GLOBALIZATION</t>
  </si>
  <si>
    <t>Purpose While it is essential to further research the growing diversity in western metropolitan cities, little is currently known about how the members of various ethnic communities acculturate to multicultural societies. The purpose of this paper is to explore immigrants' cosmopolitanism and acculturation strategies through an analysis of the food consumption behaviour of ethnic consumers in multicultural London. Design/methodology/approach The study was set within the socio-cultural context of London. A number of qualitative methods such as in-depth interviews, observation and photographs were used to assess consumers' acculturation strategies in a multicultural environment and how that is influenced by consumer cosmopolitanism. Findings Ethnic consumers' food consumption behaviour reflects their acculturation strategies, which can be classified into four groups: rebellion, rarefaction, resonance and refrainment. This classification demonstrates ethnic consumers' multi-directional acculturation strategies, which are also determined by their level of cosmopolitanism. Originality/value The paper makes original contribution by introducing a multi-directional perspective to acculturation by delineating four-group taxonomy (rebellion, rarefaction, resonance and refrainment). This paper also presents a dynamic model that captures how consumer cosmopolitanism impinges upon the process and outcome of multi-directional acculturation strategies.</t>
  </si>
  <si>
    <t>[Dey, Bidit Lal; Alwi, Sharifah; Agyepong, Stephanie Agyepongmaa] Brunel Univ London, Brunel Business Sch, London, England; [Yamoah, Fred] Birkbeck Univ London, London, England; [Kizgin, Hatice] Swansea Univ, Swansea, W Glam, Wales; [Sarma, Meera] Univ Liverpool, Management Sch, Liverpool, Merseyside, England</t>
  </si>
  <si>
    <t>Dey, BL (corresponding author), Brunel Univ London, Brunel Business Sch, London, England.</t>
  </si>
  <si>
    <t>bidit.dey@brunel.ac.uk</t>
  </si>
  <si>
    <t>0265-1335</t>
  </si>
  <si>
    <t>1758-6763</t>
  </si>
  <si>
    <t>INT MARKET REV</t>
  </si>
  <si>
    <t>Int. Market. Rev.</t>
  </si>
  <si>
    <t>SEP 9</t>
  </si>
  <si>
    <t>10.1108/IMR-03-2018-0103</t>
  </si>
  <si>
    <t>Business</t>
  </si>
  <si>
    <t>IR5WU</t>
  </si>
  <si>
    <t>WOS:000481510200011</t>
  </si>
  <si>
    <t>Green Accepted, Green Published</t>
  </si>
  <si>
    <t>Lapresta-Rey, C; Huguet, A; Petrenas, C; Ianos, A</t>
  </si>
  <si>
    <t>Lapresta-Rey, Cecilio; Huguet, Angel; Petrenas, Cristina; Ianos, Adelina</t>
  </si>
  <si>
    <t>Self-identifications of youth in Catalonia: a linguistic acculturation theory approach</t>
  </si>
  <si>
    <t>JOURNAL OF MULTILINGUAL AND MULTICULTURAL DEVELOPMENT</t>
  </si>
  <si>
    <t>Linguistic acculturation; multilingualism; identity; youth; Catalonia (Spain)</t>
  </si>
  <si>
    <t>EXTENDED MODEL RAEM; RELATIVE ACCULTURATION; LANGUAGE ATTITUDES; IDENTITY; ORIENTATIONS; COMMUNITIES; INTEGRATION; IMMIGRANTS; PERSPECTIVES; CULTURES</t>
  </si>
  <si>
    <t>Located in Catalonia (Spain), and based on the Acculturation Theory applied to the field of linguistics, the objectives of this article are: (i) to detect and study the linguistic acculturation strategies of young people; (ii) to analyse the effects of origin and linguistic acculturation profiles relating to self-identifications with Spain and Catalonia and; (iii) to explore the predictive power of these variables. The quantitative data belongs to a representative sample of teenagers aged 14-16 in the city of Lleida (n = 571) - the second most populated province capital, after Barcelona, and a territory with a high percentage of immigrant population. The youth of Catalonia construct Catalan or Spanish linguistic acculturation strategies, but also a high percentage of integration strategies. Also, there are polarised identitary constructions, but not in all of the strategies nor associated with all of the origins. These are observed most amongst natives and with non-integrationist strategies.</t>
  </si>
  <si>
    <t>[Lapresta-Rey, Cecilio] Univ Lleida, Dept Geog &amp; Sociol, Lleida, Spain; [Huguet, Angel; Petrenas, Cristina; Ianos, Adelina] Univ Lleida, Dept Psychol, Lleida, Spain</t>
  </si>
  <si>
    <t>Lapresta-Rey, C (corresponding author), Univ Lleida, Dept Geog &amp; Sociol, Lleida, Spain.</t>
  </si>
  <si>
    <t>clapresta@geosoc.udl.cat</t>
  </si>
  <si>
    <t>PETRENAS, CRISTINA/AAA-6735-2021; Ianos, Maria Adelina/A-3818-2017; Lapresta-Rey, Cecilio CLR/K-6845-2014; Huguet, Angel/K-1662-2014</t>
  </si>
  <si>
    <t>PETRENAS, CRISTINA/0000-0001-8083-2154; Ianos, Maria Adelina/0000-0003-4953-3230; Lapresta-Rey, Cecilio CLR/0000-0002-3411-7077; Huguet, Angel/0000-0002-0355-4901</t>
  </si>
  <si>
    <t>Spanish Ministry of Economy and Competitiveness [EDU2017-82479-R, IJCI-2016-28250]; Agency for Management of University and Research Grants - AGAUR of the Government of Catalonia [2017 SGR 322]</t>
  </si>
  <si>
    <t>This work is part of two larger research projects and a grant funded by the Spanish Ministry of Economy and Competitiveness (reference number: EDU2017-82479-R &amp; IJCI-2016-28250) and the Agency for Management of University and Research Grants - AGAUR of the Government of Catalonia (reference number: 2017 SGR 322).</t>
  </si>
  <si>
    <t>0143-4632</t>
  </si>
  <si>
    <t>1747-7557</t>
  </si>
  <si>
    <t>J MULTILING MULTICUL</t>
  </si>
  <si>
    <t>J. Multiling. Multicult. Develop.</t>
  </si>
  <si>
    <t>NOV 25</t>
  </si>
  <si>
    <t>10.1080/01434632.2019.1656219</t>
  </si>
  <si>
    <t>AUG 2019</t>
  </si>
  <si>
    <t>Linguistics; Language &amp; Linguistics</t>
  </si>
  <si>
    <t>Linguistics</t>
  </si>
  <si>
    <t>OQ4LP</t>
  </si>
  <si>
    <t>WOS:000483636300001</t>
  </si>
  <si>
    <t>Belanger, A; Sabourin, P; Marois, G; Van Hook, J; Vezina, S</t>
  </si>
  <si>
    <t>Belanger, Alain; Sabourin, Patrick; Marois, Guillaume; Van Hook, Jennifer; Vezina, Samuel</t>
  </si>
  <si>
    <t>A framework for the prospective analysis of ethno-cultural super-diversity</t>
  </si>
  <si>
    <t>DEMOGRAPHIC RESEARCH</t>
  </si>
  <si>
    <t>LABOR-MARKET; INTERNATIONAL MIGRATION; LOW-FERTILITY; IMMIGRANT; CANADA; ASSIMILATION; EARNINGS; MICROSIMULATION; INEQUALITIES; PERFORMANCE</t>
  </si>
  <si>
    <t>BACKGROUND Pressures to keep immigration rates at relatively high levels are likely to persist in most developed countries. At the same time, immigrant cohorts are becoming more and more diverse, leading host societies to become increasingly heterogeneous across multiple dimensions. For scholars who study demographic or socio-economic behaviours, the need to account for ethno-cultural super-diversity brings new challenges. OBJECTIVE The main objective of this paper is to present a framework for the prospective analysis of super-diversity in several high immigration countries. METHODS We developed microsimulation models that simultaneously project several population dimensions for Canada, the United States and countries of the European Union, with the aim of studying the consequences of alternate future population and migration trends. RESULTS The paper presents the projected progression of three indicators of diversity: percentage of foreign-born population, percentage of the population using a non-official language at home and percentage of non-Christians. It also examines the projected changes in the labour force by education levels and language. Using alternative scenarios, we also show that the proportion of highly educated in the US and EU28 labour force could increase by 11 and 15 percentage points respectively if future immigrants were selected as in Canada. Finally, the paper proposes a new longitudinal indicator that counts the number of years lived as active and inactive over the life course for foreign-and nativeborn cohorts. CONTRIBUTION The microsimulation models provide much more informative results than more traditional cohort-component models to study the future effects of ethno-cultural superdiversity on high immigration countries.</t>
  </si>
  <si>
    <t>[Belanger, Alain; Vezina, Samuel] INRS, Quebec City, PQ, Canada; [Belanger, Alain; Sabourin, Patrick; Marois, Guillaume] IIASA, Laxenburg, Austria; [Van Hook, Jennifer] Penn State Univ, University Pk, PA 16802 USA</t>
  </si>
  <si>
    <t>Belanger, A (corresponding author), INRS, Quebec City, PQ, Canada.; Belanger, A (corresponding author), IIASA, Laxenburg, Austria.</t>
  </si>
  <si>
    <t>alain.belanger@ucs.inrs.ca</t>
  </si>
  <si>
    <t>Marois, Guillaume/AAC-2507-2019</t>
  </si>
  <si>
    <t>Vezina, Samuel/0000-0002-1459-7878</t>
  </si>
  <si>
    <t>Canadian Social Sciences and Humanities Research Council (SSHRC) under the Insight program [425-2015-1152]</t>
  </si>
  <si>
    <t>The research leading to these results has received funding from the Canadian Social Sciences and Humanities Research Council (SSHRC) under the Insight program (grant No 425-2015-1152). The European microsimulation model was developed as part of the Centre of Expertise on Population and Migration (CEPAM), a joint research project of the International Institute for Applied Systems Analysis (IIASA), and the Joint Research Centre (JRC) of the European Commission.</t>
  </si>
  <si>
    <t>MAX PLANCK INST DEMOGRAPHIC RESEARCH</t>
  </si>
  <si>
    <t>ROSTOCK</t>
  </si>
  <si>
    <t>KONRAD-ZUSE-STR1, ROSTOCK, 18057, GERMANY</t>
  </si>
  <si>
    <t>1435-9871</t>
  </si>
  <si>
    <t>DEMOGR RES</t>
  </si>
  <si>
    <t>Demogr. Res.</t>
  </si>
  <si>
    <t>JUL 25</t>
  </si>
  <si>
    <t>10.4054/DemRes.2019.41.11</t>
  </si>
  <si>
    <t>IM0IN</t>
  </si>
  <si>
    <t>WOS:000477671400001</t>
  </si>
  <si>
    <t>DOAJ Gold, Green Accepted</t>
  </si>
  <si>
    <t>Li, TE; McKercher, B; Chan, ETH</t>
  </si>
  <si>
    <t>Li, Tingting Elle; McKercher, Bob; Chan, Eric Tak Hin</t>
  </si>
  <si>
    <t>Towards a conceptual framework for diaspora tourism</t>
  </si>
  <si>
    <t>CURRENT ISSUES IN TOURISM</t>
  </si>
  <si>
    <t>Diaspora tourism; migrants; critical review; sense of place; acculturation; conceptual framework</t>
  </si>
  <si>
    <t>DARK TOURISM; PLACE ATTACHMENT; DESTINATION IMAGE; RETURN TRAVEL; MIGRATION; CHINESE; HOME; 2ND-GENERATION; AMERICAN; LIFE</t>
  </si>
  <si>
    <t>Tourism scholars and practitioners tend to treat diaspora tourism as a homogeneous market whose needs can be met by generalized types of products. This assumption results in a gap between the origin and destination dimensions of this phenomenon, which may lead to unsatisfactory visiting experiences. In this paper, we conducted a critical review on a wide range of research undertaken on diaspora, migration and home return tourism, and proposed a conceptual framework by synthesizing significant themes in both dimensions identified from the review. The conceptual framework provides a holistic view for researchers and destination managers to examine diaspora tourism. It suggests that the demand dimension of diaspora tourism concerns the structure of diaspora communities; the diasporic individual's migration histories, acculturation level and sense of place will determine their motives to return; the destination dimension involves debates on the issues of why current diasporic destinations and their products may not be able to meet the needs of different types of tourists. We aim to provide a comprehensive analysis on what diasporic destinations could consider in order to satisfy the needs of diaspora tourists in their future planning and strategy development.</t>
  </si>
  <si>
    <t>[Li, Tingting Elle] Middlesex Univ, Dept Mkt Branding &amp; Tourism, Sch Business, London, England; [McKercher, Bob] Hong Kong Polytech Univ, Sch Hotel &amp; Tourism Management, Hum Hong, Kowloon, Hong Kong, Peoples R China; [Chan, Eric Tak Hin] Univ Oxford, Transport Studies Unit, Sch Geog &amp; Environm, Oxford, England</t>
  </si>
  <si>
    <t>Li, TE (corresponding author), Middlesex Univ, Dept Mkt Branding &amp; Tourism, Sch Business, London, England.</t>
  </si>
  <si>
    <t>elle.ting@connect.polyu.hk</t>
  </si>
  <si>
    <t>Chan, Eric T.H./AAD-7377-2021</t>
  </si>
  <si>
    <t>Chan, Eric T.H./0000-0001-9611-0949; McKercher, Robert/0000-0001-7451-1266</t>
  </si>
  <si>
    <t>1368-3500</t>
  </si>
  <si>
    <t>1747-7603</t>
  </si>
  <si>
    <t>CURR ISSUES TOUR</t>
  </si>
  <si>
    <t>Curr. Issues Tour.</t>
  </si>
  <si>
    <t>10.1080/13683500.2019.1634013</t>
  </si>
  <si>
    <t>JUL 2019</t>
  </si>
  <si>
    <t>Hospitality, Leisure, Sport &amp; Tourism</t>
  </si>
  <si>
    <t>Social Sciences - Other Topics</t>
  </si>
  <si>
    <t>NC2BK</t>
  </si>
  <si>
    <t>WOS:000473945400001</t>
  </si>
  <si>
    <t>Hajro, A; Stahl, GK; Clegg, CC; Lazarova, MB</t>
  </si>
  <si>
    <t>Hajro, Aida; Stahl, Guenter K.; Clegg, Callen C.; Lazarova, Mila B.</t>
  </si>
  <si>
    <t>Acculturation, coping, and integration success of international skilled migrants: An integrative review and multilevel framework</t>
  </si>
  <si>
    <t>acculturation modes; coping strategies; individual; organisational and societal influences; international skilled migrants; migrant integration success</t>
  </si>
  <si>
    <t>SELF-INITIATED EXPATRIATION; PERCEIVED ORGANIZATIONAL SUPPORT; CULTURAL INTELLIGENCE; WORK; ADJUSTMENT; IMMIGRANTS; EXPERIENCES; PERFORMANCE; MANAGEMENT; MOTIVATION</t>
  </si>
  <si>
    <t>In this article, we review the limited but growing body of research on international skilled migrants and examine to what extent knowledge generated in adjacent research streams-specifically, work on assigned and self-initiated expatriates-can be meaningfully applied to aid our understanding of the challenges, coping strategies, and acculturation dynamics of skilled migrants. We develop a framework that explains how variables and processes at multiple levels (individual, organisational, and societal) influence migrant acculturation and coping and result in integration-related outcomes in the domains of personal/family life and workplace/career. We discuss directions for future research and implications for practice.</t>
  </si>
  <si>
    <t>[Hajro, Aida; Clegg, Callen C.] Brunel Univ London, Brunel Business Sch, London UB8 3PH, England; [Hajro, Aida] Vienna Univ Econ &amp; Business WU Vienna, Inst Human Resource Management, Welthandelspl 1, A-1020 Vienna, Austria; [Stahl, Guenter K.] Vienna Univ Econ &amp; Business WU Vienna, IIB, Vienna, Austria; [Lazarova, Mila B.] Simon Fraser Univ, Beedie Sch Business, Vancouver, BC, Canada</t>
  </si>
  <si>
    <t>Hajro, A (corresponding author), Brunel Univ London, Brunel Business Sch, London UB8 3PH, England.; Hajro, A (corresponding author), Vienna Univ Econ &amp; Business WU Vienna, Inst Human Resource Management, Welthandelspl 1, A-1020 Vienna, Austria.</t>
  </si>
  <si>
    <t>aida.hajro@brunel.ac.uk</t>
  </si>
  <si>
    <t>JUL</t>
  </si>
  <si>
    <t>10.1111/1748-8583.12233</t>
  </si>
  <si>
    <t>IJ1AK</t>
  </si>
  <si>
    <t>WOS:000475630900002</t>
  </si>
  <si>
    <t>Green Accepted, Other Gold</t>
  </si>
  <si>
    <t>Gelpi-Acosta, C; Guarino, H; Benoit, E; Deren, S; Pouget, ER; Rodriguez, A</t>
  </si>
  <si>
    <t>Gelpi-Acosta, C.; Guarino, H.; Benoit, E.; Deren, S.; Pouget, E. R.; Rodriguez, A.</t>
  </si>
  <si>
    <t>Injection risk norms and practices among migrant Puerto Rican people who inject drugs in New York City: The limits of acculturation theory</t>
  </si>
  <si>
    <t>INTERNATIONAL JOURNAL OF DRUG POLICY</t>
  </si>
  <si>
    <t>Puerto Rican; Migrant; PWID; Injection risks; New York City; HIV; HCV; Overdose</t>
  </si>
  <si>
    <t>EAST HARLEM; HIV; USERS; BEHAVIORS; INFECTION; MORTALITY; VANCOUVER; EPIDEMIC; SYRINGES; BAYAMON</t>
  </si>
  <si>
    <t>Background: Among people who inject drugs (PWID) in New York City (NYC), racial minorities are disproportionately infected with HIV and hepatitis C (HCV). Prior research has shown that PWID who started injecting drugs in Puerto Rico (P.R.) tend to maintain the risky injection behaviors learned there. This study identifies the P.R.-native norms supporting the continued injection risk behavior of migrant Puerto Rican PWID in NYC to inform a culturally appropriate risk-reduction intervention. Methods: 40 migrant Puerto Rican PWID were recruited in NYC for a longitudinal qualitative study. The sample was stratified to include 20 migrants with &lt; 3 years in NYC and 20 migrants with &gt; 3-6 years in NYC. Time-location sampling was used to curb possible network bias in recruitment. Over 12 months, migrants completed semi-structured interviews at baseline, monthly follow-ups, and study exit. Analyses were guided by grounded theory. Results: Most participants (90%) reported having had chronic HCV, and 22.5% reported being HIV-positive. Syringe-and cooker-/cotton-sharing were widespread in both P.R. and NYC. The ubiquitous practice of cleaning used syringes by water-rinsing and air-blowing was guided by a normative belief, learned in P.R., that water and air kill HIV. Sterile syringe use was not a priority. HCV was not a concern. P.R.-native abstinence-only narratives discouraged opioid agonist treatment (OAT) enrollment among recent migrants (&lt;= 3 years). Experiences with drug dealers, prison-power groups, and injection doctors (Gancheros) in P.R. influenced migrants' injection risk behavior in NYC. Those who were Gancheros in P.R. continued working as Gancheros in NYC. Conclusions: Injection risks make migrant Puerto Rican PWID in NYC vulnerable to HIV/HCV. Harm reduction programs should pay closer attention to the rationales behind these injection risks. A risk-reduction intervention that incorporates the Ganchero figure may be a credible way to help migrants reduce injection risk and accept OAT and syringe exchange programs (SEP).</t>
  </si>
  <si>
    <t>[Gelpi-Acosta, C.] CUNY, LaGuardia Community Coll, 31-10 Thomson Ave, Long Isl City, NY 11101 USA; [Gelpi-Acosta, C.; Guarino, H.; Benoit, E.; Rodriguez, A.] Natl Dev &amp; Res Inst Inc, 71 West 23rdSt,4thFloor, New York, NY 10010 USA; [Deren, S.] NYU, Coll Global Publ Hlth, Ctr Drug Use &amp; HIV Res, 665 Broadway,11thFloor, New York, NY 10012 USA; [Pouget, E. R.] CUNY Brooklyn Coll, 2900 Bedford Ave, Brooklyn, NY 11210 USA</t>
  </si>
  <si>
    <t>Gelpi-Acosta, C (corresponding author), CUNY, LaGuardia Community Coll, 31-10 Thomson Ave, Long Isl City, NY 11101 USA.; Gelpi-Acosta, C (corresponding author), Natl Dev &amp; Res Inst Inc, 71 West 23rdSt,4thFloor, New York, NY 10010 USA.</t>
  </si>
  <si>
    <t>gelpi-acosta@ndri.org; guarino@ndri.org; benoit@ndri.org; shd2@nyu.edu; Enrique.pouget@brooklyn.cuny.edu; rodriguez@ndri.org</t>
  </si>
  <si>
    <t>Pouget, Enrique Rodriguez/AAJ-5786-2020</t>
  </si>
  <si>
    <t>Pouget, Enrique Rodriguez/0000-0002-5907-1909; Gelpi-Acosta, Camila/0000-0001-6274-7730</t>
  </si>
  <si>
    <t>National Institute on Drug Abuse of the National Institutes of HealthUnited States Department of Health &amp; Human ServicesNational Institutes of Health (NIH) - USANIH National Institute on Drug Abuse (NIDA) [R03DA041892]; NATIONAL INSTITUTE ON DRUG ABUSEUnited States Department of Health &amp; Human ServicesNational Institutes of Health (NIH) - USANIH National Institute on Drug Abuse (NIDA)European Commission [P30DA011041, R03DA041892] Funding Source: NIH RePORTER</t>
  </si>
  <si>
    <t>This work was supported by National Institute on Drug Abuse of the National Institutes of Health [grant number R03DA041892]. The content is solely the responsibility of the authors and does not necessarily represent the official views of the National Institutes of Health.</t>
  </si>
  <si>
    <t>ELSEVIER SCIENCE BV</t>
  </si>
  <si>
    <t>AMSTERDAM</t>
  </si>
  <si>
    <t>PO BOX 211, 1000 AE AMSTERDAM, NETHERLANDS</t>
  </si>
  <si>
    <t>0955-3959</t>
  </si>
  <si>
    <t>1873-4758</t>
  </si>
  <si>
    <t>INT J DRUG POLICY</t>
  </si>
  <si>
    <t>Int. J. Drug Policy</t>
  </si>
  <si>
    <t>10.1016/j.drugpo.2019.03.016</t>
  </si>
  <si>
    <t>Substance Abuse</t>
  </si>
  <si>
    <t>IH2GG</t>
  </si>
  <si>
    <t>WOS:000474312600010</t>
  </si>
  <si>
    <t>Green Accepted, Bronze</t>
  </si>
  <si>
    <t>Demangeot, C; Kipnis, E; Pullig, C; Cross, SNN; Emontspool, J; Galalae, C; Grier, SA; Rosenbaum, MS; Best, SF</t>
  </si>
  <si>
    <t>Demangeot, Catherine; Kipnis, Eva; Pullig, Chris; Cross, Samantha N. N.; Emontspool, Julie; Galalae, Cristina; Grier, Sonya A.; Rosenbaum, Mark S.; Best, Susy F.</t>
  </si>
  <si>
    <t>Constructing a bridge to multicultural marketplace well-being: A consumer-centered framework for marketer action</t>
  </si>
  <si>
    <t>JOURNAL OF BUSINESS RESEARCH</t>
  </si>
  <si>
    <t>Article; Proceedings Paper</t>
  </si>
  <si>
    <t>Transformative Consumer Research Conference</t>
  </si>
  <si>
    <t>JUN 18-20, 2017</t>
  </si>
  <si>
    <t>Cornell Univ, Ithaca, NY</t>
  </si>
  <si>
    <t>Cornell Univ</t>
  </si>
  <si>
    <t>Multicultural marketplace well-being; Multicultural engagement; Transformative consumer research; Culture; Marketing</t>
  </si>
  <si>
    <t>ACCULTURATION ORIENTATIONS; INTERCULTURAL COMPETENCE; UNITED-STATES; PREJUDICE; IMMIGRANTS; DIVERSITY; DISCRIMINATION; EXPERIENCES; CONSUMPTION; ETHNICITY</t>
  </si>
  <si>
    <t>As modern societies have become increasingly diverse, we witness elevated tensions between different cultural groups. Through spaces and representations they create, marketers provide interaction for various groups and we argue that marketing science, education and practice can play a transformative role in addressing these tensions. Towards this end, this paper contributes in three areas. First, we examine the structures and mechanisms underlying tensions and argue for a change from current policies of tolerance that merely recognize diversity, to actively seeking a well-being-enhancing multicultural engagement. Second, we provide a conceptual framework, employing a bridge metaphor that identifies the interactive marketplace domains of multicultural engagement (security, visibility, opportunity, utility, competence, and cultural navigability). Third, from the framework, we derive an agenda for actions by marketing academe and practice to support each domain.</t>
  </si>
  <si>
    <t>[Demangeot, Catherine] IESEG Sch Management, CNRS, LEM 9221, 1 Parvis Def, F-92044 Paris, France; [Kipnis, Eva] Univ Sheffield, Sheffield Univ Management Sch, Conduit Rd, Sheffield S10 1FL, S Yorkshire, England; [Pullig, Chris] Baylor Univ, Hankamer Sch Business, One Bear Pl 98009, Waco, TX 76798 USA; [Cross, Samantha N. N.] Iowa State Univ, Debbie &amp; Jerry Ivy Coll Business, 2350 Gerdin Business Bldg, Ames, IA 50011 USA; [Emontspool, Julie] Univ Southern Denmark, Campusvej 55, DK-5230 Odense M, Denmark; [Galalae, Cristina] Coventry Univ, Priory St, Coventry CV1 5FB, W Midlands, England; [Grier, Sonya A.] Amer Univ, Kogod Sch Business, 4400 Massachusetts Ave NW, Washington, DC 20016 USA; [Rosenbaum, Mark S.] Univ South Carolina, Coll Hospitality Retailing &amp; Sports Management, Columbia, SC 29208 USA; [Best, Susy F.] Allstate Insurance Co, 2775 Sanders Rd,Suite A1W, Northbrook, IL 60062 USA</t>
  </si>
  <si>
    <t>Kipnis, E (corresponding author), Univ Sheffield, Sheffield Univ Management Sch, Conduit Rd, Sheffield S10 1FL, S Yorkshire, England.</t>
  </si>
  <si>
    <t>c.demangeot@ieseg.fr; Eva.Kipnis@sheffield.ac.uk; Chris_Pullig@baylor.edu; snncross@iastate.edu; juli@sam.sdu.dk; cristina.galalae@coventry.ac.uk; griers@american.edu; MAROSEN@mailbox.sc.edu; efrav@allstate.com</t>
  </si>
  <si>
    <t>Grier, Sonya A/P-2548-2015; Rosenbaum, Mark/AAB-7656-2021</t>
  </si>
  <si>
    <t>Rosenbaum, Mark/0000-0002-1883-4412; Kipnis, Eva/0000-0002-7976-0787; Emontspool, Julie/0000-0002-1012-7393</t>
  </si>
  <si>
    <t>ELSEVIER SCIENCE INC</t>
  </si>
  <si>
    <t>STE 800, 230 PARK AVE, NEW YORK, NY 10169 USA</t>
  </si>
  <si>
    <t>0148-2963</t>
  </si>
  <si>
    <t>1873-7978</t>
  </si>
  <si>
    <t>J BUS RES</t>
  </si>
  <si>
    <t>J. Bus. Res.</t>
  </si>
  <si>
    <t>10.1016/j.jbusres.2018.12.026</t>
  </si>
  <si>
    <t>IC4NL</t>
  </si>
  <si>
    <t>WOS:000470942500030</t>
  </si>
  <si>
    <t>Mier-Chairez, J; Arellano, B; Tucker, SE; Marquez, E; Hooper, LM</t>
  </si>
  <si>
    <t>Mier-Chairez, Judy; Arellano, Brenda; Tucker, Sarah E.; Marquez, Eileen; Hooper, Lisa M.</t>
  </si>
  <si>
    <t>Theoretical, empirical, and practice literature on language brokering: family, academic, and psychological outcomes</t>
  </si>
  <si>
    <t>JOURNAL OF HUMAN BEHAVIOR IN THE SOCIAL ENVIRONMENT</t>
  </si>
  <si>
    <t>Language brokering; parentification; translator; bilingualism; immigrant families; acculturation; culture brokering; psychological outcomes</t>
  </si>
  <si>
    <t>MEXICAN-AMERICAN ADOLESCENTS; IMMIGRANT YOUTH; MEASUREMENT EQUIVALENCE; MENTAL-HEALTH; LATINO; CHILDREN; ACCULTURATION; EXPERIENCES; CONTEXTS; IDENTITY</t>
  </si>
  <si>
    <t>Language is an important characteristic of culture. Importantly, with the ever-present migration of persons across countries and cultures, physical boundaries of language have been blurred creating a robust area of study: language brokering in the context of globalization. Migration and immigration often necessitate the learning of a new language and in immigrant families, open an opportunity for language skill differences and language brokering. Language brokering is a process by which a bilingual individual, often the children of immigrants, assists in communication between two parties speaking distinct languages. This common practice has generated an increased focus and body of research on the current and aftereffects of language brokering on individuals who broker. The present article provides a brief review of the literature on language brokering including identified antecedents and select outcomes such as family, academic, and psychological outcomes. Overall, the literature shows the associations among language brokering, the contexts in which it may occur, and the outcomes (family, academic, and psychological) for language brokers remain less than clearly understood, although inroads are being made as researchers delve more deeply into specific areas such as parentification, age, child development, and family dynamics.</t>
  </si>
  <si>
    <t>[Mier-Chairez, Judy; Arellano, Brenda] Univ Louisville, Dept Psychol &amp; Brain Sci, Louisville, KY 40292 USA; [Tucker, Sarah E.] Holy Spirit Sch, Louisville, KY USA; [Marquez, Eileen] Univ Louisville, Counseling &amp; Human Dev, Louisville, KY 40292 USA; [Hooper, Lisa M.] Univ Northern Iowa, Cedar Falls, IA 50614 USA</t>
  </si>
  <si>
    <t>Hooper, LM (corresponding author), Univ Northern Iowa, Ctr Educ Transformat, Schindler Educ Ctr 108, Cedar Falls, IA 50614 USA.</t>
  </si>
  <si>
    <t>lisa.hooper@uni.edu</t>
  </si>
  <si>
    <t>Hooper, Lisa M./AAC-6948-2019</t>
  </si>
  <si>
    <t>Hooper, Lisa M./0000-0002-5493-0110</t>
  </si>
  <si>
    <t>1091-1359</t>
  </si>
  <si>
    <t>1540-3556</t>
  </si>
  <si>
    <t>J HUM BEHAV SOC ENVI</t>
  </si>
  <si>
    <t>J. Hum. Behav. Soc. Environ.</t>
  </si>
  <si>
    <t>10.1080/10911359.2019.1621791</t>
  </si>
  <si>
    <t>JUN 2019</t>
  </si>
  <si>
    <t>Social Work</t>
  </si>
  <si>
    <t>IS9FC</t>
  </si>
  <si>
    <t>WOS:000472274200001</t>
  </si>
  <si>
    <t>Kim, BJ; Rousseau, DM</t>
  </si>
  <si>
    <t>Kim, Byeong Jo; Rousseau, Denise M.</t>
  </si>
  <si>
    <t>INTERNALIZING CAPITALIST NORMS: A GROUNDED THEORY STUDY OF HOW NORTH KOREAN ESCAPEES ADAPT TO WORK</t>
  </si>
  <si>
    <t>ACADEMY OF MANAGEMENT DISCOVERIES</t>
  </si>
  <si>
    <t>INTERNATIONAL ADJUSTMENT; CULTURAL DISTANCE; EXPATRIATE; CONGRUENCE; REFUGEES; ACCULTURATION; EXPERIENCES; INTEGRATION; MIGRANTS; SYSTEMS</t>
  </si>
  <si>
    <t>As the global mobility of the workforce increases, little is known regarding how cross-regime migrants from a centralized planned economy to a free market economy adapt to working in capitalist organizations. This study investigates the migration, work, and adaptation experiences of North Korean escapees living and working in capitalist South Korean society. Using grounded theory methods, we uncover an underlying mechanism of cross-regime work adaptation, the internalization of capitalist work norms into the migrants' personal values. This mechanism is linked with the migrants' adoption of an opportunity-focused approach to the new environment and the emergence of postmigration goals in response to perceived opportunities. This adaptation process is particularly characteristic of those motivated to escape for economic reasons, whereas those motivated to escape by political reasons actually resist assimilation. As a function of pre-and postmigration experiences, individual migrants are found to differ in their internalization of capitalist work norms-from high (integration of norms) to moderate (compliance with norms) to low (resistance to norms). High internalization is linked to such work-related adaptation behaviors such as acquiring new skills and building supportive workplace relationships. We offer theoretical and practical implications for work adaptation in cross-cultural settings and for cross-regime migrants in particular.</t>
  </si>
  <si>
    <t>[Kim, Byeong Jo; Rousseau, Denise M.] Carnegie Mellon Univ, Pittsburgh, PA 15213 USA</t>
  </si>
  <si>
    <t>Kim, BJ (corresponding author), Carnegie Mellon Univ, Pittsburgh, PA 15213 USA.</t>
  </si>
  <si>
    <t>bjkim@cmu.edu; denise@cmu.edu</t>
  </si>
  <si>
    <t>Kim, Byeong Jo/AAB-6583-2019</t>
  </si>
  <si>
    <t>Kim, Byeong Jo/0000-0003-0698-9545</t>
  </si>
  <si>
    <t>H. J. Heinz II Professorship</t>
  </si>
  <si>
    <t>We thank Haeran Song for helping with the interviews on which this study is based. An H. J. Heinz II Professorship provided support for this research.</t>
  </si>
  <si>
    <t>ACAD MANAGEMENT</t>
  </si>
  <si>
    <t>BRIARCLIFF MANOR</t>
  </si>
  <si>
    <t>PACE UNIV, PO BOX 3020, 235 ELM RD, BRIARCLIFF MANOR, NY 10510-8020 USA</t>
  </si>
  <si>
    <t>2168-1007</t>
  </si>
  <si>
    <t>ACAD MANAG DISCOV</t>
  </si>
  <si>
    <t>Acad. Manag. Discov.</t>
  </si>
  <si>
    <t>10.5465/amd.2016.0119</t>
  </si>
  <si>
    <t>IJ2IX</t>
  </si>
  <si>
    <t>WOS:000475724700007</t>
  </si>
  <si>
    <t>Salas-Wright, CP; Schwartz, SJ</t>
  </si>
  <si>
    <t>Salas-Wright, Christopher P.; Schwartz, Seth J.</t>
  </si>
  <si>
    <t>The Study and Prevention of Alcohol and Other Drug Misuse Among Migrants: Toward a Transnational Theory of Cultural Stress</t>
  </si>
  <si>
    <t>INTERNATIONAL JOURNAL OF MENTAL HEALTH AND ADDICTION</t>
  </si>
  <si>
    <t>Migration; Immigrants; Cultural stress; Transnationalism; Alcohol and drugs</t>
  </si>
  <si>
    <t>SUBSTANCE USE DISORDERS; NATIONAL EPIDEMIOLOGIC SURVEY; RECENT LATINO IMMIGRANTS; ASIAN-AMERICAN ADOLESCENTS; IV PSYCHIATRIC-DISORDERS; UNITED-STATES; US-BORN; SOCIAL-ASSIMILATION; LIFE-COURSE; 2ND-GENERATION IMMIGRANTS</t>
  </si>
  <si>
    <t>Prior research suggests that international migrants, taken together, experience alcohol and other drug (AOD)-related problems at lower rates than do non-migrants. However, many migrants do, in fact, misuse AOD, with elevated levels of risk observed among those who migrate during childhood and those who experience adverse/stressful events. In our prior work, we have advanced cultural stress theory, which is concerned with the ways in which adverse migration-related experiences can create disruptions in family functioning and, in turn, increase risk for adverse behavioral and mental health outcomes, including AOD misuse. In this article, we provide an overview of prior research on AOD misuse among immigrants and highlight critical gaps in research and theory. In turn, we present a framework for AOD misuse research and prevention that (1) considers the importance of pre-migration, transit-related, and post-migration stressors; (2) prioritizes cross-national and multisite comparative designs; and (3) highlights transnational dynamics in migration.</t>
  </si>
  <si>
    <t>[Salas-Wright, Christopher P.] Boston Univ, Sch Social Work, 264 Bay State Rd, Boston, MA 02215 USA; [Schwartz, Seth J.] Univ Miami, Leonard M Miller Sch Med, Div Prevent Sci &amp; Community Hlth, Dept Publ Hlth Sci, Miami, FL 33136 USA</t>
  </si>
  <si>
    <t>Schwartz, SJ (corresponding author), Univ Miami, Leonard M Miller Sch Med, Div Prevent Sci &amp; Community Hlth, Dept Publ Hlth Sci, Miami, FL 33136 USA.</t>
  </si>
  <si>
    <t>SSchwartz@med.miami.edu</t>
  </si>
  <si>
    <t>Schwartz, Seth/0000-0003-4238-9520</t>
  </si>
  <si>
    <t>National Institute on Drug Abuse at the National Institutes of HealthUnited States Department of Health &amp; Human ServicesNational Institutes of Health (NIH) - USANIH National Institute on Drug Abuse (NIDA) [R25 DA030310]; National Center for Advancing Translational Sciences, National Institutes of Health, through BU-CTSI Grant [1KL2TR001411]</t>
  </si>
  <si>
    <t>This research was supported in part by grant number R25 DA030310 from the National Institute on Drug Abuse at the National Institutes of Health and by the National Center for Advancing Translational Sciences, National Institutes of Health, through BU-CTSI Grant Number 1KL2TR001411. Its contents are solely the responsibility of the authors and do not necessarily represent the official views of the NIH. The authors are grateful to Maryann Amodeo, Professor Emerita at Boston University, for her thoughtful feedback.</t>
  </si>
  <si>
    <t>1557-1874</t>
  </si>
  <si>
    <t>1557-1882</t>
  </si>
  <si>
    <t>INT J MENT HEALTH AD</t>
  </si>
  <si>
    <t>Int. J. Mental Health Addict.</t>
  </si>
  <si>
    <t>10.1007/s11469-018-0023-5</t>
  </si>
  <si>
    <t>Psychology, Clinical; Substance Abuse; Psychiatry</t>
  </si>
  <si>
    <t>Psychology; Substance Abuse; Psychiatry</t>
  </si>
  <si>
    <t>HU7RR</t>
  </si>
  <si>
    <t>WOS:000465480400013</t>
  </si>
  <si>
    <t>Khodinova, O</t>
  </si>
  <si>
    <t>Khodinova, O.</t>
  </si>
  <si>
    <t>The Conceptual Triad Tolerance - Identity - Nationalismin Terms of Migration Crisis in France</t>
  </si>
  <si>
    <t>CONTEMPORARY EUROPE-SOVREMENNAYA EVROPA</t>
  </si>
  <si>
    <t>Russian</t>
  </si>
  <si>
    <t>France; migration; migration policy; identity; nationalism; tolerance; immigrants; refugees</t>
  </si>
  <si>
    <t>The article focuses on the analysis of new trends in the social and political spheres in France within the European migration crisis. The massive influx of refugees from the Middle East and North Africa exacerbated the growing contradictions in French society related to the colonial past. The author introduces the concept of an interdependent triad of notions tolerance - identity - nationalism and through this concept examines the social processes in the country referring on the latest statistical data. According to the last social surveys, the French overestimate the number of Muslims in the country by 4 times. More than a half of French citizens are against continuing the policy of accepting migrants. The author comes to the conclusion that under the strain of migration flows the French lose both national identity and tolerance towards accepting the culture of the other. However no obvious manifestations of nationalism have been found, but the nationalist's rhetoric is increasingly being used by right-wing parties to gain political points, while the authorities are still in the process of developing a new concept for receiving migrants. The author predicts that in response to the current socio-political processes France will introduce a tougher migration policy based on the assimilation model.</t>
  </si>
  <si>
    <t>[Khodinova, O.] Russian Foreign Minist, Diplomat Acad, 19-21,5th Yamskogo Polya Str, Moscow 125040, Russia; [Khodinova, O.] Russia 24 TV Channel, 19-21,5th Yamskogo Polya Str, Moscow 125040, Russia</t>
  </si>
  <si>
    <t>Khodinova, O (corresponding author), Russian Foreign Minist, Diplomat Acad, 19-21,5th Yamskogo Polya Str, Moscow 125040, Russia.; Khodinova, O (corresponding author), Russia 24 TV Channel, 19-21,5th Yamskogo Polya Str, Moscow 125040, Russia.</t>
  </si>
  <si>
    <t>olga.khodinova@gmail.com</t>
  </si>
  <si>
    <t>ROSSIISKAYA AKAD NAUK, INST EVROPY</t>
  </si>
  <si>
    <t>MOSCOW</t>
  </si>
  <si>
    <t>MOKHOVAYA UL DOM 11, STR 3B, MOSCOW, 125993, RUSSIA</t>
  </si>
  <si>
    <t>0201-7083</t>
  </si>
  <si>
    <t>CONTEMP EUR</t>
  </si>
  <si>
    <t>Contemp. Eur.</t>
  </si>
  <si>
    <t>MAR-APR</t>
  </si>
  <si>
    <t>10.15211/soveurope22019175184</t>
  </si>
  <si>
    <t>Area Studies</t>
  </si>
  <si>
    <t>JE2AZ</t>
  </si>
  <si>
    <t>WOS:000490498600016</t>
  </si>
  <si>
    <t>Bilge, N</t>
  </si>
  <si>
    <t>Bilge, Nurhayat</t>
  </si>
  <si>
    <t>Friend or Foe: Cultural Fusion Theory and Media Coverage of Syrian Refugees in Turkey</t>
  </si>
  <si>
    <t>COMMUNICATION CULTURE &amp; CRITIQUE</t>
  </si>
  <si>
    <t>Cultural Fusion Theory; Cultural Adaptation; Syrian Refugees; Turkey; Media Representations</t>
  </si>
  <si>
    <t>ACCULTURATION; IMMIGRANTS; IDENTITY; CRISIS</t>
  </si>
  <si>
    <t>Using principles of Cultural Fusion Theory (Croucher &amp; Kramer, 2017), this study focuses on representations of Syrian refugees in mainstream Turkish newspapers to determine: (a) how the host culture media portrays newcomers; and (b) what the implications of these portrayals are in terms of an effective cultural fusion between the two communities. The study entailed content analysis of five Turkish newspapers. A keyword search of the words Syrian (Suriyeli) and refugee (multeci) were entered into the archives of these newspapers. The search yielded a total of 2,887 news articles and 373 commentary items. The results display the significance of Cultural Fusion Theory principles and challenges that exist to achieve effective cultural fusion.</t>
  </si>
  <si>
    <t>[Bilge, Nurhayat] Florida Int Univ, Dept Commun, Miami, FL 33199 USA</t>
  </si>
  <si>
    <t>Bilge, N (corresponding author), Florida Int Univ, Dept Commun, Miami, FL 33199 USA.</t>
  </si>
  <si>
    <t>nbilge@fiu.edu</t>
  </si>
  <si>
    <t>OXFORD UNIV PRESS INC</t>
  </si>
  <si>
    <t>CARY</t>
  </si>
  <si>
    <t>JOURNALS DEPT, 2001 EVANS RD, CARY, NC 27513 USA</t>
  </si>
  <si>
    <t>1753-9129</t>
  </si>
  <si>
    <t>1753-9137</t>
  </si>
  <si>
    <t>COMMUN CULT CRIT</t>
  </si>
  <si>
    <t>Commun. Cult. Crit.</t>
  </si>
  <si>
    <t>10.1093/ccc/tcz003</t>
  </si>
  <si>
    <t>HW7DP</t>
  </si>
  <si>
    <t>WOS:000466850500007</t>
  </si>
  <si>
    <t>Yang, O</t>
  </si>
  <si>
    <t>Yang, Onjung</t>
  </si>
  <si>
    <t>Political Ideology and Cultural Diversity in South Korea: Toward a Theory of Group-differentiated Rights</t>
  </si>
  <si>
    <t>INTERNATIONAL JOURNAL ON MINORITY AND GROUP RIGHTS</t>
  </si>
  <si>
    <t>multiculturalism; group-differentiated rights; cultural diversity in South Korea; political ideology; multicultural policy</t>
  </si>
  <si>
    <t>FOREIGN-WORKERS</t>
  </si>
  <si>
    <t>Korea has experienced ideological changes in the political sphere since society experienced ethnic diversity in the 1990s. The government urgently introduced new policy agenda Vamunhwa' - multicultural - in the wake of up-surging social problems such as embracing cultural differences and human rights of foreigners as a salient issue following multicultural explosion with a large number of foreigners. As a result, many scholars argue that the Korean state response to cultural diversity has shifted from differential exclusion to assimilation toward immigrants in current society. However, it should be mentioned that it is implausible to link assimilation with a successful political ideology to manage ethnic diversity effectively. In this article, I argue that it is time to present a new political ideology for future directions in order to integrate ethnic minorities into a universally acceptable manner through consideration of the theory of group-differentiated rights in the context of Korean society.</t>
  </si>
  <si>
    <t>[Yang, Onjung] Univ Sydney, Sydney, NSW, Australia</t>
  </si>
  <si>
    <t>Yang, O (corresponding author), Univ Sydney, Sydney, NSW, Australia.</t>
  </si>
  <si>
    <t>oyan1801@uni.sydney.edu.au</t>
  </si>
  <si>
    <t>BRILL ACADEMIC PUBLISHERS</t>
  </si>
  <si>
    <t>LEIDEN</t>
  </si>
  <si>
    <t>PLANTIJNSTRAAT 2, P O BOX 9000, 2300 PA LEIDEN, NETHERLANDS</t>
  </si>
  <si>
    <t>1385-4879</t>
  </si>
  <si>
    <t>1571-8115</t>
  </si>
  <si>
    <t>INT J MINOR GROUP RI</t>
  </si>
  <si>
    <t>Int. J. Minor. Group Rights</t>
  </si>
  <si>
    <t>10.1163/15718115-02602005</t>
  </si>
  <si>
    <t>Law</t>
  </si>
  <si>
    <t>Government &amp; Law</t>
  </si>
  <si>
    <t>IA2SS</t>
  </si>
  <si>
    <t>WOS:000469412400006</t>
  </si>
  <si>
    <t>Isse, A; Scruby, L; Martin, D</t>
  </si>
  <si>
    <t>Isse, Anisa; Scruby, Lynn; Martin, Donna</t>
  </si>
  <si>
    <t>A Critical Reflection on the Theory of Well-Being in Refugee Women Experiencing Cultural Transition</t>
  </si>
  <si>
    <t>INTERNATIONAL JOURNAL OF QUALITATIVE METHODS</t>
  </si>
  <si>
    <t>[Isse, Anisa; Scruby, Lynn; Martin, Donna] Univ Manitoba, Winnipeg, MB, Canada</t>
  </si>
  <si>
    <t>1609-4069</t>
  </si>
  <si>
    <t>INT J QUAL METH</t>
  </si>
  <si>
    <t>Int. J. Qual. Meth.</t>
  </si>
  <si>
    <t>JAN 22</t>
  </si>
  <si>
    <t>Social Sciences, Interdisciplinary</t>
  </si>
  <si>
    <t>HI7UO</t>
  </si>
  <si>
    <t>WOS:000456661900027</t>
  </si>
  <si>
    <t>O'Higgins, TG; O'Dwyer, B</t>
  </si>
  <si>
    <t>O'Higgins, Timothy G.; O'Dwyer, Barry</t>
  </si>
  <si>
    <t>A vulnerability framework to protect coastal social ecological systems</t>
  </si>
  <si>
    <t>ANTHROPOCENE COASTS</t>
  </si>
  <si>
    <t>ecosystem services; adaptation</t>
  </si>
  <si>
    <t>ECOSYSTEM SERVICES; BIODIVERSITY; EUTROPHICATION; SUPPORT</t>
  </si>
  <si>
    <t>Due to a long and beneficial legacy, human settlement and development is particularly concentrated in coastal zones and this concentration is expected to continue and increase in the future. Coastal dwelling, however, also entails risks from both anthropogenic and natural hazards and interactions between these. A spatially explicit ecosystem services framework combined with a vulnerability framework is used to explore human relations with the coast and to assess current and future capacities to ensure benefits of coastal migration and to address the risks that these areas pose. The spatial characteristics of some fundamental benefits - transport and settlement, fisheries and waste assimilation - of coastal dwelling and their associated environmental costs are first analysed using modern and historical examples. A variety of spatial characteristics describing human use patterns are then identified. On this basis, the implications of the variety of spatial scales in benefits and costs for effective governance are discussed with reference to historical and current marine and coastal management practice. Our analysis will attempt to demonstrate that incorporating ecosystem services in environmental management may provide a useful tool in the application of ecosystem-based management.</t>
  </si>
  <si>
    <t>[O'Higgins, Timothy G.; O'Dwyer, Barry] Natl Univ Ireland, Univ Coll Cork, Environm Res Inst, MaREI, Beaufort Bldg, Ringaskiddy P43 C573, Cork, Ireland</t>
  </si>
  <si>
    <t>O'Higgins, TG (corresponding author), Natl Univ Ireland, Univ Coll Cork, Environm Res Inst, MaREI, Beaufort Bldg, Ringaskiddy P43 C573, Cork, Ireland.</t>
  </si>
  <si>
    <t>tim.ohiggins@ucc.ie</t>
  </si>
  <si>
    <t>CANADIAN SCIENCE PUBLISHING</t>
  </si>
  <si>
    <t>OTTAWA</t>
  </si>
  <si>
    <t>65 AURIGA DR, SUITE 203, OTTAWA, ON K2E 7W6, CANADA</t>
  </si>
  <si>
    <t>2561-4150</t>
  </si>
  <si>
    <t>Anthropocene Coasts</t>
  </si>
  <si>
    <t>10.1139/anc-2018-0023</t>
  </si>
  <si>
    <t>Environmental Sciences; Oceanography</t>
  </si>
  <si>
    <t>Environmental Sciences &amp; Ecology; Oceanography</t>
  </si>
  <si>
    <t>MJ8FO</t>
  </si>
  <si>
    <t>WOS:000548324100017</t>
  </si>
  <si>
    <t>Other Gold</t>
  </si>
  <si>
    <t>Recchi, E; Flipo, A</t>
  </si>
  <si>
    <t>Recchi, Ettore; Flipo, Aurore</t>
  </si>
  <si>
    <t>Spatial Mobility in Social Theory</t>
  </si>
  <si>
    <t>SOCIETAMUTAMENTOPOLITICA-RIVISTA ITALIANA DI SOCIOLOGIA</t>
  </si>
  <si>
    <t>Mobility; space; social theory; migration</t>
  </si>
  <si>
    <t>MIGRATION; ASSIMILATION; IMMIGRATION; MOTILITY</t>
  </si>
  <si>
    <t>While the concept of 'mobility' lends itself to a variety of metaphorical meanings, 'spatial mobility' is in fact poorly theorized in the history of sociology. Nonetheless, it plays an underrated role in the theories of all the classics of the discipline: Marx and Engels, Weber, Durkheim, Simmel, and the Chicago School. The paper explores the role of 'spatial mobility' in these classics and its re-emerging importance in more recent social theory. The influence of geography is highlighted, as John Urry's 'mobility turn' draws on the earlier 'spatial turn' of human geographers. After reviewing the controversy about the use of mobility as a conceptual framework for the analysis of migration, the paper calls for stronger attention to the spatial dimension of human life in sociological theory altogether, rather than confining 'mobility' to a specific research field and, ultimately, treating it as yet another dependent variable to be accounted for.</t>
  </si>
  <si>
    <t>[Recchi, Ettore] Sci Po Paris, Sociol, Paris, France; [Recchi, Ettore] OSC, Paris, France; [Recchi, Ettore] European Univ Inst, MPC, Florence, Italy; [Flipo, Aurore] Univ Lyon, ENTPE, LAET, Lyon, France; [Flipo, Aurore] Univ Grenoble Alpes, PACTE, Grenoble, France</t>
  </si>
  <si>
    <t>Recchi, E (corresponding author), Sci Po Paris, Sociol, Paris, France.; Recchi, E (corresponding author), OSC, Paris, France.</t>
  </si>
  <si>
    <t>RECCHI, Ettore/0000-0001-7497-2150</t>
  </si>
  <si>
    <t>FIRENZE UNIV PRESS</t>
  </si>
  <si>
    <t>FIRENZE</t>
  </si>
  <si>
    <t>JOURNALS DIVISION, BORGO ALBIZI, 28, FIRENZE, 50122, ITALY</t>
  </si>
  <si>
    <t>2038-3150</t>
  </si>
  <si>
    <t>SOCIETAMUTAMENTOPOLI</t>
  </si>
  <si>
    <t>SocietaMutamentoPolitica</t>
  </si>
  <si>
    <t>10.13128/smp-11051</t>
  </si>
  <si>
    <t>KD6JG</t>
  </si>
  <si>
    <t>WOS:000507970400011</t>
  </si>
  <si>
    <t>Lui, PP</t>
  </si>
  <si>
    <t>Lui, P. Priscilla</t>
  </si>
  <si>
    <t>Rethinking the Acculturation Gap-Distress Theory Among Asian Americans: Testing Bidirectional Indirect Relations</t>
  </si>
  <si>
    <t>AMERICAN JOURNAL OF ORTHOPSYCHIATRY</t>
  </si>
  <si>
    <t>acculturation; intergenerational conflict; longitudinal; mediation; negative affect</t>
  </si>
  <si>
    <t>INTERGENERATIONAL FAMILY CONFLICT; PARENT-CHILD CONFLICT; MENTAL-HEALTH; PSYCHOLOGICAL SEPARATION; DEPRESSION; COLLEGE; ADOLESCENTS; STRESS; PERSONALITY; MEDIATION</t>
  </si>
  <si>
    <t>The acculturation gap-distress theory postulates that parent-offspring acculturation mismatch precipitates greater intergenerational conflict in immigrant families, which in turn increases the risk for psychological problems among offspring. Whereas cross-sectional studies have shown support for these theory-informed relations, comparatively little is known about whether acculturation mismatch negatively affects psychological functioning, or whether offspring's psychological problems precipitate greater perceived acculturation mismatch via intergenerational cultural conflict. Furthermore, more research is needed to investigate how acculturation and family conflict affect Asian Americans transitioning into college and emerging adulthood. Across two measurement occasions, two cohorts of Asian American first-year college students (N = 555, M-age = 17.99, 56.0% women) completed survey questionnaires assessing their perception of parent-offspring acculturation discrepancies, acculturation-related intergenerational conflict, and internalizing and externalizing symptoms. For both sets of psychological functioning, gender invariant structural equation models testing the bidirectional relations demonstrated adequate fit for the data. In the case of externalizing symptoms, acculturation mismatch marginally significantly predicted subsequent intergenerational conflict, but acculturation mismatch did not predict externalizing symptoms via intergenerational cultural conflict. By contrast, offspring's internalizing and externalizing symptoms respectively predicted greater self-reported intergenerational cultural conflict, which in turn predicted perceived parent-offspring acculturation mismatch over time. These indirect relations suggested that both internalizing and externalizing symptoms indirectly contributed to greater acculturation mismatch through the presence of intergenerational cultural conflict, but data did not support the acculturation gap-distress theory. Theoretical and clinical implications as they pertain to Asian American emerging adults are discussed.</t>
  </si>
  <si>
    <t>[Lui, P. Priscilla] Southern Methodist Univ, Dallas, TX USA</t>
  </si>
  <si>
    <t>Lui, PP (corresponding author), Southern Methodist Univ, Dept Psychol, POB 750442, Dallas, TX 75275 USA.</t>
  </si>
  <si>
    <t>plui@smu.edu</t>
  </si>
  <si>
    <t>American Psychological Foundation; American Psychological Association</t>
  </si>
  <si>
    <t>The author thanks Chrystyna D. Kouros for her statistical consultation and comments on a draft of this article. The author also thanks David Rollock, Edward C. Chang, and Frederick T. L. Leong for their help in data collection, and Rupali Gautum for her assistance in data management. This project was partially funded through the American Psychological Foundation and the American Psychological Association.</t>
  </si>
  <si>
    <t>AMER PSYCHOLOGICAL ASSOC</t>
  </si>
  <si>
    <t>WASHINGTON</t>
  </si>
  <si>
    <t>750 FIRST ST NE, WASHINGTON, DC 20002-4242 USA</t>
  </si>
  <si>
    <t>0002-9432</t>
  </si>
  <si>
    <t>1939-0025</t>
  </si>
  <si>
    <t>AM J ORTHOPSYCHIAT</t>
  </si>
  <si>
    <t>Am. J. Orthopsychiatr.</t>
  </si>
  <si>
    <t>10.1037/ort0000322</t>
  </si>
  <si>
    <t>Psychiatry; Social Work</t>
  </si>
  <si>
    <t>JN2UJ</t>
  </si>
  <si>
    <t>WOS:000496755700001</t>
  </si>
  <si>
    <t>Kolodziej-Sarzynska, M; Majewska, M; Juchnowicz, D; Karakula-Juchnowicz, H</t>
  </si>
  <si>
    <t>Kolodziej-Sarzynska, Malgorzata; Majewska, Magdalena; Juchnowicz, Dariusz; Karakula-Juchnowicz, Hanna</t>
  </si>
  <si>
    <t>Risk factors of suicide with reference to the theory of social integration by Emile Durkheim</t>
  </si>
  <si>
    <t>PSYCHIATRIA POLSKA</t>
  </si>
  <si>
    <t>Polish</t>
  </si>
  <si>
    <t>suicide; Durkheim's theory of suicide; suicide risk factors</t>
  </si>
  <si>
    <t>MARITAL-STATUS; ALCOHOL-CONSUMPTION; SOCIOECONOMIC-FACTORS; INCOME INEQUALITY; DEVELOPMENT INDEX; UNITED-STATES; MORTALITY; RATES; RELIGION; US</t>
  </si>
  <si>
    <t>Aim. The aim of the paper was to: (1) present economic, socio-demographic and other indicators related to suicide, useful from the perspective of social integration theory, and (2) identify new indicators of special importance to contemporary Poland. Method. A narrative literature review on the sociological approach to suicide was undertaken by searching MEDLINE/PubMed, PsycINFO, Google Scholar databases using the following key words: suicide, suicide risk factors, Durkheim 's theory of suicide, integration and disintegration of society, sociodemographic factors, economic factors, religion, and the time descriptors: 2000-2017. Results. Suicide risk was analyzed in relation to: family integration (including the rates of divorce, marriage, fertility, and women's participation in the labour market); economy (including the unemployment rate, gross domestic product per capita, Gini social inequality index, and social welfare indicators); social issues (including the indicators of the healthcare system quality, the rates of alcohol consumption per capita and migration); religion (including the parameters of conventional religiosity, Gallup index, and percentage of religious books). The issues relevant for Poland were addressed while discussing Balanced Development Index in economic aspect, and dominicantes and communicantes rates in religious aspect. Conclusions. This literature review may be useful in the assessment of suicide risk when designing suicide prevention programs and for mental health clinicians in their daily practice.</t>
  </si>
  <si>
    <t>[Kolodziej-Sarzynska, Malgorzata] Szpital Powiatowy Nowej Debie, Oddzial Chorob Wewnetrznych Pododdzialem Chorob P, Nowa Deba, Poland; [Majewska, Magdalena] Wojewodzki Szpital Specjalistyczny Stefana Kardyn, Klin Oddzial Toksykol Kardiol, Lublin, Poland; [Juchnowicz, Dariusz] Uniwersytet Med Lublinie, Zaklad Pielegniarstwa Psychiat, Gluska 1, PL-20439 Lublin, Poland; [Karakula-Juchnowicz, Hanna] Uniwersytet Med Lublinie, Klin Psychiat Psychoterapii &amp; Wczesnej Interwenej, Lublin, Poland; [Karakula-Juchnowicz, Hanna] Uniwersytet Med Lublinie, Zaklad Neuropsychiat Klin, Lublin, Poland</t>
  </si>
  <si>
    <t>Juchnowicz, D (corresponding author), Uniwersytet Med Lublinie, Zaklad Pielegniarstwa Psychiat, Gluska 1, PL-20439 Lublin, Poland.</t>
  </si>
  <si>
    <t>juchnowiczdariusz@wp.pl</t>
  </si>
  <si>
    <t>Karakula-Juchnowicz, Hanna/0000-0002-5971-795X; Majewska, Magdalena Kinga/0000-0003-1467-4746</t>
  </si>
  <si>
    <t>WYDAWNICZY POLSKIEGO TOWARZYSTWA</t>
  </si>
  <si>
    <t>CRACOW</t>
  </si>
  <si>
    <t>LENARTOWICZA 14 STRREET,, CRACOW, 31-138, POLAND</t>
  </si>
  <si>
    <t>0033-2674</t>
  </si>
  <si>
    <t>PSYCHIATR POL</t>
  </si>
  <si>
    <t>Psychiatr. Pol.</t>
  </si>
  <si>
    <t>10.12740/PP/92217</t>
  </si>
  <si>
    <t>Psychiatry</t>
  </si>
  <si>
    <t>IV1QU</t>
  </si>
  <si>
    <t>WOS:000484053600010</t>
  </si>
  <si>
    <t>Parella, S; Petroff, A; Speroni, T; Piqueras, C</t>
  </si>
  <si>
    <t>Parella, Sonia; Petroff, Alisa; Speroni, Thales; Piqueras, Clara</t>
  </si>
  <si>
    <t>Social suffering and return migrations: a conceptual proposal</t>
  </si>
  <si>
    <t>APUNTES-REVISTA DE CIENCIAS SOCIALES</t>
  </si>
  <si>
    <t>migration; social integration; suffering; social mobility; migrants; emigration and inmigration</t>
  </si>
  <si>
    <t>OUT-MIGRATION; IMMIGRANTS; TRANSNATIONALISM; MIGRANTS; INTEGRATION; NETWORKS; MOBILITY; CONTEXT; WOMEN; STAY</t>
  </si>
  <si>
    <t>This article highlights how social suffering, conceived of as a manifestation of social oppression and injustice incorporated into the individual, has attributes that are evident in the different stages of the migratory return, which are marked by transnational and multilocal processes. To this end, the VIA Model - composed of the analytical axes of vulnerability, uncertainty and assistance - allows for the description, interpretation and analysis of social suffering during the return process through a multilevel analysis that connects the perceptions and experiences of the actors with structural inequalities.</t>
  </si>
  <si>
    <t>[Parella, Sonia; Petroff, Alisa; Speroni, Thales; Piqueras, Clara] Univ Autonoma Barcelona, Barcelona, Spain; [Speroni, Thales] Univ Fed Rio Grande do Sul, Porto Alegre, RS, Brazil</t>
  </si>
  <si>
    <t>Parella, S (corresponding author), Univ Autonoma Barcelona, Barcelona, Spain.</t>
  </si>
  <si>
    <t>sonia.parella@uab.cat; petroffalisa@gmail.com; thalessperoni@gmail.com; piqueras.clara@gmail.com</t>
  </si>
  <si>
    <t>petroff, Alisa/AAM-3331-2020</t>
  </si>
  <si>
    <t>UNIV PACIFICO</t>
  </si>
  <si>
    <t>LIMA</t>
  </si>
  <si>
    <t>AVE SALAVERRY 2020, JESUS MARIA, LIMA, 11, PERU</t>
  </si>
  <si>
    <t>0252-1865</t>
  </si>
  <si>
    <t>2223-1757</t>
  </si>
  <si>
    <t>APUNTES-REV CIENC SO</t>
  </si>
  <si>
    <t>Apuntes-Rev. Cienc. Soc.</t>
  </si>
  <si>
    <t>10.21678/apuntes.84.1013</t>
  </si>
  <si>
    <t>HW3CG</t>
  </si>
  <si>
    <t>WOS:000466567400002</t>
  </si>
  <si>
    <t>Hemming, K; Schlimbach, T; Tilmann, F; Nienaber, B; Roman, M; Skrobanek, J</t>
  </si>
  <si>
    <t>Hemming, Karen; Schlimbach, Tabea; Tilmann, Frank; Nienaber, Birte; Roman, Monica; Skrobanek, Jan</t>
  </si>
  <si>
    <t>Structural framework conditions and individual motivations for youth-mobility: A macro-micro level approach for different European country-types</t>
  </si>
  <si>
    <t>MIGRATION LETTERS</t>
  </si>
  <si>
    <t>European youth mobility; micro-macro level approach; human capital; mobility motivations; multiple methods</t>
  </si>
  <si>
    <t>BRAIN-DRAIN; IMMIGRANT ASSIMILATION; MIGRATION; GLOBALIZATION; INEQUALITY; TRENDS</t>
  </si>
  <si>
    <t>European youth mobility seems to be fostering Europe's unequal pace of integration, which sees certain countries benefit at the expense of others (Ohmacht et al., 2009; van Mol &amp; Timmerman, 2014). Using a comparative approach, the paper aims to relate a macro-level country-typology focussing on human capital with individual mobility-motivations on the micro-level. Our methodological approach is based on a secondary macro-data analysis and analyses of mobility-motivations of young people (micro-data) deriving from qualitative (N=152) and quantitative data (N=5,499) collected in six European countries. In order to examine correspondence between macro-conditions and micro-aspects, we relate information on mobility-motivations to the country-typology by allocating mobile youth to the respective types of their home country. The results show that the country-types compose different opportunity structures, which are reflected in individual motivations. Accordingly, different country-types can be seen as an example of the heterogeneity and inequality of European social and territorial mobility frames.</t>
  </si>
  <si>
    <t>[Hemming, Karen; Schlimbach, Tabea; Tilmann, Frank] German Youth Inst, Halle, Saale, Germany; [Nienaber, Birte] Univ Luxembourg, Luxembourg, Luxembourg; [Roman, Monica] Bucharest Univ Econ Studies, Bucharest, Romania; [Skrobanek, Jan] Univ Bergen, Bergen, Norway</t>
  </si>
  <si>
    <t>Hemming, K (corresponding author), German Youth Inst, Halle, Saale, Germany.</t>
  </si>
  <si>
    <t>hemming@dji.de</t>
  </si>
  <si>
    <t>Roman, Monica/H-8401-2016</t>
  </si>
  <si>
    <t>Roman, Monica/0000-0002-9347-0639</t>
  </si>
  <si>
    <t>EU-Horizon 2020 research and innovation programme [649263]</t>
  </si>
  <si>
    <t>The paper originates from the EU-project MOVE which has received funding from the EU-Horizon 2020 research and innovation programme under grant agreement No. 649263. Parts of the paper are based on the following MOVE reports: Public Work Package Report WP2, Public Work Package Report WP4 (see www.move-project.eu/reports-publications/).</t>
  </si>
  <si>
    <t>TRANSNATIONAL PRESS LONDON</t>
  </si>
  <si>
    <t>12 RIDGEWAY GARDENS, LONDON, N6 5XR, ENGLAND</t>
  </si>
  <si>
    <t>1741-8984</t>
  </si>
  <si>
    <t>1741-8992</t>
  </si>
  <si>
    <t>MIGR LETT</t>
  </si>
  <si>
    <t>Migr. Lett.</t>
  </si>
  <si>
    <t>10.33182/ml.v16i1.621</t>
  </si>
  <si>
    <t>HU5UA</t>
  </si>
  <si>
    <t>WOS:000465343600004</t>
  </si>
  <si>
    <t>Green Published, Bronze</t>
  </si>
  <si>
    <t>Galli, F; Russo, G</t>
  </si>
  <si>
    <t>Galli, Fausto; Russo, Giuseppe</t>
  </si>
  <si>
    <t>Immigration restrictions and second-generation cultural assimilation: theory and quasi-experimental evidence</t>
  </si>
  <si>
    <t>JOURNAL OF POPULATION ECONOMICS</t>
  </si>
  <si>
    <t>Second-generation immigration; Intergenerational assimilation; Cultural transmission; Social and economic stratification</t>
  </si>
  <si>
    <t>PERCEIVED DISCRIMINATION; INTERNATIONAL MIGRATION; ECONOMIC OUTCOMES; NATURAL DISASTERS; RETURN MIGRATION; ETHNIC-IDENTITY; TRANSMISSION; DURATION; EARNINGS; CHILDREN</t>
  </si>
  <si>
    <t>We study the effects of immigration restrictions on the cultural assimilation of second-generation migrants. In our theoretical model, when mobility is free, individuals with a stronger taste for their native culture migrate temporarily. When immigration is restricted, however, these individuals are incentivized to relocate permanently. Permanent emigrants procreate in the destination country and convey their cultural traits to the second generation, who will therefore find assimilation harder. We test this prediction by using the 1973 immigration ban in Germany (Anwerbestopp) as a quasi-experiment. Since the ban only concerned immigrants from countries outside the European Economic Community, they act as a treatment group. According to our estimates, the Anwerbestopp has reduced the cultural assimilation of the second generation. This result demonstrated robustness to several checks. We conclude that restrictive immigration policies may have the unintended consequence of delaying the intergenerational process of cultural assimilation.</t>
  </si>
  <si>
    <t>[Galli, Fausto; Russo, Giuseppe] Univ Salerno, Dipartimento Sci Econ &amp; Stat, Via Giovanni Paolo II 132, I-84084 Fisciano, SA, Italy; [Russo, Giuseppe] CSEF, Naples, Italy</t>
  </si>
  <si>
    <t>Russo, G (corresponding author), Univ Salerno, Dipartimento Sci Econ &amp; Stat, Via Giovanni Paolo II 132, I-84084 Fisciano, SA, Italy.; Russo, G (corresponding author), CSEF, Naples, Italy.</t>
  </si>
  <si>
    <t>fgalli@unisa.it; grusso@unisa.it</t>
  </si>
  <si>
    <t>University of Salerno Giuseppe Russo [ORSA 163317, 160472]</t>
  </si>
  <si>
    <t>The authors acknowledge financial support from the University of Salerno Giuseppe Russo: FARB project ORSA 163317; Fausto Galli: FARB project 160472.</t>
  </si>
  <si>
    <t>0933-1433</t>
  </si>
  <si>
    <t>1432-1475</t>
  </si>
  <si>
    <t>J POPUL ECON</t>
  </si>
  <si>
    <t>J. Popul. Econ.</t>
  </si>
  <si>
    <t>10.1007/s00148-018-0694-z</t>
  </si>
  <si>
    <t>Demography; Economics</t>
  </si>
  <si>
    <t>Demography; Business &amp; Economics</t>
  </si>
  <si>
    <t>HC4HY</t>
  </si>
  <si>
    <t>WOS:000451765100002</t>
  </si>
  <si>
    <t>Ward, C; Gale, J; Staerkle, C; Stuart, J</t>
  </si>
  <si>
    <t>Ward, Colleen; Gale, Jessica; Staerkle, Christian; Stuart, Jaimee</t>
  </si>
  <si>
    <t>Immigration and Multiculturalism in Context: A Framework for Psychological Research</t>
  </si>
  <si>
    <t>JOURNAL OF SOCIAL ISSUES</t>
  </si>
  <si>
    <t>INTERGROUP CONTACT; NATIONAL IDENTITY; SOCIAL NORMS; CULTURAL-DIVERSITY; ETHNIC DIVERSITY; ATTITUDES; PREJUDICE; COMMUNITY; IDEOLOGY; ACCULTURATION</t>
  </si>
  <si>
    <t>Multiculturalism is a hotly debated issue in today's global arena. Much of the controversy arises due to different understandings of the term in public and political discourse. We argue that multiculturalism has three core components-diversity, ideology, and policy-and that heterogeneous cultural groups in multicultural societies are ultimately seeking social justice, but in different ways. Moving beyond the broad social science research to the influences and impacts of multiculturalism within psychological studies, we introduce the concept of normative multiculturalism and propose an integrative framework, presenting multiculturalism as a contextual variable and examining its impact in terms of intergroup relations and subjective well-being. We also consider how multiculturalism at the societal level can be differentially experienced by immigrants and members of the receiving community. Finally, we discuss strategies for maximizing the benefits and minimizing the risks of multiculturalism, reconciling differing justice conceptions, and enhancing positive outcomes for the wider society.</t>
  </si>
  <si>
    <t>[Ward, Colleen] Victoria Univ Wellington, Psychol, Wellington, New Zealand; [Ward, Colleen] Victoria Univ Wellington, Ctr Appl Cross Cultural Res, Wellington, New Zealand; [Gale, Jessica] Univ Lausanne, Lausanne, Switzerland; [Staerkle, Christian] Univ Lausanne, Social Psychol, Lausanne, Switzerland; [Stuart, Jaimee] Griffith Univ, Sch Appl Psychol, Nathan, Qld, Australia</t>
  </si>
  <si>
    <t>Gale, J (corresponding author), Univ Lausanne, Inst Psychol, Geopolis 5128, CH-1015 Lausanne, Switzerland.</t>
  </si>
  <si>
    <t>Jessica.Gale@unil.ch</t>
  </si>
  <si>
    <t>Stuart, Jaimee/B-5844-2018</t>
  </si>
  <si>
    <t>Stuart, Jaimee/0000-0002-4376-1913; Gale, Jessica Lindsay/0000-0001-5677-8629</t>
  </si>
  <si>
    <t>0022-4537</t>
  </si>
  <si>
    <t>1540-4560</t>
  </si>
  <si>
    <t>J SOC ISSUES</t>
  </si>
  <si>
    <t>J. Soc. Issues</t>
  </si>
  <si>
    <t>10.1111/josi.12301</t>
  </si>
  <si>
    <t>Social Issues; Psychology, Social</t>
  </si>
  <si>
    <t>Social Issues; Psychology</t>
  </si>
  <si>
    <t>HD3ZI</t>
  </si>
  <si>
    <t>WOS:000452464400010</t>
  </si>
  <si>
    <t>Sherwani, M; Ali, A; Ali, A; Hussain, S; Zadran, HG</t>
  </si>
  <si>
    <t>Sherwani, Mehkar; Ali, Afzaal; Ali, Adnan; Hussain, Sikandar; Zadran, Habib Gul</t>
  </si>
  <si>
    <t>Determinants of muslim consumers' Halal meat consumption: applying and extending the theory of planned behavior</t>
  </si>
  <si>
    <t>JOURNAL OF FOOD PRODUCTS MARKETING</t>
  </si>
  <si>
    <t>Dietary acculturation; moral obligation; meat; Islam; Germany</t>
  </si>
  <si>
    <t>FOOD-CONSUMPTION; EVERYDAY LIFE; INTENTION; HABIT; PERSPECTIVE; INVOLVEMENT; PRODUCTS; SERVICES; VALIDITY; SEAFOOD</t>
  </si>
  <si>
    <t>The purpose of this study is to investigate the determinants of Halal meat consumption within Turkish Muslim immigrants in Germany using the theory of planned behavior (TPB) as a conceptual framework. The role of self-identity as a Muslim, dietary acculturation in the host culture, moral obligation to purchase Halal meat, and trust on the authenticity of Halal meat is explored. A quantitative research methodology using an online questionnaire survey was used. Cross-sectional data were collected through a survey of 464 Muslims originating from Turkey and currently living in Germany. A positive personal attitude toward the consumption of Halal meat, motivation to comply others, the perceived control over consuming Halal meat, and the availability of Halal meat predict the intention to eat Halal meat among Muslims. This study is one of the few studies investigating the determinants of Halal meat consumption in a Muslim population in Germany using the TPB within a food, religion, and migration context.</t>
  </si>
  <si>
    <t>[Sherwani, Mehkar; Ali, Afzaal; Hussain, Sikandar; Zadran, Habib Gul] Univ Int Business &amp; Econ, Business Sch, Beijing, Peoples R China; [Ali, Adnan] Xi An Jiao Tong Univ, Sch Management, Xian, Shaanxi, Peoples R China</t>
  </si>
  <si>
    <t>Ali, A (corresponding author), Univ Int Business &amp; Econ, Business Sch, Beijing, Peoples R China.</t>
  </si>
  <si>
    <t>de201465013@uibe.edu.cn</t>
  </si>
  <si>
    <t>Ali, Adnan/0000-0001-8836-8851</t>
  </si>
  <si>
    <t>1045-4446</t>
  </si>
  <si>
    <t>1540-4102</t>
  </si>
  <si>
    <t>J FOOD PROD MARK</t>
  </si>
  <si>
    <t>J. Food Prod. Mark.</t>
  </si>
  <si>
    <t>NOV 17</t>
  </si>
  <si>
    <t>10.1080/10454446.2018.1450173</t>
  </si>
  <si>
    <t>GX4OF</t>
  </si>
  <si>
    <t>WOS:000447713100003</t>
  </si>
  <si>
    <t>Fujii, DEM</t>
  </si>
  <si>
    <t>Fujii, Daryl E. M.</t>
  </si>
  <si>
    <t>Developing a cultural context for conducting a neuropsychological evaluation with a culturally diverse client: the ECLECTIC framework(*)</t>
  </si>
  <si>
    <t>CLINICAL NEUROPSYCHOLOGIST</t>
  </si>
  <si>
    <t>Culture; neuropsychology; neuropsychological assessment; testing bias</t>
  </si>
  <si>
    <t>MONTREAL COGNITIVE ASSESSMENT; IQ TEST STANDARDIZATION; TEST-PERFORMANCE; CLINICAL-NEUROPSYCHOLOGY; STEREOTYPE THREAT; AFRICAN-AMERICAN; PRACTICAL INTELLIGENCE; SOCIOECONOMIC-STATUS; NATIONAL ACADEMY; ASIAN-AMERICANS</t>
  </si>
  <si>
    <t>Objective: With the increasing diversification of the American population, the discipline of neuropsychology is challenged to develop appropriate tools and conceptual models to meet its evolving client base. Thus far, the focus has been on developing appropriate tests and norms to obtain accurate testing data. By contrast, far less attention has been paid to the contextual impact of culture on an evaluation. This paper attempts to address this shortcoming. Methods: This manuscript introduces the ECLECTIC framework for conceptualizing different facets of culture pertinent for understanding a culturally diverse client when conducting a neuropsychological evaluation. Individual components of the framework (E: education and literacy; C: culture and acculturation; L: language; E: economics; C: communication; T: testing situation: comfort and motivation; I: intelligence conceptualization; and C: context of immigration) are introduced and potential biases to fairness in testing are described. In this manner, the framework specifies how individual facets of culture can impact neuropsychological test performance. Conclusions: Clinical implementation of the framework will be illustrated with a case sample. Strengths and weaknesses of the framework are discussed as well as recommendations for implementation.</t>
  </si>
  <si>
    <t>[Fujii, Daryl E. M.] Vet Affairs Pacific Isl Hlth Care Syst, Honolulu, HI 96819 USA</t>
  </si>
  <si>
    <t>Fujii, DEM (corresponding author), Vet Affairs Pacific Isl Hlth Care Syst, Honolulu, HI 96819 USA.</t>
  </si>
  <si>
    <t>daryl.fujii@va.gov</t>
  </si>
  <si>
    <t>1385-4046</t>
  </si>
  <si>
    <t>1744-4144</t>
  </si>
  <si>
    <t>CLIN NEUROPSYCHOL</t>
  </si>
  <si>
    <t>Clin. Neuropsychol.</t>
  </si>
  <si>
    <t>10.1080/13854046.2018.1435826</t>
  </si>
  <si>
    <t>Psychology, Clinical; Clinical Neurology; Psychology</t>
  </si>
  <si>
    <t>Psychology; Neurosciences &amp; Neurology</t>
  </si>
  <si>
    <t>HB4AD</t>
  </si>
  <si>
    <t>WOS:000450993400002</t>
  </si>
  <si>
    <t>Lee, S</t>
  </si>
  <si>
    <t>Lee, Sookjung</t>
  </si>
  <si>
    <t>Understanding the dynamics among acculturative stress, coping, and growth: A grounded theory of the Korean immigrant adolescent experience</t>
  </si>
  <si>
    <t>CHILDREN AND YOUTH SERVICES REVIEW</t>
  </si>
  <si>
    <t>Immigrant adolescent; Acculturation; Acculturative stress; Coping; Stress-related growth; Age-specific development</t>
  </si>
  <si>
    <t>CHINESE INTERNATIONAL STUDENTS; POST-MIGRATION GROWTH; PERCEIVED DISCRIMINATION; DEPRESSIVE SYMPTOMS; SOCIAL SUPPORT; STRATEGIES; PERSONALITY; TRANSITION; ADJUSTMENT; AMERICANS</t>
  </si>
  <si>
    <t>The purpose of the present study is two-fold. First, it aims to develop a theoretical model of the acculturative process of immigrant adolescents based on the understanding of the relationships among acculturative stress, coping, and growth. Second, it aims to propose a typology that offers distinct patterns in the process of acculturation and the resulting outcomes. Using the grounded theory method, the study identified stress related to communication problems, ethnic prejudice, academic pressure, homesickness, and interpersonal conflict. The lack of social support and the school climate were identified as contextual factors of perceived stress. Peer mediation and motivation were identified as intervention factors of coping behaviors. The immigrant adolescent coping behaviors included media use for emotional release, focus on a goal, connectedness to the home country, and the creation of social capital in the host country. The typology of different acculturative patterns classified immigrant adolescents into three types: adaptive, academic, and competent. Based on the findings, the significance of family functioning, peer mediation, self-expansion motivation, and coping behaviors to create social capital for immigrant adolescents' normal development was discussed.</t>
  </si>
  <si>
    <t>[Lee, Sookjung] Chung Ang Univ, Sch Media &amp; Commun, Seoul, South Korea</t>
  </si>
  <si>
    <t>Lee, S (corresponding author), Chung Ang Univ, Sch Media &amp; Commun, Seoul, South Korea.</t>
  </si>
  <si>
    <t>sjleecom@cau.ac.kr</t>
  </si>
  <si>
    <t>Ministry of Education of the Republic of Korea; National Research Foundation of KoreaNational Research Foundation of Korea [NRF-2015S1A2A1A01026410]</t>
  </si>
  <si>
    <t>This work was supported by the Ministry of Education of the Republic of Korea and the National Research Foundation of Korea (NRF-2015S1A2A1A01026410).</t>
  </si>
  <si>
    <t>0190-7409</t>
  </si>
  <si>
    <t>1873-7765</t>
  </si>
  <si>
    <t>CHILD YOUTH SERV REV</t>
  </si>
  <si>
    <t>Child. Youth Serv. Rev.</t>
  </si>
  <si>
    <t>10.1016/j.childyouth.2018.09.030</t>
  </si>
  <si>
    <t>Family Studies; Social Work</t>
  </si>
  <si>
    <t>HD2MW</t>
  </si>
  <si>
    <t>WOS:000452345700014</t>
  </si>
  <si>
    <t>Ruiz, JM; Sbarra, D; Steffen, PR</t>
  </si>
  <si>
    <t>Ruiz, John M.; Sbarra, David; Steffen, Patrick R.</t>
  </si>
  <si>
    <t>Hispanic ethnicity, stress psychophysiology and paradoxical health outcomes: A review with conceptual considerations and a call for research</t>
  </si>
  <si>
    <t>INTERNATIONAL JOURNAL OF PSYCHOPHYSIOLOGY</t>
  </si>
  <si>
    <t>Psychophysiology; Stress; Hispanic; Ethnicity; Culture</t>
  </si>
  <si>
    <t>BASE-LINE-THEORY; CARDIOVASCULAR REACTIVITY; SOCIAL SUPPORT; MEXICAN IMMIGRANTS; MORTALITY PARADOX; ALLOSTATIC LOAD; BLOOD-PRESSURE; HEART-DISEASE; ACCULTURATION; RISK</t>
  </si>
  <si>
    <t>It is not wise to generalize psychophysiological findings from WEIRD (Western, Educated, Industrialized, Rich, Democratic) samples to all people and yet this occurs frequently in research. Case-in-point is our understanding of psychophysiological responses to stress which suggest universality despite our knowledge that these pathways are moderated by factors such as ethnicity and culture. Here we discuss the epidemiological phenomenon commonly referred to as the Hispanic health paradox to illustrate the importance of culture in understanding stress. We posit that despite high stress exposure, Hispanics may experience relatively low levels of stress contributing to their paradoxical health advantages. Building on our prior work, we present a new, culturally tailored stress theory model to illustrate how sociocultural factors may moderate the experience of stress (through appraisals) with downstream effects on psychophysiological mechanisms. We support the model with available data and end this paper with a call for research that more carefully considers cultural and ethnic factors in psychophysiological research.</t>
  </si>
  <si>
    <t>[Ruiz, John M.; Sbarra, David] Univ Arizona, Dept Psychol, 1503 E Univ Blvd,POB 210068, Tucson, AZ 85721 USA; [Steffen, Patrick R.] Brigham Young Univ, Dept Psychol, Provo, UT 84602 USA</t>
  </si>
  <si>
    <t>Ruiz, JM (corresponding author), Univ Arizona, Dept Psychol, 1503 E Univ Blvd,POB 210068, Tucson, AZ 85721 USA.</t>
  </si>
  <si>
    <t>JohnRuiz@email.arizona.edu</t>
  </si>
  <si>
    <t>0167-8760</t>
  </si>
  <si>
    <t>1872-7697</t>
  </si>
  <si>
    <t>INT J PSYCHOPHYSIOL</t>
  </si>
  <si>
    <t>Int. J. Psychophysiol.</t>
  </si>
  <si>
    <t>SEP</t>
  </si>
  <si>
    <t>10.1016/j.ijpsycho.2018.04.001</t>
  </si>
  <si>
    <t>Psychology, Biological; Neurosciences; Physiology; Psychology; Psychology, Experimental</t>
  </si>
  <si>
    <t>Psychology; Neurosciences &amp; Neurology; Physiology</t>
  </si>
  <si>
    <t>GT2VW</t>
  </si>
  <si>
    <t>WOS:000444359400004</t>
  </si>
  <si>
    <t>Ngongalah, L; Rankin, J; Rapley, T; Odeniyi, A; Akhter, Z; Heslehurst, N</t>
  </si>
  <si>
    <t>Ngongalah, Lem; Rankin, Judith; Rapley, Tim; Odeniyi, Adefisayo; Akhter, Zainab; Heslehurst, Nicola</t>
  </si>
  <si>
    <t>Dietary and Physical Activity Behaviours in African Migrant Women Living in High Income Countries: A Systematic Review and Framework Synthesis</t>
  </si>
  <si>
    <t>NUTRIENTS</t>
  </si>
  <si>
    <t>diet; physical activity; behaviours; determinants; pregnancy; child-bearing age; African; migrant; maternal overweight; maternal obesity</t>
  </si>
  <si>
    <t>NUTRITION TRANSITION; ETHNIC-DIFFERENCES; BODY-WEIGHT; HEALTH; ACCULTURATION; IMMIGRANT; PREGNANCY; OBESITY; BORN; RATES</t>
  </si>
  <si>
    <t>Dietary and physical activity behaviours during preconception and in pregnancy are important determinants of maternal and child health. This review synthesised the available evidence on dietary and physical activity behaviours in pregnant women and women of childbearing age women who have migrated from African countries to live in high income countries. Searches were conducted on Medline, Embase, PsycInfo, Pubmed, CINAHL, Scopus, Proquest, Web of Science, and the Cochrane library. Searches were restricted to studies conducted in high income countries and published in English. Data extraction and quality assessment were carried out in duplicate. Findings were synthesised using a framework approach, which included both a priori and emergent themes. Fourteen studies were identified; ten quantitative and four qualitative. Four studies included pregnant women. Data on nutrient intakes included macro- and micro-nutrients; and were suggestive of inadequacies in iron, folate, and calcium; and excessive sodium intakes. Dietary patterns were bicultural, including both Westernised and African dietary practices. Findings on physical activity behaviours were conflicting. Dietary and physical activity behaviours were influenced by post-migration environments, culture, religion, and food or physical activity-related beliefs and perceptions. Further studies are required to understand the influence of sociodemographic and other migration-related factors on behaviour changes after migration.</t>
  </si>
  <si>
    <t>[Ngongalah, Lem; Rankin, Judith; Odeniyi, Adefisayo; Akhter, Zainab; Heslehurst, Nicola] Newcastle Univ, Inst Heath &amp; Soc, Newcastle Upon Tyne NE2 4AX, Tyne &amp; Wear, England; [Rapley, Tim] Northumbria Univ, Dept Social Work Educ &amp; Community Wellbeing, Newcastle Upon Tyne NE7 7XA, Tyne &amp; Wear, England</t>
  </si>
  <si>
    <t>Heslehurst, N (corresponding author), Newcastle Univ, Inst Heath &amp; Soc, Newcastle Upon Tyne NE2 4AX, Tyne &amp; Wear, England.</t>
  </si>
  <si>
    <t>l.n.ngongalah2@newcastle.ac.uk; judith.rankin@newcastle.ac.uk; tim.rapley@northumbria.ac.uk; A.O.Odeniyi2@newcastle.ac.uk; z.akhter@newcastle.ac.uk; Nicola.heslehurst@newcastle.ac.uk</t>
  </si>
  <si>
    <t>ngongalah, lem/S-9106-2019</t>
  </si>
  <si>
    <t>ngongalah, lem/0000-0001-6920-7622; Rapley, Tim/0000-0003-4836-4279; Rankin, Judith/0000-0001-5355-454X; Akhter, Zainab/0000-0001-8878-5970; Heslehurst, Nicola/0000-0001-8656-2319</t>
  </si>
  <si>
    <t>Department of HealthEuropean Commission [PDF-2011-04-034] Funding Source: Medline; Medical Research CouncilUK Research &amp; Innovation (UKRI)Medical Research Council UK (MRC)European Commission [MR/K02325X/1] Funding Source: Medline</t>
  </si>
  <si>
    <t>2072-6643</t>
  </si>
  <si>
    <t>Nutrients</t>
  </si>
  <si>
    <t>10.3390/nu10081017</t>
  </si>
  <si>
    <t>Nutrition &amp; Dietetics</t>
  </si>
  <si>
    <t>GU9PD</t>
  </si>
  <si>
    <t>WOS:000445680200065</t>
  </si>
  <si>
    <t>DOAJ Gold, Green Published, Green Accepted</t>
  </si>
  <si>
    <t>Davda, LS; Gallagher, JE; Radford, DR</t>
  </si>
  <si>
    <t>Davda, Latha S.; Gallagher, Jennifer E.; Radford, David R.</t>
  </si>
  <si>
    <t>Migration motives and integration of international human resources of health in the United Kingdom: systematic review and meta-synthesis of qualitative studies using framework analysis</t>
  </si>
  <si>
    <t>HUMAN RESOURCES FOR HEALTH</t>
  </si>
  <si>
    <t>Migration motives; Integration barriers and facilitators; Internationally trained nurses; International medical graduates; International dental graduates</t>
  </si>
  <si>
    <t>QUALIFIED DOCTORS WORKING; OVERSEAS NURSES; CAREER PROGRESSION; BRAIN-DRAIN; EXPERIENCES; UK; COUNTRIES; EU; PROFESSIONALS; BARRIERS</t>
  </si>
  <si>
    <t>Objective: The aim of this review was to examine the migration motives, the barriers to and facilitators of integration of international dental graduates, compared with nurses and doctors in the United Kingdom. Methods: Electronic databases Ovid MEDLINE, EMBASE, PubMed, Web of Knowledge and OECD publications were systematically searched for English language publications from January 2000 to January 2017. A total of 31 qualitative studies were selected and quality appraised and meta-synthesis of the qualitative data was carried out using framework synthesis. The Preferred Reporting Items for Systematic Reviews and Meta-Analyses (PRISMA) guidelines were applied to present the findings. Results: There were no studies on migration motives and one study on integration experiences of international dentists in the UK. The nursing literature had the highest volume and quality of evidence on nursing workforce, whilst there was limited literature on international doctors in the UK. Migration of health professionals to the UK is determined by personal and professional factors, together with source country-specific and UK drivers. Active recruitment, post graduate training and financial gain act as strong common macro, meso and micro drivers that perpetuate migration into the UK, but the extent to which each of these drivers influence nurses' and doctors' migration is different. Integration experiences for international nurses and doctors differed based on their source country experiences and the work environment they entered. Nurses reported a wider knowledge and skills gap, more multi-level discrimination and less career progression compared to the doctors. The migrants' integration experiences depend on their cultural awareness, discrimination exposure, English language and communication skills, social and professional support networks, social integration and personal attributes. Conclusion: Migration of international health professionals is motivated by macro, meso and micro drivers at the international, national, professional and personal levels. The UK has strong common macro pull factors which attract nurses, doctors and dentists and may impact on the effectiveness of policies to restrict their migration. The integration experiences of nurses and doctors differ and further research is required to understand the integration experiences of dentists, in order to retain these professionals by tailoring policies to each of these professions.</t>
  </si>
  <si>
    <t>[Davda, Latha S.; Radford, David R.] Univ Portsmouth, Kings Coll London, Dent Acad, Dent Inst, William Beatty Bldg,1 Hampshire Terrace, Portsmouth PO1 2QG, Hants, England; [Gallagher, Jennifer E.] Kings Coll London, Dent Inst, Int Affairs, Denmark Hill Campus,Bessemer Rd, London SE5 9RS, England; [Gallagher, Jennifer E.] Kings Coll London, Dent Inst, Oral Hlth Strategy, Denmark Hill Campus,Bessemer Rd, London SE5 9RS, England</t>
  </si>
  <si>
    <t>Davda, LS (corresponding author), Univ Portsmouth, Kings Coll London, Dent Acad, Dent Inst, William Beatty Bldg,1 Hampshire Terrace, Portsmouth PO1 2QG, Hants, England.</t>
  </si>
  <si>
    <t>latha.davda@port.ac.uk</t>
  </si>
  <si>
    <t>Radford, David R/E-9935-2011; Davda, Latha/AAO-6995-2020</t>
  </si>
  <si>
    <t>Davda, Latha/0000-0003-0159-224X; Gallagher, Professor/0000-0001-5068-8008</t>
  </si>
  <si>
    <t>King's College London</t>
  </si>
  <si>
    <t>Open access for this article was funded by King's College London.</t>
  </si>
  <si>
    <t>BMC</t>
  </si>
  <si>
    <t>CAMPUS, 4 CRINAN ST, LONDON N1 9XW, ENGLAND</t>
  </si>
  <si>
    <t>1478-4491</t>
  </si>
  <si>
    <t>HUM RESOUR HEALTH</t>
  </si>
  <si>
    <t>Hum. Resour. Health</t>
  </si>
  <si>
    <t>JUN 27</t>
  </si>
  <si>
    <t>10.1186/s12960-018-0293-9</t>
  </si>
  <si>
    <t>Health Policy &amp; Services; Industrial Relations &amp; Labor</t>
  </si>
  <si>
    <t>Health Care Sciences &amp; Services; Business &amp; Economics</t>
  </si>
  <si>
    <t>GL1CV</t>
  </si>
  <si>
    <t>WOS:000436835600001</t>
  </si>
  <si>
    <t>Bojorquez, I; Rosales, C; Angulo, A; de Zapien, J; Denman, C; Madanat, H</t>
  </si>
  <si>
    <t>Bojorquez, Ietza; Rosales, Cecilia; Angulo, Alexandra; de Zapien, Jill; Denman, Catalina; Madanat, Hala</t>
  </si>
  <si>
    <t>International migration and dietary change in Mexican women from a social practice framework</t>
  </si>
  <si>
    <t>APPETITE</t>
  </si>
  <si>
    <t>Dietary practices; Dietary change; Migration; Social practice; Mexico; Women</t>
  </si>
  <si>
    <t>UNITED-STATES; IMMIGRANT WOMEN; HEALTH RESEARCH; PHYSICAL-ACTIVITY; EATING PATTERNS; PUBLIC-HEALTH; FOOD CHOICES; RISK-FACTORS; NEW-YORK; ACCULTURATION</t>
  </si>
  <si>
    <t>Migration from lower- and middle-income to high-income countries is associated with dietary change, and especially with the adoption of a modern, less healthy diet. In this article we analyze the dietary changes experienced by Mexican migrants, employing as a theoretical framework the concept of social practice. According to this framework, practices integrate material elements, meanings and competences that provide their conditions of possibility. Practices are shared by members of social groups, and interact with other competing or reinforcing practices. Between 2014 and 2015, we conducted semi-structured interviews with 27 women, international return migrants living in Tijuana, Mexico. The interview guide asked about history of migration and dietary change. We found three main areas of dietary change: from subsistence farming to ready meals, abundance vs. restriction, and adoption of new food items. The first one was associated with changes in food procurement and female work: when moving from rural to urban areas, participants substituted self-produced for purchased food; and as migrant women joined the labor force, consumption of ready meals increased. The second was the result of changes in income: participants of lower socioeconomic position modified the logic of food acquisition from restriction to abundance and back, depending on the available resources. The third change was relatively minor, with occasional consumption of new dishes or food items, and was associated with exposure to different cuisines and with learning how to cook them. Public health efforts to improve the migrants' diets should take into account the constitutive elements of dietary practices, instead of isolating individuals from their social contexts. (C) 2018 Elsevier Ltd. All rights reserved.</t>
  </si>
  <si>
    <t>[Bojorquez, Ietza; Angulo, Alexandra] Colegio Frontera Norte, Carretera Escenica Tijuana Ensenada Km 18-5, Tijuana 22560, BC, Mexico; [Rosales, Cecilia; de Zapien, Jill] Univ Arizona, 714 E Van Buren St,Suite 119, Phoenix, AZ 85006 USA; [Denman, Catalina] Colegio Sonora, Garmendia 187, Hermosillo 83150, Sonora, Mexico; [Madanat, Hala] San Diego State Univ, 5500 Campanile Dr, San Diego, CA 92182 USA</t>
  </si>
  <si>
    <t>Bojorquez, I (corresponding author), Colegio Frontera Norte, Carretera Escenica Tijuana Ensenada Km 18-5, Tijuana 22560, BC, Mexico.</t>
  </si>
  <si>
    <t>ietzabojorquez@gmail.com; crosales@email.arizona.edu; alexandra.angulo@gmail.com; dezapien@u.arizona.edu; cdenman@colson.edu.mx; hmadanat@mail.sdsu.edu</t>
  </si>
  <si>
    <t>Madanat, Hala/0000-0002-2547-2202</t>
  </si>
  <si>
    <t>Research Program on Migration and Health (PIMSA) of the University of California Berkeley/CONACYT; Consejo National de Ciencia y Tecnologia [CB-2010-153536]</t>
  </si>
  <si>
    <t>This work was supported by the Research Program on Migration and Health (PIMSA) of the University of California Berkeley/CONACYT, 2013-2014. IB was supported by Consejo National de Ciencia y Tecnologia (CB-2010-153536).</t>
  </si>
  <si>
    <t>ACADEMIC PRESS LTD- ELSEVIER SCIENCE LTD</t>
  </si>
  <si>
    <t>24-28 OVAL RD, LONDON NW1 7DX, ENGLAND</t>
  </si>
  <si>
    <t>0195-6663</t>
  </si>
  <si>
    <t>1095-8304</t>
  </si>
  <si>
    <t>Appetite</t>
  </si>
  <si>
    <t>JUN 1</t>
  </si>
  <si>
    <t>10.1016/j.appet.2018.01.024</t>
  </si>
  <si>
    <t>Behavioral Sciences; Nutrition &amp; Dietetics</t>
  </si>
  <si>
    <t>GD8QT</t>
  </si>
  <si>
    <t>WOS:000430777900010</t>
  </si>
  <si>
    <t>Perez, RM; Arnold-Berkovits, I</t>
  </si>
  <si>
    <t>Perez, Rose M.; Arnold-Berkovits, Ilona</t>
  </si>
  <si>
    <t>A Conceptual Framework for Understanding Latino Immigrant's Ambiguous Loss of Homeland</t>
  </si>
  <si>
    <t>HISPANIC JOURNAL OF BEHAVIORAL SCIENCES</t>
  </si>
  <si>
    <t>ambiguous loss of homeland conceptual framework; acculturation; immigrants; refugees; homesickness; nostalgia</t>
  </si>
  <si>
    <t>CUBAN AMERICAN EXILES; MENTAL-HEALTH; HOLOCAUST SURVIVORS; HISTORICAL TRAUMA; FAMILIES; ACCULTURATION; MIGRATION; DEPRESSION; 2ND-GENERATION; ADAPTATION</t>
  </si>
  <si>
    <t>Understanding the complex psychological processes that underlie post-migration experiences can assist those settling into a new land. We propose a conceptual framework that examines two distinct emotional experiencesambiguous loss of homeland (ALH) and relative satisfaction (RS) between the country of origin (CO) and the host country. This framework emerges from interviews with 55 Spanish-speaking immigrants to the United States and results in four quadrants: (1) pulled there (feels loss of homeland strongly and prefers CO to the United States); (2) neither here nor there (does not feel loss of homeland strongly, however, prefers CO to the United States); (3) mostly here (does not feel loss of homeland strongly and prefers the United States); and (4) here but pulled there (feels loss of homeland strongly, however, prefers the United States). The conceptual framework of ALH and RS contributes to the immigration literature and is not exclusive to Latinos, but to the growing global immigrant and refugee population.</t>
  </si>
  <si>
    <t>[Perez, Rose M.] Fordham Univ, Grad Sch Social Serv, 113 W 60th St, New York, NY 10023 USA; [Arnold-Berkovits, Ilona] Rutgers State Univ, Sch Syst Improvement Project, Piscataway, NJ USA</t>
  </si>
  <si>
    <t>Perez, RM (corresponding author), Fordham Univ, Grad Sch Social Serv, 113 W 60th St, New York, NY 10023 USA.</t>
  </si>
  <si>
    <t>roperez@fordham.edu</t>
  </si>
  <si>
    <t>Arnold-Berkovits, Ilona/0000-0003-4181-3414</t>
  </si>
  <si>
    <t>Faculty Research and Development Fund, Fordham University, Graduate School of Social Service</t>
  </si>
  <si>
    <t>The author(s) disclosed receipt of the following financial support for the research, authorship, and/or publication of this article: This work was supported by a grant from the Faculty Research and Development Fund, Fordham University, Graduate School of Social Service.</t>
  </si>
  <si>
    <t>0739-9863</t>
  </si>
  <si>
    <t>1552-6364</t>
  </si>
  <si>
    <t>HISPANIC J BEHAV SCI</t>
  </si>
  <si>
    <t>Hisp. J. Behav. Sci.</t>
  </si>
  <si>
    <t>10.1177/0739986318761058</t>
  </si>
  <si>
    <t>GF6IS</t>
  </si>
  <si>
    <t>WOS:000432071100002</t>
  </si>
  <si>
    <t>Lundy, BD; Darkwah, K</t>
  </si>
  <si>
    <t>Lundy, Brandon D.; Darkwah, Kezia</t>
  </si>
  <si>
    <t>Measuring Community Integration of Lusophone West African Immigrant Populations Through Needs Assessment, Human Security, and Realistic Conflict Theory</t>
  </si>
  <si>
    <t>JOURNAL OF INTERNATIONAL MIGRATION AND INTEGRATION</t>
  </si>
  <si>
    <t>Community integration score; Guinea-Bissau; Cabo Verde; Realistic conflict theory; Needs assessment; Human security; Immigration; Labor migration</t>
  </si>
  <si>
    <t>UNAUTHORIZED MIGRATION; IRREGULAR MIGRANTS; BORDERS; ACCULTURATION; EUROPE; CRISIS</t>
  </si>
  <si>
    <t>This article describes the process of developing and validating an immigrant community integration factor score from three different indicators based on three theories: human security, needs assessment, and realistic conflict. Over twenty days in May/June of 2015, fifty-seven semi-structured interviews were conducted with Bissau-Guinean immigrants on Boa Vista and Santiago Islands of Cabo Verde in West Africa to pilot test this instrument. Questions asked measured study participants' needs assessment, human security levels, and conflict experiences. These findings demonstrate the applicability of combining these three indicators into an aggregate integration score, validated through confirmatory factor analysis using partial least squares path modeling. This article shows how the immigrant community integration factor score accounts for the situational context, in this case, increasing population and resource pressures leading to tension, conflict, and outbursts of violence before various institutional and policy interventions calmed the situation. While this study serves as a test case, we are confident that the validated integration score can serve as an effective proxy for measuring the level of comprehensive community integration not along individual acculturation indices, but according to broader human security and conflict potential at the community level.</t>
  </si>
  <si>
    <t>[Lundy, Brandon D.; Darkwah, Kezia] Kennesaw State Univ, Sch Conflict Management Peacebldg &amp; Dev, 365 Cobb Ave NW,MD 1602, Kennesaw, GA 30144 USA</t>
  </si>
  <si>
    <t>Lundy, BD (corresponding author), Kennesaw State Univ, Sch Conflict Management Peacebldg &amp; Dev, 365 Cobb Ave NW,MD 1602, Kennesaw, GA 30144 USA.</t>
  </si>
  <si>
    <t>blundy@kennesaw.edu; klartey@kennesaw.edu</t>
  </si>
  <si>
    <t>Office of the Vice President for Research Pilot/Seed Grant from Kennesaw State University</t>
  </si>
  <si>
    <t>Funding for this study was provided by a 2015 Office of the Vice President for Research Pilot/Seed Grant to Attract External Funding award from Kennesaw State University.</t>
  </si>
  <si>
    <t>SPRINGER HEIDELBERG</t>
  </si>
  <si>
    <t>HEIDELBERG</t>
  </si>
  <si>
    <t>TIERGARTENSTRASSE 17, D-69121 HEIDELBERG, GERMANY</t>
  </si>
  <si>
    <t>1488-3473</t>
  </si>
  <si>
    <t>1874-6365</t>
  </si>
  <si>
    <t>J INT MIGR INTEGR</t>
  </si>
  <si>
    <t>J. Int. Migr. Integr.</t>
  </si>
  <si>
    <t>10.1007/s12134-018-0551-7</t>
  </si>
  <si>
    <t>GE6HW</t>
  </si>
  <si>
    <t>WOS:000431328400018</t>
  </si>
  <si>
    <t>Broski, JA; Dunn, W</t>
  </si>
  <si>
    <t>Broski, Julie A.; Dunn, Winnie</t>
  </si>
  <si>
    <t>Fostering Insights: A Strengths-Based Theory of Parental Transformation</t>
  </si>
  <si>
    <t>JOURNAL OF CHILD AND FAMILY STUDIES</t>
  </si>
  <si>
    <t>Developmental diagnosis; Family-centered; Parents; Strengths-based; Transition</t>
  </si>
  <si>
    <t>AUTISM SPECTRUM DISORDER; YOUNG-CHILDREN; HONG-KONG; EXPERIENCES; LIMINALITY; DIAGNOSIS; FAMILIES; TRANSITION; HEALTH; DISABILITIES</t>
  </si>
  <si>
    <t>Parent's awareness that their child's development is not proceeding as they expected can create an unanticipated transition from being a parent to becoming the parent of a child with a developmental diagnosis. While many transition theories contribute to our understanding of how parents' experience change over time, many traditional transition models are not family-centered and do not provide a strengths-based perspective of parents' experiences during this transition. This paper describes the process of theory derivation to develop a strengths-based theory of parental transformation (STPT). We used the theory of well-being of refugee women experiencing cultural transition to gain insights into parents' experiences related to their child's diagnosis. We propose that the STPT addresses a gap in the literature by situating the diagnostic process within a strengths' based framework that aligns with contemporary perspectives regarding disability. The STPT emphasizes understanding parents' experiences and needs in ways that promote personal growth to support the parent and child.</t>
  </si>
  <si>
    <t>[Broski, Julie A.; Dunn, Winnie] Univ Kansas, 3901 Rainbow Blvd, Kansas City, KS 66160 USA</t>
  </si>
  <si>
    <t>Broski, JA (corresponding author), Univ Kansas, 3901 Rainbow Blvd, Kansas City, KS 66160 USA.</t>
  </si>
  <si>
    <t>Jbroski@kumc.edu</t>
  </si>
  <si>
    <t>1062-1024</t>
  </si>
  <si>
    <t>1573-2843</t>
  </si>
  <si>
    <t>J CHILD FAM STUD</t>
  </si>
  <si>
    <t>J. Child Fam. Stud.</t>
  </si>
  <si>
    <t>10.1007/s10826-017-0964-5</t>
  </si>
  <si>
    <t>Family Studies; Psychology, Developmental; Psychiatry</t>
  </si>
  <si>
    <t>Family Studies; Psychology; Psychiatry</t>
  </si>
  <si>
    <t>FZ6AG</t>
  </si>
  <si>
    <t>WOS:000427677600024</t>
  </si>
  <si>
    <t>Groen, SPN; Richters, A; Laban, CJ; Deville, WLJM</t>
  </si>
  <si>
    <t>Groen, Simon P. N.; Richters, Annemiek; Laban, Cornelis J.; Deville, Walter L. J. M.</t>
  </si>
  <si>
    <t>Cultural Identity Among Afghan and Iraqi Traumatized Refugees: Towards a Conceptual Framework for Mental Health Care Professionals</t>
  </si>
  <si>
    <t>CULTURE MEDICINE AND PSYCHIATRY</t>
  </si>
  <si>
    <t>Cultural identity; Refugees; Posttraumatic stress disorder; Acculturation; Grounded theory</t>
  </si>
  <si>
    <t>POSTTRAUMATIC-STRESS-DISORDER; ETHNIC-IDENTITY; ASYLUM SEEKERS; FORMULATION; ACCULTURATION; COMPETENCE; DISTRESS; MODEL</t>
  </si>
  <si>
    <t>Cultural identity in relation with mental health is of growing interest in the field of transcultural psychiatry. However, there is a need to clarify the concept of cultural identity in order to make it useful in clinical practice. The purpose of this study is to unravel the complexity and many layers of cultural identity, and to assess how stress and acculturation relate to (changes in) cultural identity. As part of a larger study about cultural identity, trauma, and mental health, 85 patients from Afghanistan and Iraq in treatment for trauma-related disorders were interviewed with a Brief Cultural Interview. The interviews were analysed through qualitative data analysis using the procedures of grounded theory. The analysis resulted in three domains of cultural identity: personal identity, ethnic identity and social identity. Within each domain relationships with stress and acculturation were identified. The results offer insight into the intensity of changes in cultural identity, caused by pre-and post-migration stressors and the process of acculturation. Based on the research findings recommendations are formulated to enhance the cultural competency of mental health workers.</t>
  </si>
  <si>
    <t>[Groen, Simon P. N.; Laban, Cornelis J.] GGZ Drenthe Mental Hlth Care, North Netherlands Ctr Transcultural Psychiat, De Evenaar, POB 30007, NL-9400 RA Assen, Netherlands; [Groen, Simon P. N.; Richters, Annemiek] Univ Amsterdam, Amsterdam Inst Social Sci Res, Amsterdam, Netherlands; [Deville, Walter L. J. M.] Univ Amsterdam, Fac Social &amp; Behav Sci, Amsterdam, Netherlands; [Deville, Walter L. J. M.] Natl Knowledge &amp; Advisory Ctr Migrants Refugees &amp;, Utrecht, Netherlands; [Deville, Walter L. J. M.] Univ Med Ctr Utrecht, Julius Ctr Hlth Sci &amp; Primary Care, Utrecht, Netherlands</t>
  </si>
  <si>
    <t>Groen, SPN (corresponding author), GGZ Drenthe Mental Hlth Care, North Netherlands Ctr Transcultural Psychiat, De Evenaar, POB 30007, NL-9400 RA Assen, Netherlands.; Groen, SPN (corresponding author), Univ Amsterdam, Amsterdam Inst Social Sci Res, Amsterdam, Netherlands.</t>
  </si>
  <si>
    <t>Simon.Groen@ggzdrenthe.nl</t>
  </si>
  <si>
    <t>Fonds NutsOhra [1102-047]; Stichting tot Steun VCVGZ [Sub 0311]; Commissie Onderzoeksen Programma-Evaluatie GGZ Drenthe Mental Health Care [10-122]</t>
  </si>
  <si>
    <t>This study was funded by Fonds NutsOhra (Grant Number 1102-047), Stichting tot Steun VCVGZ (Sub 0311), and Commissie Onderzoeksen Programma-Evaluatie GGZ Drenthe Mental Health Care (Grant Number 10-122).</t>
  </si>
  <si>
    <t>DORDRECHT</t>
  </si>
  <si>
    <t>VAN GODEWIJCKSTRAAT 30, 3311 GZ DORDRECHT, NETHERLANDS</t>
  </si>
  <si>
    <t>0165-005X</t>
  </si>
  <si>
    <t>1573-076X</t>
  </si>
  <si>
    <t>CULT MED PSYCHIAT</t>
  </si>
  <si>
    <t>Cult. Med. Psychiatr.</t>
  </si>
  <si>
    <t>10.1007/s11013-016-9514-7</t>
  </si>
  <si>
    <t>Anthropology; Psychiatry; Social Sciences, Biomedical</t>
  </si>
  <si>
    <t>Anthropology; Psychiatry; Biomedical Social Sciences</t>
  </si>
  <si>
    <t>FY6FS</t>
  </si>
  <si>
    <t>WOS:000426939200007</t>
  </si>
  <si>
    <t>Green Published</t>
  </si>
  <si>
    <t>David, M</t>
  </si>
  <si>
    <t>David, M.</t>
  </si>
  <si>
    <t>Cultural influence on disease symptoms and subjective disease theory</t>
  </si>
  <si>
    <t>GYNAKOLOGISCHE ENDOKRINOLOGIE</t>
  </si>
  <si>
    <t>Human migration; Cultural competency; Hyperemesis gravidarum; Pain; Ethnicity</t>
  </si>
  <si>
    <t>HYPEREMESIS GRAVIDARUM; ETHNIC-DIFFERENCES; BELIEFS; ILLNESS; CANCER; PAIN; BERLIN/GERMANY; DISORDERS; PREGNANCY; MIGRATION</t>
  </si>
  <si>
    <t>Background. The emphasis on cultural commonalities between patient and medical staff is as important as the cognition of cultural differences. Both the medicine itself and diseases are bound in a cultural system. Results of migration research show that understanding of disease, expression of pain, therapy expectations, and the subjective beliefs of the cause of disease are dependent on culture. Methods. Using the examples hyperemesis gravidarum, perception and expression of pain as well as subjective disease theory in fibroid patients, cultural influences with regard to clinically relevant aspects are analyzed and our own study results interpreted. Results. In our study, the proportion of migrant women with hyperemesis was disproportionately high. Affected migrant women did not have a higher psychological burden than patients without a migration background. Acculturation stress was not a disease-enhancing factor in our collective. In our survey on ethnicity and pain, patients with a migration background reported &gt;= 5 pain regions significantly more often. The overall results generally confirm that women with a migration background have different lamentation levels. The sociocultural-ethnic background as well as the concrete life situation should always be taken into account when assessing and treating pain. Subjective disease concepts are therapeutically relevant because they can influence compliance, disease history, and treatment efficacy as well as symptom awareness and treatment expectation. In our study, a migration background also had an impact on the understanding of fibroid etiology. The differences compared to women without a migration background, however, were moderate.</t>
  </si>
  <si>
    <t>[David, M.] Charite Univ Med Berlin, Klin Gynakol, Campus Virchow Klinikum, Augustenburger Pl 1, D-13353 Berlin, Germany</t>
  </si>
  <si>
    <t>David, M (corresponding author), Charite Univ Med Berlin, Klin Gynakol, Campus Virchow Klinikum, Augustenburger Pl 1, D-13353 Berlin, Germany.</t>
  </si>
  <si>
    <t>matthias.david@charite.de</t>
  </si>
  <si>
    <t>1610-2894</t>
  </si>
  <si>
    <t>1610-2908</t>
  </si>
  <si>
    <t>GYNAKOL ENDOKRINOL</t>
  </si>
  <si>
    <t>Gynakol. Endokrinol.</t>
  </si>
  <si>
    <t>10.1007/s10304-017-0163-x</t>
  </si>
  <si>
    <t>Endocrinology &amp; Metabolism</t>
  </si>
  <si>
    <t>FU7HM</t>
  </si>
  <si>
    <t>WOS:000424023000003</t>
  </si>
  <si>
    <t>Weisheit, J</t>
  </si>
  <si>
    <t>Weisheit, Jil</t>
  </si>
  <si>
    <t>Should I stay or should I go? A systematic literature review about the conceptualization and measurement of international relocation mobility readiness</t>
  </si>
  <si>
    <t>JOURNAL OF GLOBAL MOBILITY-THE HOME OF EXPATRIATE MANAGEMENT RESEARCH</t>
  </si>
  <si>
    <t>Literature review; Conceptualization and measurement; Expatriation willingness; International relocation mobility readiness; Migration intention; Willingness to relocate abroad</t>
  </si>
  <si>
    <t>CROSS-CULTURAL ADJUSTMENT; MIGRATION INTENTIONS; DECISION-MAKING; EXPATRIATION WILLINGNESS; COMMUNITY SATISFACTION; MANAGERIAL EMPLOYEES; GLOBAL ASSIGNMENT; FAMILY TIES; ACCEPT; WORK</t>
  </si>
  <si>
    <t>Purpose Employees' readiness to relocate abroad plays a crucial role for the success or failure of expatriate assignments. Hence, companies should consider employees' international relocation mobility readiness (IRMR) when selecting candidates for international postings. However, past research has conceptualized and measured IRMR heterogeneously, hampering the interpretation and comparability of IRMR research results. Hence, the purpose of this paper is to provide a new conceptualization of IRMR and to give recommendations for its measurement. Design/methodology/approach Based on the business, psychological and sociological literature, this paper reviews and categorizes how IRMR has been conceptualized and measured. To structure the findings, a directed content analysis was applied. The sample comprises 88 journal articles. Findings The results reveal that studies seldom provide a conceptualization of IRMR. While the authors often find a misfit between the studies' explicit conceptualization and the actual measurement of IRMR, most scales actually measure willingness (i.e. usually a predictor of risky and spontaneous behavior). Research limitations/implications Based on the results and the Rubicon model of action phases (Heckhausen and Gollwitzer, 1987), the authors recommend future research to conceptualize IRMR as a dynamic multidimensional construct, covering the different phases of an individual's decision to relocate internationally. Future, IRMR measurements should also cover the complexity of IRMR, e.g. regarding specific location characteristics. Practical implications Companies should consider the whole decision-making process regarding IRMR to apply specific measures at the best possible time. Originality/value This paper investigates IRMR scales according to their scientific validity and hence provides the basic ground for future scale development studies.</t>
  </si>
  <si>
    <t>[Weisheit, Jil] Univ Bamberg, Chair Human Resource Management, Bamberg, Germany</t>
  </si>
  <si>
    <t>Weisheit, J (corresponding author), Univ Bamberg, Chair Human Resource Management, Bamberg, Germany.</t>
  </si>
  <si>
    <t>Jil.Weisheit@uni-bamberg.de</t>
  </si>
  <si>
    <t>2049-8799</t>
  </si>
  <si>
    <t>2049-8802</t>
  </si>
  <si>
    <t>J GLOB MOBIL</t>
  </si>
  <si>
    <t>J. Glob. Mobil.</t>
  </si>
  <si>
    <t>10.1108/JGM-01-2018-0003</t>
  </si>
  <si>
    <t>GH7BP</t>
  </si>
  <si>
    <t>WOS:000433598600002</t>
  </si>
  <si>
    <t>Kim, H; Hocking, C</t>
  </si>
  <si>
    <t>Kim, Hagyun; Hocking, Clare</t>
  </si>
  <si>
    <t>A Grounded Theory of Korean immigrants' Experiences of Re-Establishing Everyday Activities in New Zealand</t>
  </si>
  <si>
    <t>JOURNAL OF IMMIGRANT &amp; REFUGEE STUDIES</t>
  </si>
  <si>
    <t>Acculturation; activities; control; globalization; grounded theory; immigration; Korean immigrants; occupational perspective</t>
  </si>
  <si>
    <t>ACCULTURATION; PSYCHOLOGY; WOMEN</t>
  </si>
  <si>
    <t>This study explored how immigrants locate themselves in a new culture through analyzing 25 Korean immigrants' everyday activities in New Zealand. The findings suggest that they opted to either behave in Korean ways or to take up behaviors reflective of the receiving society, based on their level of control over activities disrupted by immigration. The findings supplement the concept of acculturation, explaining how 21st-century immigrants who retain transnational status engage in the acculturation process within a globalized context.</t>
  </si>
  <si>
    <t>[Kim, Hagyun] Auckland Univ Technol, Dept Publ Hlth &amp; Psychosocial Studies, 90 Akoranga Dr, Auckland 1142, New Zealand; [Hocking, Clare] Auckland Univ Technol, Dept Occupat Sci &amp; Therapy, Auckland, New Zealand</t>
  </si>
  <si>
    <t>Kim, H (corresponding author), Auckland Univ Technol, Dept Publ Hlth &amp; Psychosocial Studies, 90 Akoranga Dr, Auckland 1142, New Zealand.</t>
  </si>
  <si>
    <t>hagyunkim@aut.ac.nz</t>
  </si>
  <si>
    <t>Hocking, Clare/I-4709-2019</t>
  </si>
  <si>
    <t>Hocking, Clare/0000-0003-0364-5157; Kim, Hagyun/0000-0002-4705-5549</t>
  </si>
  <si>
    <t>1556-2948</t>
  </si>
  <si>
    <t>1556-2956</t>
  </si>
  <si>
    <t>J IMMIGR REFUG STUD</t>
  </si>
  <si>
    <t>J. Immigr. Refug. Stud.</t>
  </si>
  <si>
    <t>10.1080/15562948.2016.1272732</t>
  </si>
  <si>
    <t>Demography; Ethnic Studies; Sociology</t>
  </si>
  <si>
    <t>GM5GN</t>
  </si>
  <si>
    <t>WOS:000438161300003</t>
  </si>
  <si>
    <t>Baxevanis, C</t>
  </si>
  <si>
    <t>Baxevanis, Christos</t>
  </si>
  <si>
    <t>Crisis and the Greek Asylum System in the Framework of the EU-Turkey Agreement: Legal and Political Aspects</t>
  </si>
  <si>
    <t>ULUSLARARASI ILISKILER-INTERNATIONAL RELATIONS</t>
  </si>
  <si>
    <t>EU-Turkey Statement; Greek Asylum System; Syrian Refugee Crisis; Turkey</t>
  </si>
  <si>
    <t>Since the signing of the EU-Turkey Statement, there has been a significant reduction in the number of people unlawfully crossing European borders or losing their lives in the Aegean. Turkey plays a crucial and decisive role in addressing the refugee crisis in the Middle East and the Mediterranean region. At the same time, Greece is invited to carry out an unprecedented administrative, legislative and operational project that has not been undertaken so far. Furthermore, Greek authorities have to deal with a series of urgent needs (accommodation, nutrition, asylum procedures, health) or social integration processes (education, training, access to labour). This article focuses on the legal and political aspects in terms of Greek Asylum System as well as special attention is given to the EU-Turkey statement and how its implementation impacts on Greek-Turkish-EU relations. The author notes that this discussion cannot be taken place without taking into account the European institutional and political framework as well as the greatest economic-fiscal crisis faced both by EU and Greece.</t>
  </si>
  <si>
    <t>[Baxevanis, Christos] Aristotle Univ Thessaloniki, Publ Int Law, Thessaloniki, Greece; [Baxevanis, Christos] Univ Macedonia, Thessaloniki State Scholarships Fdn IKY, Thessaloniki, Greece</t>
  </si>
  <si>
    <t>Baxevanis, C (corresponding author), Aristotle Univ Thessaloniki, Publ Int Law, Thessaloniki, Greece.; Baxevanis, C (corresponding author), Univ Macedonia, Thessaloniki State Scholarships Fdn IKY, Thessaloniki, Greece.</t>
  </si>
  <si>
    <t>cabaxevanis@yahoo.gr</t>
  </si>
  <si>
    <t>ULUSLARARASI ILISKILER KONSEYI DERNEGI</t>
  </si>
  <si>
    <t>SOGUTOZU</t>
  </si>
  <si>
    <t>SOGUTOZU CAD NO 43, TOBB-ETU BINASI, ODA NO 364, SOGUTOZU, ANKARA 06560, TURKEY</t>
  </si>
  <si>
    <t>1304-7310</t>
  </si>
  <si>
    <t>ULUSLAR ILISKILER</t>
  </si>
  <si>
    <t>Uluslar. Iliskiler</t>
  </si>
  <si>
    <t>International Relations</t>
  </si>
  <si>
    <t>GZ2UE</t>
  </si>
  <si>
    <t>WOS:000449243100009</t>
  </si>
  <si>
    <t>Chvojkova, P; Hrebickova, M</t>
  </si>
  <si>
    <t>Chvojkova, Petra; Hrebickova, Martina</t>
  </si>
  <si>
    <t>Psychological acculturation: theoretical approaches and methods for measurement</t>
  </si>
  <si>
    <t>CESKOSLOVENSKA PSYCHOLOGIE</t>
  </si>
  <si>
    <t>Czech</t>
  </si>
  <si>
    <t>acculturation theory; measurement of acculturation; models of acculturation; acculturation strategies</t>
  </si>
  <si>
    <t>BICULTURAL IDENTITY INTEGRATION; ETHNIC-IDENTITY; ASSIMILATION; ADOLESCENTS; VALUES; IMMIGRATION; ADJUSTMENT; AMERICAN; SCALE; ATTITUDES</t>
  </si>
  <si>
    <t>Acculturation is most commonly defined as the process of cultural and psychological changes that occur when individuals from different cultural backgrounds come into direct and prolonged contact. Acculturation applies to indigenous peoples (e.g. Aborigines in Australia); established ethno-cultural groups which identify with their country of origin and its language (e.g. the Vietnamese minority in the Czech Republic); immigrants; people coming to the host country voluntarily for a limited period of time (e.g. students, diplomats, laborers); refugees and asylum seekers coming to the host country involuntarily. This review study introduces current knowledge of acculturation, briefly describes the history and development of its investigation, and defines the tenn acculturation in relation to ethnic identity, assimilation and multiculturalism. It briefly summarizes the sociological and anthropological approach. The study provides a critical review of the most important theories and models based on contact (e.g. Berry's model of acculturation strategies), adoption of the host culture (e.g. Bourhis interactive acculturation model) and models aimed at identity (e.g. Bicultural identity integration by &amp;net-Martinez). The study also introduces the acculturation research in the Czech Republic and offers new directions of future research. Last but not least, two approaches to measuring acculturation are mentioned and some examples of the measuring methods are introduced.</t>
  </si>
  <si>
    <t>[Chvojkova, Petra] Psychol Ustav FF MU, Arne Novaka 1, Brno 60200, Czech Republic; [Hrebickova, Martina] Psychol Ustav AV CR, Brno, Czech Republic</t>
  </si>
  <si>
    <t>Chvojkova, P (corresponding author), Psychol Ustav FF MU, Arne Novaka 1, Brno 60200, Czech Republic.</t>
  </si>
  <si>
    <t>chvojkovap@gmail.com</t>
  </si>
  <si>
    <t>Hrebickova, Martina/H-4410-2014</t>
  </si>
  <si>
    <t>Hrebickova, Martina/0000-0003-4356-567X</t>
  </si>
  <si>
    <t>ACADEMIA</t>
  </si>
  <si>
    <t>PRAGUE 1</t>
  </si>
  <si>
    <t>PUBL HOUSE CZECH ACAD SCI VODICKOVA 40, PRAGUE 1 112 29, CZECH REPUBLIC</t>
  </si>
  <si>
    <t>0009-062X</t>
  </si>
  <si>
    <t>1804-6436</t>
  </si>
  <si>
    <t>CESK PSYCHOL</t>
  </si>
  <si>
    <t>Cesk. Psychol.</t>
  </si>
  <si>
    <t>GO7KU</t>
  </si>
  <si>
    <t>WOS:000440244700004</t>
  </si>
  <si>
    <t>Kolar, K; Erickson, P; Hathaway, A; Osborne, G</t>
  </si>
  <si>
    <t>Kolar, Kat; Erickson, Patricia; Hathaway, Andrew; Osborne, Geraint</t>
  </si>
  <si>
    <t>Differentiating the Drug Normalization Framework: A Quantitative Assessment of Cannabis Use Patterns, Accessibility, and Acceptability Attitudes among University Undergraduates</t>
  </si>
  <si>
    <t>SUBSTANCE USE &amp; MISUSE</t>
  </si>
  <si>
    <t>Drug normalization; cannabis; recreational substance use; marijuana; university students</t>
  </si>
  <si>
    <t>SUBSTANCE USE; GENDER; STUDENTS; STIGMA; ABUSE; RISK</t>
  </si>
  <si>
    <t>Background/Objectives: The drug normalization framework investigates the social integration of substance use. This article contributes a quantitative assessment of cannabis normalization as differentiated by social location predictors. Methods: Logistic and zero-inflated negative binomial regression models assess three areas of cannabis normalization: accessibility, acceptability, and recent use. Peer network cannabis use prevalence, gender, nativity, campus locale and living arrangement are explored as focal predictors of variation in normalization among 1,713 cannabis using and nonusing undergraduate students in Canada. Results: Women report lower odds of positive cannabis acceptability attitudes. While women report lower rates of recent cannabis use, gender is not a significant predictor for lifetime prevalence. Being a recent immigrant significantly predicts lower recent use, lower odds of favorable attitudes to cannabis, and reduced accessibility in comparison to students born in Canada. Longer-term immigrants do not show significant differences from students born in Canada on accessibility and acceptability, suggesting a substance use acculturation effect. Lower peer cannabis use prevalence exhibits a protective effect against use. In comparison to students who report that some of their peer network uses cannabis, those with all users in their network exhibit lower acceptability attitudes. This suggests a threshold relationship between peer use prevalence and acceptability. Conclusions/Importance: This article provides a data point for assessing future shifts in cannabis normalization prior to impending changes in Canadian drug policy that will legalize recreational cannabis use. Results show that normalization components of recent use, acceptability, and accessibility are differentiated by gender, nativity, and peer network cannabis use prevalence.</t>
  </si>
  <si>
    <t>[Kolar, Kat; Erickson, Patricia] Univ Toronto, Dept Sociol, 725 Spadina Ave, Toronto, ON M5S 2J4, Canada; [Hathaway, Andrew] Univ Guelph, Dept Sociol &amp; Anthropol, Guelph, ON, Canada; [Osborne, Geraint] Univ Alberta, Dept Social Sci, Camrose, AB, Canada</t>
  </si>
  <si>
    <t>Kolar, K (corresponding author), Univ Toronto, Dept Sociol, 725 Spadina Ave, Toronto, ON M5S 2J4, Canada.</t>
  </si>
  <si>
    <t>kkolar.soc@gmail.com</t>
  </si>
  <si>
    <t>Kolar, Katarina/0000-0002-5252-2359</t>
  </si>
  <si>
    <t>Social Sciences and Humanities Research Council of CanadaSocial Sciences and Humanities Research Council of Canada (SSHRC) [410-2011-0070]</t>
  </si>
  <si>
    <t>Social Sciences and Humanities Research Council of Canada, 410-2011-0070.</t>
  </si>
  <si>
    <t>1082-6084</t>
  </si>
  <si>
    <t>1532-2491</t>
  </si>
  <si>
    <t>SUBST USE MISUSE</t>
  </si>
  <si>
    <t>Subst. Use Misuse</t>
  </si>
  <si>
    <t>10.1080/10826084.2018.1474226</t>
  </si>
  <si>
    <t>Substance Abuse; Psychiatry; Psychology</t>
  </si>
  <si>
    <t>GO4OA</t>
  </si>
  <si>
    <t>WOS:000439989200008</t>
  </si>
  <si>
    <t>Young, SS; Muruthi, BA; Chou, JL; Chevalier, M</t>
  </si>
  <si>
    <t>Young, Savannah S.; Muruthi, Bertranna A.; Chou, Jessica L.; Chevalier, Meagan</t>
  </si>
  <si>
    <t>Feminist Borderland Theory and Karen Refugees: Finding Place in the Family</t>
  </si>
  <si>
    <t>JOURNAL OF FEMINIST FAMILY THERAPY</t>
  </si>
  <si>
    <t>family dynamics; feminist; refugee; resettlement</t>
  </si>
  <si>
    <t>HISPANIC ADOLESCENTS; UNITED-STATES; ACCULTURATION; CULTURE</t>
  </si>
  <si>
    <t>Refugee related issues have become more prominent in Western policy-makers' discussions as families fleeing oppression and unimaginable violence cross borders seeking safety and are sometimes resettled in host nations. In this paper we ask, how do resettled refugees negotiate their cultural identity in terms of physical and psychological 'borders' and subsequent power structures dictated by those borders? We apply a feminist borderlands theoretical lens to critically consider the resiliencies of members of six Karen refugee families (n = 14) resettled in the U.S. Using their words, we illuminate their lived experiences of identity and place, family roles and rules, and personal dissonant emotions of feeling safe and forced to flee their homes and families. We challenge researchers and clinicians to consider refugees' own explanations for balancing and reconstructing their lives as people living between borders.</t>
  </si>
  <si>
    <t>[Young, Savannah S.] Point Forward Inc, Redwood City, CA 94062 USA; [Muruthi, Bertranna A.; Chevalier, Meagan] Virginia Polytech Inst &amp; State Univ, Dept Human Dev, Falls Church, VA USA; [Chou, Jessica L.] Drexel Univ, Dept Counseling &amp; Family Therapy, Philadelphia, PA 19104 USA</t>
  </si>
  <si>
    <t>Young, SS (corresponding author), Point Forward Inc, Redwood City, CA 94062 USA.</t>
  </si>
  <si>
    <t>savannahespivey@gmail.com</t>
  </si>
  <si>
    <t>0895-2833</t>
  </si>
  <si>
    <t>1540-4099</t>
  </si>
  <si>
    <t>J FEM FAM THER</t>
  </si>
  <si>
    <t>J. Fem. Fam. Ther.</t>
  </si>
  <si>
    <t>10.1080/08952833.2017.1391031</t>
  </si>
  <si>
    <t>GN4LS</t>
  </si>
  <si>
    <t>WOS:000438995300002</t>
  </si>
  <si>
    <t>Kam, JA; Pines, R; Bernhold, Q</t>
  </si>
  <si>
    <t>Kam, Jennifer A.; Pines, Rachyl; Bernhold, Quinten</t>
  </si>
  <si>
    <t>Using a theoretical model of communal coping to understand changes in language brokers' coping patterns: Implications for Latina/o early adolescents' brokering stress and efficacy</t>
  </si>
  <si>
    <t>COMMUNICATION MONOGRAPHS</t>
  </si>
  <si>
    <t>Language brokering; communal coping; immigrant; adolescents; Latino; latent class</t>
  </si>
  <si>
    <t>MENTAL-HEALTH; AMERICAN ADOLESCENTS; IMMIGRANT FAMILIES; ACCULTURATION; UNCERTAINTY; CHILDREN</t>
  </si>
  <si>
    <t>Language brokering occurs when immigrant youth linguistically and culturally mediate for family and members of U.S. mainstream culture. Under some circumstances, brokering can be stressful. Based on a theoretical model of communal coping, this study utilized two waves of survey data from 342 Latina/o sixth- to eighth-grade students to identify different types of copers: (a) communal copers, (b) tentative copers, and (c) declined-ownership copers. Communal copers reported greater brokering stress than tentative brokers in the middle of the year, but not by the end of the year. Communal copers reported greater brokering efficacy than tentative copers in the middle and end of the year. Declined-ownership copers consistently had the lowest brokering stress and moderate brokering efficacy.</t>
  </si>
  <si>
    <t>[Kam, Jennifer A.; Pines, Rachyl; Bernhold, Quinten] Univ Calif Santa Barbara, Dept Commun, Santa Barbara, CA 93106 USA</t>
  </si>
  <si>
    <t>Kam, JA (corresponding author), Univ Calif Santa Barbara, Dept Commun, Santa Barbara, CA 93106 USA.</t>
  </si>
  <si>
    <t>jkam@comm.ucsb.edu</t>
  </si>
  <si>
    <t>University of CaliforniaUniversity of California System; Santa Barbara's Institute for Social, Behavioral and Economic Research Social Science Research Grant; Academic Faculty Senate's Pearl Chase Grant</t>
  </si>
  <si>
    <t>This project was supported by two internal grants that were awarded to the first author: the University of California, Santa Barbara's Institute for Social, Behavioral and Economic Research Social Science Research Grant and the Academic Faculty Senate's Pearl Chase Grant.</t>
  </si>
  <si>
    <t>0363-7751</t>
  </si>
  <si>
    <t>1479-5787</t>
  </si>
  <si>
    <t>COMMUN MONOGR</t>
  </si>
  <si>
    <t>Commun. Monogr.</t>
  </si>
  <si>
    <t>10.1080/03637751.2017.1420387</t>
  </si>
  <si>
    <t>GE9EM</t>
  </si>
  <si>
    <t>WOS:000431532800006</t>
  </si>
  <si>
    <t>Lee, SK</t>
  </si>
  <si>
    <t>Lee, Sun Kyong</t>
  </si>
  <si>
    <t>Refining a theory of cross-cultural adaptation: an exploration of a new methodological approach to institutional completeness</t>
  </si>
  <si>
    <t>ASIAN JOURNAL OF COMMUNICATION</t>
  </si>
  <si>
    <t>Cross-cultural adaptation; ethnic group strength; institutional completeness; ethnic community networks; ethnic entrainment; ethnic; host communication</t>
  </si>
  <si>
    <t>SOCIAL NETWORKS; UNITED-STATES; COMMUNICATION; ACCULTURATION; IMMIGRANTS; PATTERNS; CHINESE; COMMUNITIES; TIES</t>
  </si>
  <si>
    <t>The current study explored a whole-network approach to measure the impact of institutional completeness at an individual-level with regards to [Kim, Y.(2001). Becoming intercultural: An integrative theory of communication and cross-cultural adaptation. Thousand Oaks, CA: Sage.] a theoretical model of cross-cultural adaptation. A new construct of ethnic entrainment' was proposed as a way to bridge the different levels of theoretical constructs in the model. The analytical challenge of verifying the influence of institutional completeness (a group-level construct in the model) on individuals' communication patterns was partially overcome in this study by measuring the degree of one's structural embeddedness in various ethnic community networks (i.e. information, emotional support, and tangible help exchange networks). A community member survey (N=172) was utilized to construct social networks of a Korean immigrant community. The research tested hypotheses generated from Kim's theorems on the relationships between ethnic group strength and host/ethnic interpersonal/mass communication. Three out of five hypotheses were supported through hierarchical regression analyses.</t>
  </si>
  <si>
    <t>[Lee, Sun Kyong] Univ Oklahoma, Dept Commun, 610 Elm Ave, Norman, OK 73019 USA</t>
  </si>
  <si>
    <t>Lee, SK (corresponding author), Univ Oklahoma, Dept Commun, 610 Elm Ave, Norman, OK 73019 USA.</t>
  </si>
  <si>
    <t>sunklee@ou.edu</t>
  </si>
  <si>
    <t>Lee, Sun Kyong/L-1282-2019</t>
  </si>
  <si>
    <t>Lee, Sun Kyong/0000-0002-8645-8922</t>
  </si>
  <si>
    <t>0129-2986</t>
  </si>
  <si>
    <t>1742-0911</t>
  </si>
  <si>
    <t>ASIAN J COMMUN</t>
  </si>
  <si>
    <t>Asian J. Commun.</t>
  </si>
  <si>
    <t>10.1080/01292986.2017.1396619</t>
  </si>
  <si>
    <t>GB0ZN</t>
  </si>
  <si>
    <t>WOS:000428780000006</t>
  </si>
  <si>
    <t>Pham, NNK; Do, M; Bui, VH; Nguyen, GT</t>
  </si>
  <si>
    <t>Pham, Nhu Ngoc K.; Do, Mai; Bui, Van H.; Nguyen, Giang T.</t>
  </si>
  <si>
    <t>Rural-to-urban migration in Vietnam: conceptualized youth's vulnerabilities in the city</t>
  </si>
  <si>
    <t>INTERNATIONAL JOURNAL OF MIGRATION HEALTH AND SOCIAL CARE</t>
  </si>
  <si>
    <t>Stigma; Vietnam; Youth; Adulthood transition; Internal migration</t>
  </si>
  <si>
    <t>HEALTH</t>
  </si>
  <si>
    <t>Purpose Vietnam is experiencing high rates of young adult migration from rural hometowns to urban cities in search of new economic and social opportunities. However, limited internal migration research has examined the well-being of this population once they are in the urban destinations, as well as their interactions with the new lifestyles in the cities. Thus, the purpose of this paper is to explore the social transition of young Vietnamese migrants into city life. Design/methodology/approach In-depth interviews were conducted among ten female and six male temporary unmarried migrants, between ages of 18 and 25 years, currently living in Ha Noi through purposive sampling. Findings Despite a higher income in the city, young migrants often suffer from physical and mental health strains that decrease their overall well-being, caused by the factors such as barriers to assimilation to new lifestyles, continued attachment to origin hometowns, financial pressures, and poor living conditions. Important aspects in pre-migration expectations and actual experiences influenced the psychosocial well-being of these young migrants as they transitioned into adulthood during their migration process. Migration to the city and assimilation into city life also changed young migrants' views on lifestyles and behaviors often considered misconducts in their rural hometowns, such as premarital sex. Female migrants faced higher stigmatization compared to male migrants, often described by fellow migrants as becoming loose in the new city. Originality/value The study findings highlight the important gender-specific implications for health services and programs to improve young migrants' well-being in the city.</t>
  </si>
  <si>
    <t>[Pham, Nhu Ngoc K.; Do, Mai] Tulane Univ, Sch Publ Hlth &amp; Trop Med, Dept Global Community Hlth &amp; Behav Sci, New Orleans, LA 70118 USA; [Bui, Van H.; Nguyen, Giang T.] Inst Community Dev &amp; Hlth LIGHT, Hanoi, Vietnam</t>
  </si>
  <si>
    <t>Pham, NNK (corresponding author), Tulane Univ, Sch Publ Hlth &amp; Trop Med, Dept Global Community Hlth &amp; Behav Sci, New Orleans, LA 70118 USA.</t>
  </si>
  <si>
    <t>npham2@tulane.edu</t>
  </si>
  <si>
    <t>Tulane University School of Public Health and Tropical Medicine</t>
  </si>
  <si>
    <t>Tulane University School of Public Health and Tropical Medicine supported this study with Dr Mai Do as the Principal Investigator. The authors thank the Institute for Community Development and Health (LIGHT) for facilitating the fieldwork of this study. No potential conflict of interest relevant to this paper was reported.</t>
  </si>
  <si>
    <t>1747-9894</t>
  </si>
  <si>
    <t>2042-8650</t>
  </si>
  <si>
    <t>INT J MIGR HEALTH SO</t>
  </si>
  <si>
    <t>Int. J. Migr. Health Soc. Care</t>
  </si>
  <si>
    <t>10.1108/IJMHSC-11-2015-0044</t>
  </si>
  <si>
    <t>FY0VV</t>
  </si>
  <si>
    <t>WOS:000426531700010</t>
  </si>
  <si>
    <t>Bloemraad, I</t>
  </si>
  <si>
    <t>Bloemraad, Irene</t>
  </si>
  <si>
    <t>Theorising the power of citizenship as claims-making</t>
  </si>
  <si>
    <t>JOURNAL OF ETHNIC AND MIGRATION STUDIES</t>
  </si>
  <si>
    <t>Citizenship; immigration; claims-making; recognition; theory</t>
  </si>
  <si>
    <t>IMMIGRANT RIGHTS; BOUNDARIES; NATURALIZATION; INTEGRATION; ASSIMILATION; IDENTITY; IMPACT; RACE</t>
  </si>
  <si>
    <t>I advance a conceptual approach to citizenship as membership through claims-making. In this approach, citizenship is a relational process of making membership claims on polities, people and institutions, claims recognized or rejected within particular normative understandings of citizenship. Such a conceptual shift moves scholarship beyond typologizingenumerating how citizenship is (or is not) about status, rights, participation and identityto identifying the mechanisms through which claims on citizenship have power. This framework requires a relational approach and attention to dynamics of recognition within contexts of structured agency. Immigrants and their children can make claims to modify the normative content of citizenship, affect recognition evaluations and change the allocation of status and rights. But they are also constrained by legal structures, a society's institutional practices, and prevailing public perceptions. Citizenship as claims-making may require a reassessment of boundary approaches and a turn to metaphors of positionality, as well as more serious commitment to mixed-methods research. The stakes of understanding citizenship's power, as practice and status, are especially high right now. Yet based on existing scholarship, it is not entirely clear how much citizenship matters, in what ways, for whom, or why. This is the challenge for future scholarship.</t>
  </si>
  <si>
    <t>[Bloemraad, Irene] Univ Calif Berkeley, Berkeley, CA 94720 USA</t>
  </si>
  <si>
    <t>Bloemraad, I (corresponding author), Univ Calif Berkeley, Berkeley, CA 94720 USA.</t>
  </si>
  <si>
    <t>bloemr@berkeley.edu</t>
  </si>
  <si>
    <t>Bloemraad, Irene/0000-0001-7167-2582</t>
  </si>
  <si>
    <t>1369-183X</t>
  </si>
  <si>
    <t>1469-9451</t>
  </si>
  <si>
    <t>J ETHN MIGR STUD</t>
  </si>
  <si>
    <t>J. Ethn. Migr. Stud.</t>
  </si>
  <si>
    <t>10.1080/1369183X.2018.1396108</t>
  </si>
  <si>
    <t>Demography; Ethnic Studies</t>
  </si>
  <si>
    <t>FS7KQ</t>
  </si>
  <si>
    <t>WOS:000419976900002</t>
  </si>
  <si>
    <t>Kose, V</t>
  </si>
  <si>
    <t>Kose, Veli</t>
  </si>
  <si>
    <t>THEORETICAL APPROACH FOR THE SO-CALLED MYCENAEAN MIGRATION IN TURKEY</t>
  </si>
  <si>
    <t>BELLETEN</t>
  </si>
  <si>
    <t>Mycenaean; acculturation; Lycia; migration; culture</t>
  </si>
  <si>
    <t>On the basis of archaeological data, it is suggested in this study that Mycenaean migration flows to Anatolia, of the kind proposed in ancient sources and by some researchers, did not actually occur. As an example, when the material culture of the Lycians under the Persian rule was examined and the results were analysed, it could be seen that although the two civilisations are of different periods and had different interactions, the influencing and the influenced cultures exhibit similar political, sociological and economic behaviors and characteristics. Therefore, it is proposed that this cultural influence is correlated to a process and degree of acculturation.</t>
  </si>
  <si>
    <t>[Kose, Veli] Hacettepe Univ, Dept Archaeol, Ankara, Turkey</t>
  </si>
  <si>
    <t>Kose, V (corresponding author), Hacettepe Univ, Dept Archaeol, Ankara, Turkey.</t>
  </si>
  <si>
    <t>velikose@hacettepe.edu.tr</t>
  </si>
  <si>
    <t>Kose, Veli/AAF-3333-2020</t>
  </si>
  <si>
    <t>TURK TARIH KURUMU</t>
  </si>
  <si>
    <t>SIHHIYE</t>
  </si>
  <si>
    <t>KIZILAY SOKAK NO 1, SIHHIYE, ANKARA 06100, TURKEY</t>
  </si>
  <si>
    <t>0041-4255</t>
  </si>
  <si>
    <t>Belleten</t>
  </si>
  <si>
    <t>+</t>
  </si>
  <si>
    <t>Archaeology; History</t>
  </si>
  <si>
    <t>FT2ZF</t>
  </si>
  <si>
    <t>WOS:000423013900002</t>
  </si>
  <si>
    <t>Ohlendorf, D; Koenig, M; Diehl, C</t>
  </si>
  <si>
    <t>Ohlendorf, David; Koenig, Matthias; Diehl, Claudia</t>
  </si>
  <si>
    <t>Religion and Ethnic Educational Inequalities - Theoretical Arguments, Empirical Findings and Open Questions</t>
  </si>
  <si>
    <t>KOLNER ZEITSCHRIFT FUR SOZIOLOGIE UND SOZIALPSYCHOLOGIE</t>
  </si>
  <si>
    <t>Religion; Education; Ethnic inequalities; CILS4EU; Migration</t>
  </si>
  <si>
    <t>UNITED-STATES; SEGMENTED ASSIMILATION; OCCUPATIONAL ATTAINMENT; WESTERN-EUROPE; 2ND-GENERATION; GERMANY; ACHIEVEMENT; SECULARIZATION; PERFORMANCE; INTEGRATION</t>
  </si>
  <si>
    <t>Religion has received extensive attention as a factor influencing immigrants' integration. This paper examines the role of religion in explaining ethnic educational inequalities in Germany. Due to a general lack of research in this field, the paper provides an overview of existing empirical findings, specifies theoretical arguments on how religious affiliation, belief and participation possibly affect educational achievement among children of immigrants. Using data from the first wave of the Children of Immigrants Longitudinal Survey in four European Countries collected in 2010/11 the paper tests key arguments on the influence of religion on the educational attainment among 14-year-old immigrant and non-immigrant students at German schools. Compared to other religious groups, Muslims display lower rates of educational achievement. However, this can be largely explained by their social background and is independent from their levels of individual religiosity. Interestingly, individual religiosity has a positive effect on the educational achievement among Protestant students, whether with or without a migration background.</t>
  </si>
  <si>
    <t>[Ohlendorf, David] Sozialwissensch Inst EKD, Arnswaldtstr 6, D-30159 Hannover, Germany; [Koenig, Matthias] Georg August Univ Gottingen, Inst Soziol, Pl Gottinger Sieben 3, D-37073 Gottingen, Germany; [Diehl, Claudia] Univ Konstanz, Fachbereich Geschichte &amp; Soziol, Univ Str 10, D-78467 Constance, Germany</t>
  </si>
  <si>
    <t>Ohlendorf, D (corresponding author), Sozialwissensch Inst EKD, Arnswaldtstr 6, D-30159 Hannover, Germany.</t>
  </si>
  <si>
    <t>david.ohlendorf@si-ekd.de; mkoenig@gwdg.de; claudia.diehl@uni-konstanz.de</t>
  </si>
  <si>
    <t>VS VERLAG SOZIALWISSENSCHAFTEN-GWV FACHVERLAGE GMBH</t>
  </si>
  <si>
    <t>WIESBADEN</t>
  </si>
  <si>
    <t>ABRAHAM-LINCOLN-STR 46, 65189 WIESBADEN, GERMANY</t>
  </si>
  <si>
    <t>0023-2653</t>
  </si>
  <si>
    <t>1861-891X</t>
  </si>
  <si>
    <t>KOLNER Z SOZIOL SOZ</t>
  </si>
  <si>
    <t>Koln. Z. Soziol. Sozialpsych.</t>
  </si>
  <si>
    <t>10.1007/s11577-017-0488-4</t>
  </si>
  <si>
    <t>Psychology, Social; Sociology</t>
  </si>
  <si>
    <t>Psychology; Sociology</t>
  </si>
  <si>
    <t>FQ8AX</t>
  </si>
  <si>
    <t>WOS:000418586300001</t>
  </si>
  <si>
    <t>Holdsworth, M; Nicolaou, M; Langoien, LJ; Osei-Kwasi, HA; Chastin, SFM; Stok, FM; Capranica, L; Lien, N; Terragni, L; Monsivais, P; Mazzocchi, M; Maes, L; Roos, G; Mejean, C; Powell, K; Stronks, K</t>
  </si>
  <si>
    <t>Holdsworth, Michelle; Nicolaou, Mary; Langoien, Lars Jorun; Osei-Kwasi, Hibbah Araba; Chastin, Sebastien F. M.; Stok, F. Marijn; Capranica, Laura; Lien, Nanna; Terragni, Laura; Monsivais, Pablo; Mazzocchi, Mario; Maes, Lea; Roos, Gun; Mejean, Caroline; Powell, Katie; Stronks, Karien</t>
  </si>
  <si>
    <t>Developing a systems-based framework of the factors influencing dietary and physical activity behaviours in ethnic minority populations living in Europe - a DEDIPAC study</t>
  </si>
  <si>
    <t>INTERNATIONAL JOURNAL OF BEHAVIORAL NUTRITION AND PHYSICAL ACTIVITY</t>
  </si>
  <si>
    <t>Minority populations; Europe; Migrants; Immigrants; Physical activity; Sedentary behaviour; Diet; Framework; Systems</t>
  </si>
  <si>
    <t>PUBLIC-HEALTH; DISEASE RISK; PREVENTION; FOOD; INTERVENTIONS; IMMIGRANTS; OBESITY; ORIGIN; ACCULTURATION; EXPERIENCES</t>
  </si>
  <si>
    <t>Background: Some ethnic minority populations have a higher risk of non-communicable diseases than the majority European population. Diet and physical activity behaviours contribute to this risk, shaped by a system of inter-related factors. This study mapped a systems-based framework of the factors influencing dietary and physical activity behaviours in ethnic minority populations living in Europe, to inform research prioritisation and intervention development. Methods: A concept mapping approach guided by systems thinking was used: i. Preparation (protocol and terminology); ii. Generating a list of factors influencing dietary and physical activity behaviours in ethnic minority populations living in Europe from evidence (systematic mapping reviews) and ` eminence' (89 participants from 24 academic disciplines via brainstorming, an international symposium and expert review) and; iii. Seeking consensus on structuring, rating and clustering factors, based on how they relate to each other; and iv. Interpreting/utilising the framework for research and interventions. Similar steps were undertaken for frameworks developed for the majority European population. Results: Seven distinct clusters emerged for dietary behaviour (containing 85 factors) and 8 for physical activity behaviours (containing 183 factors). Four clusters were similar across behaviours: Social and cultural environment; Social and material resources; Psychosocial; and Migration context. Similar clusters of factors emerged in the frameworks for diet and physical activity behaviours of the majority European population, except for ` migration context'. The importance of factors across all clusters was acknowledged, but their relative importance differed for ethnic minority populations compared with the majority population. Conclusions: This systems-based framework integrates evidence from both expert opinion and published literature, to map the factors influencing dietary and physical activity behaviours in ethnic minority groups. Our findings illustrate that innovative research and complex interventions need to be developed that are sensitive to the needs of ethnic minority populations. A systems approach that encompasses the complexity of the inter-related factors that drive behaviours may inform a more holistic public health paradigm to more effectively reach ethnic minorities living in Europe, as well as the majority host population.</t>
  </si>
  <si>
    <t>[Holdsworth, Michelle; Osei-Kwasi, Hibbah Araba; Powell, Katie] Univ Sheffield, Sch Hlth &amp; Related Res ScHARR, Publ Hlth Sect, Sheffield, S Yorkshire, England; [Langoien, Lars Jorun] Univ Amsterdam, Acad Med Ctr, Dept Publ Hlth, Amsterdam Publ Hlth Res Inst, Amsterdam, Netherlands; [Chastin, Sebastien F. M.] Norwegian Sch Sport Sci, Dept Phys Educ, Oslo, Norway; [Stok, F. Marijn] Glasgow Caledonian Univ, Sch Hlth &amp; Life Sci, Inst Appl Hlth Res, Glasgow, Lanark, Scotland; [Capranica, Laura] Univ Konstanz, Dept Psychol Assessment &amp; Hlth Psychol, Constance, Germany; [Lien, Nanna] Univ Rome Foro Italico, Dept Movement Human &amp; Hlth Sci, Rome, Italy; [Terragni, Laura] Univ Oslo, Dept Nutr, Oslo, Norway; [Terragni, Laura] Fac Hlth Sci, Dept Nursing &amp; Hlth Promot, Oslo, Norway; [Monsivais, Pablo] Akershus Univ, Coll Appl Sci, Oslo, Norway; [Monsivais, Pablo] Univ Cambridge, Sch Clin Med, Inst Metab Sci, UKCRC Ctr Diet &amp; Activ Res,MRC Epidemiol Unit, Box 285,Cambridge Biomedical Campus, Cambridge CB2 0QQ, England; [Mazzocchi, Mario; Maes, Lea] Washington State Univ, Elson S Floyd Coll Med, Dept Nutr &amp; Exercise Physiol, Spokane, WA 99210 USA; [Roos, Gun] Univ Ghent, Dept Publ Hlth, Ghent, Belgium; [Roos, Gun] Consumpt Res Norway SIFO, Oslo, Norway; [Mejean, Caroline] Akershus Univ, Coll Appl Sci, Oslo, Norway; UMR MOISA, INRA, Montpellier, France</t>
  </si>
  <si>
    <t>Holdsworth, M (corresponding author), Univ Sheffield, Sch Hlth &amp; Related Res ScHARR, Publ Hlth Sect, Sheffield, S Yorkshire, England.</t>
  </si>
  <si>
    <t>michelle.holdsworth@sheffield.ac.uk</t>
  </si>
  <si>
    <t>Maes, Lea/D-6014-2013; Chastin, Sebastien/ABF-1455-2020; holdsworth, michelle/AAH-5400-2020; Mazzocchi, Mario/F-7067-2012</t>
  </si>
  <si>
    <t>holdsworth, michelle/0000-0001-6028-885X; Mazzocchi, Mario/0000-0002-0498-8031; Monsivais, Pablo/0000-0002-7088-6674; Roos, Gun/0000-0001-8551-2491</t>
  </si>
  <si>
    <t>Determinants of Diet and Physical ACtivity (DEDIPAC); Joint Programming Initiative 'Healthy Diet for a Healthy Life'; Belgium: Research Foundation - Flanders; France: Institut National de la Recherche Agronomique (INRA); Germany: Federal Ministry of Education and Research; Italy: Ministero dell'Istruzione, Universita e Ricerca, Italy; Norway: The Research Council of Norway; Netherlands: The Netherlands Organisation for Health Research and Development (ZonMw); UK: The Medical Research Council (MRC); Economic and Social Research CouncilUK Research &amp; Innovation (UKRI)Economic &amp; Social Research Council (ESRC) [ES/G007462/1] Funding Source: researchfish; Medical Research CouncilUK Research &amp; Innovation (UKRI)Medical Research Council UK (MRC)European Commission [MR/K023187/1] Funding Source: researchfish</t>
  </si>
  <si>
    <t>The preparation of this paper was supported by the Determinants of Diet and Physical ACtivity (DEDIPAC) knowledge hub. This work is supported by the Joint Programming Initiative 'Healthy Diet for a Healthy Life'. The funding agencies supporting this work are (in alphabetical order of participating Member State in this paper): Belgium: Research Foundation - Flanders; France: Institut National de la Recherche Agronomique (INRA); Germany: Federal Ministry of Education and Research; Italy: Ministero dell'Istruzione, Universita e Ricerca, Italy; Norway: The Research Council of Norway; The Netherlands: The Netherlands Organisation for Health Research and Development (ZonMw); The UK: The Medical Research Council (MRC). The authors would like to thank the entire thematic area 2 of the DEDIPAC project.</t>
  </si>
  <si>
    <t>1479-5868</t>
  </si>
  <si>
    <t>INT J BEHAV NUTR PHY</t>
  </si>
  <si>
    <t>Int. J. Behav. Nutr. Phys. Act.</t>
  </si>
  <si>
    <t>NOV 7</t>
  </si>
  <si>
    <t>10.1186/s12966-017-0608-6</t>
  </si>
  <si>
    <t>Nutrition &amp; Dietetics; Physiology</t>
  </si>
  <si>
    <t>FM0PV</t>
  </si>
  <si>
    <t>WOS:000414670200001</t>
  </si>
  <si>
    <t>Oso, L; Suarez-Grimalt, L</t>
  </si>
  <si>
    <t>Oso, Laura; Suarez-Grimalt, Laura</t>
  </si>
  <si>
    <t>MIGRATION AND INTERGENERATIONAL STRATEGIES FOR SOCIAL MOBILITY: THEORETICAL AND METHODOLOGICAL CHALLENGES</t>
  </si>
  <si>
    <t>MIGRACIONES</t>
  </si>
  <si>
    <t>Migration; Social Mobility; Transnational Families; Inter-generational Perspective; Ecuadorian Migration; Longitudinal methodology</t>
  </si>
  <si>
    <t>ASSIMILATION</t>
  </si>
  <si>
    <t>The aim of this article is to propose a theoretical framework and methodological proposal based on an intergenerational perspective for the study of geographic and social mobility strategies of migrants. We analyse the way transnational families negotiate their social mobility strategies in accordance with the family unit (fathers, mothers, elder children, younger children.), as well as their position in the migration process (migrating as pioneers, staying behind, etc.), assessing the actions transnational families undertake over time and space in order to climb the social ladder. The methodology strategy is based on a qualitative study (biographical narrative), multi-situated ethnography (carried out in Spain and in Ecuador), and longitudinal fieldwork. The article aims to highlight the role not only of migrants, but also that of the family members that are left behind, as agents of social mobility strategies within the transnational space.</t>
  </si>
  <si>
    <t>[Oso, Laura] Univ A Coruna, Univ Coordinadora, ESOMI Equipo Invest Sociol Migrac Int, Coruna, Spain; [Suarez-Grimalt, Laura] Univ Barcelona, Barcelona, Spain</t>
  </si>
  <si>
    <t>Oso, L (corresponding author), Univ A Coruna, Univ Coordinadora, ESOMI Equipo Invest Sociol Migrac Int, Coruna, Spain.</t>
  </si>
  <si>
    <t>Oso, Laura/H-6328-2015; Suarez-Grimalt, Laura/AAB-3916-2020</t>
  </si>
  <si>
    <t xml:space="preserve">Oso, Laura/0000-0003-1532-6196; </t>
  </si>
  <si>
    <t>UNIV PONTIFICIA COMILLAS MADRID, FAC FILOSOFIA</t>
  </si>
  <si>
    <t>C UNIVERSIDAD COMILLAS, 3, MADRID, 28049, SPAIN</t>
  </si>
  <si>
    <t>1138-5774</t>
  </si>
  <si>
    <t>2341-0833</t>
  </si>
  <si>
    <t>Migraciones</t>
  </si>
  <si>
    <t>FR8BJ</t>
  </si>
  <si>
    <t>WOS:000419298600002</t>
  </si>
  <si>
    <t>Cali, B</t>
  </si>
  <si>
    <t>Cali, Basak</t>
  </si>
  <si>
    <t>ALL YOU NEED IS TIME? DISCREPANCIES BETWEEN THE EUROPEAN COURT OF HUMAN RIGHTS CASE LAW AND LIBERAL NORMATIVE THEORY ON LONG-TERM MIGRANTS</t>
  </si>
  <si>
    <t>ISRAEL LAW REVIEW</t>
  </si>
  <si>
    <t>jus temporis; long-term migrants; liberal theories of migration; European Court of Human Rights</t>
  </si>
  <si>
    <t>IMMIGRATION CONTROLS</t>
  </si>
  <si>
    <t>This article, departing from Gila Stopler's 'Rights in Immigration: The Veil as a Test Case', published in the Israeli Law Review in 2010, reviews how the time spent by a long-term migrant, irrespective of legal status, normatively figures in liberal theories of migration and in the case law of the European Court of Human Rights (ECtHR). The article detects that in contemporary liberal theories, assigning an independent normative value to time spent by the migrant in the receiving country is a key move in balancing the competing interests of migrants and of the migrant-receiving country, where the right of the country to regulate migration is taken as given: the longer a migrant is present in a country, the stronger her interests become in receiving citizenship status or treatment akin to citizens. The article then surveys the case law of the ECtHR relating to long-term migrants. It finds that time is often one of multiple normative considerations in the balancing exercise, in conjunction with whether a migrant has achieved social integration in the migrant-receiving country and whether the right of the receiving community to regulate migration for reasons of affording citizenship, national security or distributive justice is paramount. The article argues that the lack of an independent normative weight afforded to time in the case law of the ECtHR is not merely a tension between the translation of liberal normative theory to legal policy. It also shows a deeper tension in liberal theories of migration between national liberalism and cosmopolitan liberalism.</t>
  </si>
  <si>
    <t>[Cali, Basak] Hertie Sch Governance, Berlin, Germany; [Cali, Basak] Koc Univ, Ctr Global Publ Law, Istanbul, Turkey</t>
  </si>
  <si>
    <t>Cali, B (corresponding author), Hertie Sch Governance, Berlin, Germany.; Cali, B (corresponding author), Koc Univ, Ctr Global Publ Law, Istanbul, Turkey.</t>
  </si>
  <si>
    <t>cali@hertie-school.org</t>
  </si>
  <si>
    <t>CAMBRIDGE UNIV PRESS</t>
  </si>
  <si>
    <t>32 AVENUE OF THE AMERICAS, NEW YORK, NY 10013-2473 USA</t>
  </si>
  <si>
    <t>0021-2237</t>
  </si>
  <si>
    <t>2047-9336</t>
  </si>
  <si>
    <t>ISR LAW REV</t>
  </si>
  <si>
    <t>Isr. Law Rev.</t>
  </si>
  <si>
    <t>FO3UR</t>
  </si>
  <si>
    <t>WOS:000416761000010</t>
  </si>
  <si>
    <t>Thibault, E</t>
  </si>
  <si>
    <t>Thibault, Emmanuel</t>
  </si>
  <si>
    <t>Is GDP a Relevant Social Welfare Indicator? A Savers-Spenders Theory Approach</t>
  </si>
  <si>
    <t>JAPANESE ECONOMIC REVIEW</t>
  </si>
  <si>
    <t>LOVE THY CHILDREN; NATIONAL PRODUCT; DEBT NEUTRALITY; FISCAL-POLICY; GROWTH-MODEL; ALTRUISM; MIGRATION; ASSIMILATION; REFLECTIONS; IMMIGRATION</t>
  </si>
  <si>
    <t>The use of GDP as the main index of progress and welfare of a country has been the subject of a long debate among economists. Using and extending the savers-spenders theory, we analyse the theoretical relationship between GDP and the welfare of a society. This analysis is undertaken using several different overlapping generations models which all take into account the great heterogeneity of consumer behaviour observed in the data (different labour supply choices, different degrees of altruism and/or different degrees of impatience to consume). The results indicate that GDP (per capita) is often a relevant index and is always a decent social welfare indicator.</t>
  </si>
  <si>
    <t>[Thibault, Emmanuel] CDED, Toulouse Sch Econ, Perpignan, France; [Thibault, Emmanuel] Univ Perpignan, Perpignan, France</t>
  </si>
  <si>
    <t>Thibault, E (corresponding author), CDED, Toulouse Sch Econ, Perpignan, France.; Thibault, E (corresponding author), Univ Perpignan, Perpignan, France.</t>
  </si>
  <si>
    <t>1352-4739</t>
  </si>
  <si>
    <t>1468-5876</t>
  </si>
  <si>
    <t>JPN ECON REV</t>
  </si>
  <si>
    <t>Jpn. Econ. Rev.</t>
  </si>
  <si>
    <t>10.1111/jere.12116</t>
  </si>
  <si>
    <t>Economics</t>
  </si>
  <si>
    <t>FC8IM</t>
  </si>
  <si>
    <t>WOS:000407085000004</t>
  </si>
  <si>
    <t>Wessel, T; Andersson, R; Kauppinen, T; Andersen, HS</t>
  </si>
  <si>
    <t>Wessel, Terje; Andersson, Roger; Kauppinen, Timo; Andersen, Hans Skifter</t>
  </si>
  <si>
    <t>Spatial Integration of Immigrants in Nordic Cities: The Relevance of Spatial Assimilation Theory in a Welfare State Context</t>
  </si>
  <si>
    <t>URBAN AFFAIRS REVIEW</t>
  </si>
  <si>
    <t>spatial assimilation; locational attainment; segregation; welfare state</t>
  </si>
  <si>
    <t>RESIDENTIAL-MOBILITY; SEGREGATION; AREAS; STRATIFICATION; EDUCATION; MIGRANTS; INCOME</t>
  </si>
  <si>
    <t>This article investigates the relevance of spatial assimilation theory in Copenhagen, Helsinki, Oslo, and Stockholm. An important backdrop is the Nordic model of welfare: We assume that welfare generosity decreases the speed of spatial integration. The study uses non-Western immigrants as a target group and natives as a reference group. We register location in 2000 and 2008, and analyze integration in terms of neighborhood status and residential segregation. The results show, in all cities, a lack of aggregate upward mobility in the spatial hierarchy. We also find a negligible effect of upward earnings mobility on upward spatial mobility. Upward spatial mobility increases integration in ethnic terms, but other factors work in the opposite direction and contribute to prevailing segregation. The results as a whole strengthen the purported association between welfare state characteristics and spatial integration. Deviant outcomes, particularly in Helsinki, are explained by immigration history and housing market structure.</t>
  </si>
  <si>
    <t>[Wessel, Terje] Univ Oslo, Urban Geog, Oslo, Norway; [Andersson, Roger] Uppsala Univ, Social &amp; Econ Geog, Uppsala, Sweden; [Kauppinen, Timo] Natl Inst Hlth &amp; Welf, Helsinki, Finland; [Andersen, Hans Skifter] Aalborg Univ, Copenhagen, Denmark</t>
  </si>
  <si>
    <t>Wessel, T (corresponding author), Univ Oslo, POB 1096, N-0317 Oslo, Norway.</t>
  </si>
  <si>
    <t>terje.wessel@sosgeo.uio.no</t>
  </si>
  <si>
    <t>Andersson, Roger/0000-0001-9832-5847</t>
  </si>
  <si>
    <t>NORFACE program on Migration in Europe - Social, Economic, Cultural and Policy Dynamics</t>
  </si>
  <si>
    <t>The author(s) disclosed receipt of the following financial support for the research, authorship, and/or publication of this article: This research was funded by the NORFACE program on Migration in Europe - Social, Economic, Cultural and Policy Dynamics.</t>
  </si>
  <si>
    <t>1078-0874</t>
  </si>
  <si>
    <t>1552-8332</t>
  </si>
  <si>
    <t>URBAN AFF REV</t>
  </si>
  <si>
    <t>Urban Aff. Rev.</t>
  </si>
  <si>
    <t>10.1177/1078087416638448</t>
  </si>
  <si>
    <t>Urban Studies</t>
  </si>
  <si>
    <t>FE0RI</t>
  </si>
  <si>
    <t>WOS:000407927000002</t>
  </si>
  <si>
    <t>Lucassen, J; Lucassen, L</t>
  </si>
  <si>
    <t>Lucassen, Jan; Lucassen, Leo</t>
  </si>
  <si>
    <t>Theorizing Cross-Cultural Migrations: The Case of Eurasia since 1500</t>
  </si>
  <si>
    <t>SOCIAL SCIENCE HISTORY</t>
  </si>
  <si>
    <t>LABOR MIGRATION; REVOLUTION; MARKETS</t>
  </si>
  <si>
    <t>In this article we plead for a less state-centered definition of migration that allows us to understand better the relationship between cross-cultural migrations and social change and social development in the long run. Therefore, we developed a method that enables us to systematically compare CCMRs (cross-cultural migrations per capita) through time and space. This CCMR method puts issues of state policies and citizenship in a much broader social context. We conclude that the presentist approach to migration in the social sciences is highly myopic, as it privileges migrations crossing state borders over internal moves, and favors migrants who have the intention to settle for good. In itself this is a legitimate choice, especially if the core explanandum is the way migrants' long-term settlement process in another (modern) state evolves. In the more empirical parts of this article however we have concentrated on the effects of Eurasian societies since 1500 that have received migrants. Sending societies and individual migrants and nonmigrants in sending and receiving societies have been largely left out. Finally, and paradoxically, integration and assimilation in the long run leads to diminishing opportunities of social development by cross-cultural experiences, because one could argue that due to globalizing migrations cultures converge further and thus cultural boundaries (as is already the case in migration to cities within culturally homogenous nation-states in the twentieth century) become less salient or disappear entirely. Logically speaking, this is also an implication of the model, presently to be developed further.</t>
  </si>
  <si>
    <t>0145-5532</t>
  </si>
  <si>
    <t>1527-8034</t>
  </si>
  <si>
    <t>SOC SCI HIST</t>
  </si>
  <si>
    <t>Soc. Sci. Hist.</t>
  </si>
  <si>
    <t>FAL</t>
  </si>
  <si>
    <t>10.1017/ssh.2017.19</t>
  </si>
  <si>
    <t>History; History Of Social Sciences</t>
  </si>
  <si>
    <t>History; Social Sciences - Other Topics</t>
  </si>
  <si>
    <t>FC0DO</t>
  </si>
  <si>
    <t>WOS:000406508800004</t>
  </si>
  <si>
    <t>Shen, S</t>
  </si>
  <si>
    <t>Shen, Shawn</t>
  </si>
  <si>
    <t>The Bibimbap Migration Theory? Challenges of Korea's Multicultural Mix and Social Integration Development</t>
  </si>
  <si>
    <t>Korea; Migration; Multiculturalism; Social integration; Immigrant policy</t>
  </si>
  <si>
    <t>Migration was never a brand new phenomenon in South Korea, but its migration pattern has been redirected, migrant size has been amplified, and migrant ethnicity has been diversified in recent years. Korea is undergoing dramatic changes in its demographic composition with an increasing presence of foreigners since the 1990s. Traditionally known for its cultural uniqueness and ethnic homogeneousness, the ongoing inflow of foreigners has presented new challenges, as to who the Koreans are and how the modern Korean society should be defined. Some Koreans even raise concern over migration inflow as a threat to its nationhood purity. This research examines the shifting trend of immigration in Korea with a focus on the new social development of multiculturalism, while assessing the level of social integration and multicultural discourses of the public. In addition to those widely discussed marriage immigrants and foreign labor workers in the existing literature, the recent surge of professional expats, foreign teachers, and international students is becoming evident in Korea's multicultural mix. Moreover, there is still a lack of literature on foreign migrants in Korea, including the US military service personnel, the foreign professional sports players, non-North Korean international refugees, and the latest, permanent residency immigrants through property investment in Korea. Despite the noted increasing inflow of a variety of immigrant residents, who are constantly shaping the new faces of Korea, the acceptance of ethnic diversity and cultural integration has yet to secure its solid place in the Korean society for multiculturalism to be truly embraced and flourished.</t>
  </si>
  <si>
    <t>[Shen, Shawn] Catholic Univ Daegu, Inst Multicultural Studies, 13-13 Hayang Ro, Gyongsan 38430, Gyeongbuk, South Korea; [Shen, Shawn] Catholic Univ Daegu, Coll Educ, Dept Geog Educ, 13-13 Hayang Ro, Gyongsan 38430, Gyeongbuk, South Korea</t>
  </si>
  <si>
    <t>Shen, S (corresponding author), Catholic Univ Daegu, Inst Multicultural Studies, 13-13 Hayang Ro, Gyongsan 38430, Gyeongbuk, South Korea.; Shen, S (corresponding author), Catholic Univ Daegu, Coll Educ, Dept Geog Educ, 13-13 Hayang Ro, Gyongsan 38430, Gyeongbuk, South Korea.</t>
  </si>
  <si>
    <t>shawn.shen@alumni.ubc.ca</t>
  </si>
  <si>
    <t>National Research Foundation of Korea - Korean GovernmentNational Research Foundation of KoreaKorean Government [NRF-2013S1A5B8A01054225]</t>
  </si>
  <si>
    <t>This work was supported by the National Research Foundation of Korea Grant funded by the Korean Government (NRF-2013S1A5B8A01054225).</t>
  </si>
  <si>
    <t>10.1007/s12134-016-0489-6</t>
  </si>
  <si>
    <t>FC0CI</t>
  </si>
  <si>
    <t>WOS:000406505500005</t>
  </si>
  <si>
    <t>Javique, DR</t>
  </si>
  <si>
    <t>Rodriguez Javique, Daylin</t>
  </si>
  <si>
    <t>A theoretical framework to study the fertility of Cuban migrants in the United States</t>
  </si>
  <si>
    <t>NOVEDADES EN POBLACION</t>
  </si>
  <si>
    <t>Fertility; migration; Cubans; United States; migrant fertility</t>
  </si>
  <si>
    <t>MIGRATION; ASSIMILATION; SELECTIVITY; ADAPTATION; TRANSITION</t>
  </si>
  <si>
    <t>The present article intends to carry out an analysis of the relationship between fertility and migration from the theories that have addressed the subject. Starting from the prominence that migration has gained in the demographic dynamics of current societies, the work addresses different theoretical positions regarding the reproductive behavior of migrants from the review of the literature on the subject. The objective of this review is to assume a reference for the study of the fertility of Cuban migrants living in the United States, where the largest proportion of Cubans resides abroad. That is why within the text a space is dedicated to a brief description of the behavior of fertility and migration of Cubans in recent years, which helps to understand and adjust in some way the theories mentioned and assumed as a frame of reference. Finally, a brief integration is made as of final considerations that include assessments of a possible application of the theoretical framework to the case of Cuba.</t>
  </si>
  <si>
    <t>[Rodriguez Javique, Daylin] Univ La Habana, Ctr Estudios Demog CEDEM, Havana, Cuba</t>
  </si>
  <si>
    <t>Javique, DR (corresponding author), Univ La Habana, Ctr Estudios Demog CEDEM, Havana, Cuba.</t>
  </si>
  <si>
    <t>daylin@cedem.uh.cu</t>
  </si>
  <si>
    <t>UNIV HABANA</t>
  </si>
  <si>
    <t>HAVANA</t>
  </si>
  <si>
    <t>CALLE SAN LAZARO ESQ L VEDADO, HAVANA, 4, CUBA</t>
  </si>
  <si>
    <t>1817-4078</t>
  </si>
  <si>
    <t>NOVED POBLAC</t>
  </si>
  <si>
    <t>Noved. Poblac.</t>
  </si>
  <si>
    <t>JUL-DEC</t>
  </si>
  <si>
    <t>FU5TU</t>
  </si>
  <si>
    <t>WOS:000423916700002</t>
  </si>
  <si>
    <t>Garcia, AS; Schmalzbauer, L</t>
  </si>
  <si>
    <t>Garcia, Angela S.; Schmalzbauer, Leah</t>
  </si>
  <si>
    <t>Placing Assimilation Theory: Mexican Immigrants in Urban and Rural America</t>
  </si>
  <si>
    <t>ANNALS OF THE AMERICAN ACADEMY OF POLITICAL AND SOCIAL SCIENCE</t>
  </si>
  <si>
    <t>assimilation theory; undocumented immigrants; urban and rural immigrant destinations; Mexican migration</t>
  </si>
  <si>
    <t>MIGRATION; GENTRIFICATION; BORDERS</t>
  </si>
  <si>
    <t>Assimilation theory typically conceptualizes native whites in metropolitan areas as the mainstream reference group to which immigrants' adaptation is compared. Yet the majority of the U.S. population will soon be made up of ethnoracial minorities. The rise of new immigrant destinations has contributed to this demographic change in rural areas, in addition to already-diverse cities. In this article, we argue that assimilation is experienced in reference to the demographic populations within urban and rural destinations as well as the physical geography of these places. We analyze and compare the experiences of rural Mexicans who immigrated to urban Southern California and rural Montana, demonstrating the ways in which documentation status in the United States and the rurality of immigrants' communities of origin in Mexico shape assimilation in these two destinations.</t>
  </si>
  <si>
    <t>[Garcia, Angela S.] Univ Chicago, Sch Social Serv Adm, Chicago, IL 60637 USA; [Schmalzbauer, Leah] Amherst Coll, Sociol &amp; Amer Studies, Amherst, MA 01002 USA</t>
  </si>
  <si>
    <t>Garcia, AS (corresponding author), Univ Chicago, Sch Social Serv Adm, Chicago, IL 60637 USA.</t>
  </si>
  <si>
    <t>agarcia@uchicago.edu</t>
  </si>
  <si>
    <t>0002-7162</t>
  </si>
  <si>
    <t>1552-3349</t>
  </si>
  <si>
    <t>ANN AM ACAD POLIT SS</t>
  </si>
  <si>
    <t>Ann. Am. Acad. Polit. Soc. Sci.</t>
  </si>
  <si>
    <t>10.1177/0002716217708565</t>
  </si>
  <si>
    <t>Political Science; Social Sciences, Interdisciplinary</t>
  </si>
  <si>
    <t>Government &amp; Law; Social Sciences - Other Topics</t>
  </si>
  <si>
    <t>EY7KM</t>
  </si>
  <si>
    <t>WOS:000404169400004</t>
  </si>
  <si>
    <t>Garcia, SJ</t>
  </si>
  <si>
    <t>Garcia, San Juanita</t>
  </si>
  <si>
    <t>Bridging critical race theory and migration: Moving beyond assimilation theories</t>
  </si>
  <si>
    <t>SOCIOLOGY COMPASS</t>
  </si>
  <si>
    <t>2ND-GENERATION; INTERSECTIONALITY; ILLEGALITY</t>
  </si>
  <si>
    <t>Critical race scholars have shifted the sociological migration literature from addressing how immigrants incorporate into the host society to instead asking how immigrants, their children, and communities are racialized. They also shift the focus from ethnic descriptions of immigrants of color by bringing race and racism to the forefront. This article provides an overview of critical race theory to document the racialized lives of Mexican immigrants and their communities. I bring attention to one of the dominant approaches to the study of sociological migration, segmented assimilation theory. In doing so, I use critical race theory as a framework to bring race and other axes of stratification such as undocumented status to light.</t>
  </si>
  <si>
    <t>[Garcia, San Juanita] Univ N Carolina, Cecil G Sheps Ctr Hlth Serv Res, Chapel Hill, NC 27599 USA; [Garcia, San Juanita] Univ Calif Riverside, Dept Sociol, Riverside, CA 92521 USA</t>
  </si>
  <si>
    <t>Garcia, SJ (corresponding author), Univ N Carolina, Cecil G Sheps Ctr Hlth Serv Res, Chapel Hill, NC 27599 USA.</t>
  </si>
  <si>
    <t>sjgarcia@email.unc.edu</t>
  </si>
  <si>
    <t>National Research Service Award Postdoctoral Traineeship from the National Institute of Mental Health - Cecil G. Sheps Center for Health Services Research, University of North Carolina at Chapel Hill; Department of Psychiatry and Behavioral Sciences, Duke University School of Medicine [T32 MH019117]</t>
  </si>
  <si>
    <t>I am thankful to Wendy Moore, Lorena Murga, Eugenia Conde, and Will Hall for reading and commenting on this paper. I am especially thankful to Wendy Moore, Zulema Valdez, and Rogelio Saenz for first introducing me to critical race theory. I am also thankful to the anonymous reviewer and David Brunsma for their thoughtful comments. This research was supported by the National Research Service Award Postdoctoral Traineeship from the National Institute of Mental Health sponsored by Cecil G. Sheps Center for Health Services Research, University of North Carolina at Chapel Hill, and the Department of Psychiatry and Behavioral Sciences, Duke University School of Medicine, Grant No: T32 MH019117.</t>
  </si>
  <si>
    <t>1751-9020</t>
  </si>
  <si>
    <t>SOCIOL COMPASS</t>
  </si>
  <si>
    <t>Sociol. Compass</t>
  </si>
  <si>
    <t>e12484</t>
  </si>
  <si>
    <t>10.1111/soc4.12484</t>
  </si>
  <si>
    <t>EY4WZ</t>
  </si>
  <si>
    <t>WOS:000403979700005</t>
  </si>
  <si>
    <t>Toosi, A; Richter, S; Woytowich, B</t>
  </si>
  <si>
    <t>Toosi, Amy; Richter, Solina; Woytowich, Boris</t>
  </si>
  <si>
    <t>Theoretical Perspectives on Issues and Interventions Related to Migrant Resettlement in Canada</t>
  </si>
  <si>
    <t>JOURNAL OF TRANSCULTURAL NURSING</t>
  </si>
  <si>
    <t>settlement; transition; integration; acculturation; migrant health</t>
  </si>
  <si>
    <t>IMMIGRANT CHILDREN; MENTAL-HEALTH; ACCULTURATION; EXPERIENCES; INCLUSION; EXCLUSION; AUSTRALIA</t>
  </si>
  <si>
    <t>International migration has increased at a significant rate over the past several decades as many migrants relocate in the hope of finding better living conditions. Unfortunately, not all migrants realize their dreams but instead find themselves in poor living conditions and are less satisfied with their health and well-being. The purpose of this article is to explore the factors that influence the integration of migrants into a new culture through two theoretical lenses: transitions theory and acculturation theory. The authors propose that acculturation and transition are influenced by factors at both the societal and individual level and therefore interventions aimed at promoting successful integration should be focused at both those levels. This article adds a new perspective to the migrant health framework and offers a new approach for researchers, clinicians, and program developers. The overall health and well-being of migrants may improve by focusing on individual factors that contribute to successful settlement through predeparture or early arrival preparation programs.</t>
  </si>
  <si>
    <t>[Toosi, Amy; Richter, Solina] Univ Alberta, Edmonton, AB, Canada; [Woytowich, Boris] NorQuest Coll, Edmonton, AB, Canada</t>
  </si>
  <si>
    <t>Toosi, A (corresponding author), Univ Alberta, Fac Nursing, 11405-87 Ave, Edmonton, AB T6G 1C9, Canada.</t>
  </si>
  <si>
    <t>atoosi@ualberta.ca</t>
  </si>
  <si>
    <t>Toosi, Amy/0000-0003-3007-7140</t>
  </si>
  <si>
    <t>1043-6596</t>
  </si>
  <si>
    <t>1552-7832</t>
  </si>
  <si>
    <t>J TRANSCULT NURS</t>
  </si>
  <si>
    <t>J. Transcult. Nurs.</t>
  </si>
  <si>
    <t>10.1177/1043659616660361</t>
  </si>
  <si>
    <t>Nursing</t>
  </si>
  <si>
    <t>EY4JR</t>
  </si>
  <si>
    <t>WOS:000403944700002</t>
  </si>
  <si>
    <t>Choi, HM; Kim, WG; McGinley, S</t>
  </si>
  <si>
    <t>Choi, Hyung-Min; Kim, Woo Gon; McGinley, Sean</t>
  </si>
  <si>
    <t>The extension of the theory of person-organization fit toward hospitality migrant worker</t>
  </si>
  <si>
    <t>INTERNATIONAL JOURNAL OF HOSPITALITY MANAGEMENT</t>
  </si>
  <si>
    <t>Person-organization fit; Work adjustment; Turnover intentions; Job satisfaction; Migrant workers</t>
  </si>
  <si>
    <t>CROSS-CULTURAL ADJUSTMENT; ENVIRONMENT FIT; EMPLOYEE OUTCOMES; JOB-SATISFACTION; LABOR; CONSEQUENCES; ANTECEDENTS; PERCEPTIONS; COMMITMENT; STRATEGIES</t>
  </si>
  <si>
    <t>The hospitality and tourism industry is suffering from a labor shortage, and migrant workers are supplying a large portion of labor in the contemporary economic market. This study extends the theory of person organization fit in the context of hospitality migrant workers. This study also examines the effect of person-organization fit on migrant workers' turnover intentions via job satisfaction and work adjustment. The results reveal that all three levels of fit, person-supervisor, person-group, and person-job, have a significant influence on work adjustment and job satisfaction, which in turn influence migrant employees' turnover intentions. Among the three types of fit, person-group fit was the only one to have a direct effect on predicting turnover intentions. The findings imply that HR managers should make good hiring decisions for migrant employees based on the perceived three levels of fit between the applicant and the organization. Published by Elsevier Ltd.</t>
  </si>
  <si>
    <t>[Choi, Hyung-Min; Kim, Woo Gon] Florida State Univ, Dedman Sch Hospitality, Int Ctr Hospitality Res &amp; Dev, 288 Champ Way UCB 4117, Tallahassee, FL 32306 USA; [McGinley, Sean] Florida State Univ, Dedman Sch Hospitality, 288 Champ Way UCB 4117, Tallahassee, FL 32306 USA</t>
  </si>
  <si>
    <t>Kim, WG (corresponding author), Florida State Univ, Dedman Sch Hospitality, Int Ctr Hospitality Res &amp; Dev, 288 Champ Way UCB 4117, Tallahassee, FL 32306 USA.</t>
  </si>
  <si>
    <t>hchoi2@fsu.edu; wkim@fsu.edu; smcginley@business.fsu.edu</t>
  </si>
  <si>
    <t>Choi, Hyung-Min/P-6770-2016</t>
  </si>
  <si>
    <t>Choi, Hyung-Min/0000-0001-5775-9139; Kim, Woo Gon/0000-0002-5898-7528</t>
  </si>
  <si>
    <t>ELSEVIER SCI LTD</t>
  </si>
  <si>
    <t>THE BOULEVARD, LANGFORD LANE, KIDLINGTON, OXFORD OX5 1GB, OXON, ENGLAND</t>
  </si>
  <si>
    <t>0278-4319</t>
  </si>
  <si>
    <t>1873-4693</t>
  </si>
  <si>
    <t>INT J HOSP MANAG</t>
  </si>
  <si>
    <t>Int. J. Hosp. Manag.</t>
  </si>
  <si>
    <t>10.1016/j.ijhm.2016.12.003</t>
  </si>
  <si>
    <t>ER4FE</t>
  </si>
  <si>
    <t>WOS:000398753700006</t>
  </si>
  <si>
    <t>Repke, L; Benet-Martinez, V</t>
  </si>
  <si>
    <t>Repke, Lydia; Benet-Martinez, Veronica</t>
  </si>
  <si>
    <t>Conceptualizing the Dynamics between Bicultural Identification and Personal Social Networks</t>
  </si>
  <si>
    <t>social networks; acculturation; immigration; cultural identification; complex contagions</t>
  </si>
  <si>
    <t>LONGITUDINAL TEST; IDENTITY; ACCULTURATION; BEHAVIOR; CULTURE; ADOLESCENTS; PREDICTION; COMPONENTS; LANGUAGE; PROTOCOL</t>
  </si>
  <si>
    <t>An adequate understanding of the acculturation processes affecting immigrants and their descendants involves ascertaining the dynamic interplay between the way these individuals manage their multiple (and sometimes conflictual) cultural value systems and identifications and possible changes in their social networks. To fill this gap, the present research examines how key acculturation variables (e.g., strength of ethnic/host cultural identifications, bicultural identity integration or BII) relate to the composition and structure of bicultural individuals' personal social networks. In Study 1, we relied on a generationally and culturally diverse community sample of 123 Latinos residing in the US. Participants nominated eight individuals (i.e., alters) from their habitual social networks and across two relational domains: friendships and colleagues. Results indicated that the interconnection of same ethnicity alters across different relationship domains is linked to cultural identifications, while the amount of coethnic and host individuals in the network is not. In particular, higher interconnection between Latino friends and colleagues was linked to lower levels of U.S. identification. Conversely, the interconnection of non-Latino friends and colleagues was associated with lower levels of Latino identification. This pattern of results suggests that the relational context for each type of cultural identification works in a subtractive and inverse manner. Further, time spent in the US was linked to both Latino and U.S. cultural identifications, but this relationship was moderated by the level of BII. Specifically, the association between time in the US and strength of both cultural identities was stronger for individuals reporting low levels of BII. Taking the findings from Study 1 as departure point, Study 2 used an agent-based model data simulation approach to explore the dynamic ways in which the content and the structure of an immigrant's social network might matter over time in predicting three possible identity patterns: coexisting cultural identifications, conflicting cultural identifications, and a mixture of the two. These simulations allowed us to detect network constellations, which lead to identification or disidentification with both cultures. We showed that distinct patterns of social relations do not lead to identity outcomes in a deterministic fashion, but that often many different outcomes are probable.</t>
  </si>
  <si>
    <t>[Repke, Lydia; Benet-Martinez, Veronica] Univ Pompeu Fabra, Dept Polit &amp; Social Sci, Barcelona, Spain; [Benet-Martinez, Veronica] ICREA Catalan Inst Res &amp; Adv Studies, Barcelona, Spain</t>
  </si>
  <si>
    <t>Repke, L (corresponding author), Univ Pompeu Fabra, Dept Polit &amp; Social Sci, Barcelona, Spain.</t>
  </si>
  <si>
    <t>lydia.repke@upf.edu</t>
  </si>
  <si>
    <t>Repke, Lydia/AAB-1776-2020; Benet-Martinez, Veronica/AAS-8624-2020; Benet-Martinez, Veronica/B-5398-2011</t>
  </si>
  <si>
    <t>Repke, Lydia/0000-0002-7907-4648; Benet-Martinez, Veronica/0000-0002-3352-9731; Benet-Martinez, Veronica/0000-0002-3352-9731</t>
  </si>
  <si>
    <t>German National Scholarship Foundation; ICREAICREA Funding Source: Custom</t>
  </si>
  <si>
    <t>The work undertaken by LR was supported by the German National Scholarship Foundation.</t>
  </si>
  <si>
    <t>MAR 31</t>
  </si>
  <si>
    <t>10.3389/fpsyg.2017.00469</t>
  </si>
  <si>
    <t>EQ3TQ</t>
  </si>
  <si>
    <t>WOS:000397996200001</t>
  </si>
  <si>
    <t>Murray, KE; Ermias, A; Lung, A; Mohamed, AS; Ellis, BH; Linke, S; Kerr, J; Bowen, DJ; Marcus, BH</t>
  </si>
  <si>
    <t>Murray, Kate E.; Ermias, Azieb; Lung, Amber; Mohamed, Amina Sheik; Ellis, B. Heidi; Linke, Sarah; Kerr, Jacqueline; Bowen, Deborah J.; Marcus, Bess H.</t>
  </si>
  <si>
    <t>Culturally adapting a physical activity intervention for Somali women: the need for theory and innovation to promote equity</t>
  </si>
  <si>
    <t>TRANSLATIONAL BEHAVIORAL MEDICINE</t>
  </si>
  <si>
    <t>Cross-cultural research; Cultural adaptation; Health disparities; Translational research; Physical activity interventions; Refugee research</t>
  </si>
  <si>
    <t>PARTICIPATORY RESEARCH; CLINICAL-TRIALS; HEALTH; ADAPTATION; COMMUNITIES; PREVENTION; TELEPHONE; BARRIERS; REFUGEES; DIETARY</t>
  </si>
  <si>
    <t>There is pressing need for innovation in clinical research to more effectively recruit, engage, retain, and promote health among diverse populations overburdened by health disparities. The purpose of this study is to provide a detailed illustration of the cultural adaptation of an evidence-based intervention to bolster translational research with currently underserved communities. The cultural adaptation heuristic framework described by Barrera and colleagues is applied to the adaptation of a physical activity evidence-based intervention with adult Somali women. Widespread changes were required to ensure program feasibility and acceptability, including the reduction of assessment protocols and changes discordant with current trends in physical activity research. The cultural adaptation of evidence-based interventions offers an important mechanism for reducing health disparities. Improved reporting standards, assessment of features relevant to underserved communities, and greater funding requirements to ensure better representation are needed to promote more widespread access for all people.</t>
  </si>
  <si>
    <t>[Murray, Kate E.; Linke, Sarah; Kerr, Jacqueline; Marcus, Bess H.] Univ Calif San Diego, Dept Family Med &amp; Publ Hlth, San Diego, CA 92093 USA; [Murray, Kate E.] Queensland Univ Technol, Sch Psychol &amp; Counselling, QUT Kelvin Grove Campus,GPO,Box 2434, Brisbane, Qld 4001, Australia; [Ermias, Azieb] Hlth Management Acad, Alexandria, VA USA; [Lung, Amber] Clinton Hlth Access Initiat, Boston, MA USA; [Mohamed, Amina Sheik] Univ Calif San Diego, Dept Pediat, San Diego, CA USA; [Ellis, B. Heidi] Boston Childrens Hosp, Boston, MA USA; [Ellis, B. Heidi] Harvard Med Sch, Boston, MA USA; [Bowen, Deborah J.] Univ Washington, Sch Publ Hlth, Seattle, WA 98195 USA</t>
  </si>
  <si>
    <t>Murray, KE (corresponding author), Univ Calif San Diego, Dept Family Med &amp; Publ Hlth, San Diego, CA 92093 USA.; Murray, KE (corresponding author), Queensland Univ Technol, Sch Psychol &amp; Counselling, QUT Kelvin Grove Campus,GPO,Box 2434, Brisbane, Qld 4001, Australia.</t>
  </si>
  <si>
    <t>Kate.Murray@qut.edu.au</t>
  </si>
  <si>
    <t>American Cancer SocietyAmerican Cancer Society [MRSG-13-06901-CPPB]; National Institutes of Health (NIH)United States Department of Health &amp; Human ServicesNational Institutes of Health (NIH) - USA [UL1TR000100]; NATIONAL CENTER FOR ADVANCING TRANSLATIONAL SCIENCESUnited States Department of Health &amp; Human ServicesNational Institutes of Health (NIH) - USANIH National Center for Advancing Translational Sciences (NCATS) [UL1TR000100] Funding Source: NIH RePORTER</t>
  </si>
  <si>
    <t>This project was supported in part by MRSG-13-06901-CPPB from the American Cancer Society and by the National Institutes of Health (NIH) grant UL1TR000100. The content is solely the responsibility of the authors and does not necessarily represent the official views of the NIH or ACS. We would also like to thank Drs. Alan Shahtaji and Amy Leu for their support of the project.</t>
  </si>
  <si>
    <t>OXFORD UNIV PRESS</t>
  </si>
  <si>
    <t>GREAT CLARENDON ST, OXFORD OX2 6DP, ENGLAND</t>
  </si>
  <si>
    <t>1869-6716</t>
  </si>
  <si>
    <t>1613-9860</t>
  </si>
  <si>
    <t>TRANSL BEHAV MED</t>
  </si>
  <si>
    <t>Transl. Behav. Med.</t>
  </si>
  <si>
    <t>10.1007/s13142-016-0436-2</t>
  </si>
  <si>
    <t>ES5YR</t>
  </si>
  <si>
    <t>WOS:000399622700002</t>
  </si>
  <si>
    <t>Reif, JAM; Spiess, E; Berger, R</t>
  </si>
  <si>
    <t>Reif, Julia A. M.; Spiess, Erika; Berger, Rita</t>
  </si>
  <si>
    <t>A theoretical Model of the Integration of Migrant Workers in Organizations</t>
  </si>
  <si>
    <t>GIO-GRUPPE-INTERAKTION-ORGANISATION-ZEITSCHRIFT FUER ANGEWANDTE ORGANISATIONSPSYCHOLOGIE</t>
  </si>
  <si>
    <t>Migration; Work-related migration; Acculturation; Organizational socialization; Stress; Coping</t>
  </si>
  <si>
    <t>NEWCOMER SOCIALIZATION; ACCULTURATION; ADJUSTMENT; TACTICS; STRESS; ENTRY; ANTECEDENTS; NEGOTIATION; OUTCOMES; ABILITY</t>
  </si>
  <si>
    <t>This article in the journal Gruppe. Organisation. Interaktion. (GIO) portraits a model of organizational acculturation that describes the emergence of acculturative and socialization stressors upon the encounter of different cultures when migrant workers enter organizations, while taking into account the perspective of persons already employed in those organizations. This model combines approaches of acculturation and socialization research. Intrapersonal (cyclic interplay of information, uncertainty reduction and learning) and interpersonal (voice, participation, empowerment and social support) coping-processes lead to successful adaptation of work migrants. In turn, successful adaptation has positive effects on further work-related outcomes. The model takes account of the fact that due to the additional challenge of having to adapt to a new culture, organizational socialization of work migrants proceeds in a more complex fashion. The model provides starting points for future research and practical applications.</t>
  </si>
  <si>
    <t>[Reif, Julia A. M.; Spiess, Erika] Ludwig Maximilians Univ Munchen, Lehrstuhl Wirtschafts &amp; Org Psychol, Dept Psychol, Leopoldstr 13, D-80802 Munich, Germany; [Berger, Rita] Univ Barcelona, Fak Psychol, Abt Sozialpsychol &amp; Quantitat Psychol, Passeig Vall dHebron 171, E-08035 Barcelona, Spain</t>
  </si>
  <si>
    <t>Reif, JAM (corresponding author), Ludwig Maximilians Univ Munchen, Lehrstuhl Wirtschafts &amp; Org Psychol, Dept Psychol, Leopoldstr 13, D-80802 Munich, Germany.</t>
  </si>
  <si>
    <t>Julia.reif@psy.lmu.de</t>
  </si>
  <si>
    <t>SPRINGER VIEWEG-SPRINGER FACHMEDIEN WIESBADEN GMBH</t>
  </si>
  <si>
    <t>ABRAHAM-LINCOLN STASSE 46, WIESBADEN, 65189, GERMANY</t>
  </si>
  <si>
    <t>2366-6145</t>
  </si>
  <si>
    <t>2366-6218</t>
  </si>
  <si>
    <t>GIO-GRUP-INTERAKT-OR</t>
  </si>
  <si>
    <t>GIO-Grup.-Interakt.-Organ.-Z. Angew. Organ.</t>
  </si>
  <si>
    <t>10.1007/s11612-017-0355-9</t>
  </si>
  <si>
    <t>Psychology, Social</t>
  </si>
  <si>
    <t>GQ9YP</t>
  </si>
  <si>
    <t>WOS:000442161100007</t>
  </si>
  <si>
    <t>Redclift, V; Rajina, F</t>
  </si>
  <si>
    <t>Redclift, Victoria; Rajina, Fatima</t>
  </si>
  <si>
    <t>Rethinking Muslim migration: frameworks, flux and fragmentation</t>
  </si>
  <si>
    <t>Migration; diaspora; the nation-state; South Asia; Islamophobia; assimilation</t>
  </si>
  <si>
    <t>In the wake of the San Bernardino and Orlando shootings, as well as the Paris and Brussels attacks, and in the midst of the right wing populism of US. presidential campaigns and UK referendum debates, the political rhetoric around Muslim migration has sunk to an all-time low. The Bengal Diaspora provides a much needed antidote. By studying Muslim migration across continents the book provides insights into a global climate of Islamophobia, and it challenges us to think critically about migration theory's universalizing logic. In this review essay, we will focus on the three areas of study in which the book makes the most striking intervention, as well as three questions left unanswered or posed for future work.</t>
  </si>
  <si>
    <t>[Redclift, Victoria] Univ Surrey, Dept Sociol, Guildford, Surrey, England; [Rajina, Fatima] SOAS Univ London, Dept Languages &amp; Cultures Near &amp; Middle East, London, England</t>
  </si>
  <si>
    <t>Redclift, V (corresponding author), Univ Surrey, Dept Sociol, Guildford, Surrey, England.</t>
  </si>
  <si>
    <t>v.redclift@surrey.ac.uk</t>
  </si>
  <si>
    <t>Redclift, Victoria/O-5323-2019</t>
  </si>
  <si>
    <t>Redclift, Victoria/0000-0002-8204-2153</t>
  </si>
  <si>
    <t>ESRCUK Research &amp; Innovation (UKRI)Economic &amp; Social Research Council (ESRC) [ES/N000986/1]; Leverhulme TrustLeverhulme Trust [PLP-2014-221]; Economic and Social Research CouncilUK Research &amp; Innovation (UKRI)Economic &amp; Social Research Council (ESRC) [ES/N000986/1] Funding Source: researchfish</t>
  </si>
  <si>
    <t>This work was supported by the ESRC [grant number ES/N000986/1] and by the Leverhulme Trust [grant number PLP-2014-221].</t>
  </si>
  <si>
    <t>10.1080/01419870.2017.1249494</t>
  </si>
  <si>
    <t>EJ4QH</t>
  </si>
  <si>
    <t>WOS:000393201400009</t>
  </si>
  <si>
    <t>Cano, EV; Marquez, EF; Meneses, EL</t>
  </si>
  <si>
    <t>Vazquez Cano, Esteban; Fernandez Marquez, Esther; Lopez Meneses, Eloy</t>
  </si>
  <si>
    <t>The areas of intervention of social education professionals. A study with multimedia conceptual maps</t>
  </si>
  <si>
    <t>REVISTA LATINOAMERICANA DE TECNOLOGIA EDUCATIVA-RELATEC</t>
  </si>
  <si>
    <t>Higher Education; Pedagogical Innovation; Social Education; Classifcation scheme; Social Sciences</t>
  </si>
  <si>
    <t>This article presents a diachronic study in which the conceptions of university students on the specifc areas of Social Education through the elaboration of collaborative multimedia concept maps are analyzed. The sample consists of 321 students belonging to the Social Education and Dual Degree Social Education and Social Work Degree courses of the Universidad Pablo de Olavide, during the academic years 2014/15, 2015/16 and 2016/17. Through a qualitative methodology, through virtual ethnography and quantitative techniques with the use of questionnaires, we analyzed the intervention areas in Social Education and the most signifcant results were the following: drug addiction (16%), people with disabilities and mental health problems (13%), elderly (13%), and childhood (9%). Other areas that students have identifed as being specifc to Social Education are: immigration and adults (7%), adolescence (6%), gender violence (5%), socio-community care (4%), sociocultural animation and labor integration 3%), as well as judicial measures, social integration and exclusion (2%), homelessness, child violence, family mediation, education, street education, interculturality, or child violence (1%). In order to point out these concepts, multimedia conceptual maps have been elaborated which show fundamentaly through a vertical hierarchical arrangement.</t>
  </si>
  <si>
    <t>[Vazquez Cano, Esteban] Fac Educ UNED, Dept Didactica Org Escolar &amp; Didact Especiales, C Juan Rosal 14, Madrid 28040, Spain; [Fernandez Marquez, Esther; Lopez Meneses, Eloy] Univ Pablo Olavide, Fac Ciencias Sociales, Dept Educ &amp; Psicol Social, Ctra Utrera 1, Seville 41013, Spain</t>
  </si>
  <si>
    <t>Cano, EV (corresponding author), Fac Educ UNED, Dept Didactica Org Escolar &amp; Didact Especiales, C Juan Rosal 14, Madrid 28040, Spain.</t>
  </si>
  <si>
    <t>evazquez@edu.uned.es; estfdez@gmail.com; elopmen@upo.es</t>
  </si>
  <si>
    <t>Vazquez-Cano, Esteban/K-5424-2014; Lopez-Meneses, E./G-1307-2011</t>
  </si>
  <si>
    <t>Vazquez-Cano, Esteban/0000-0002-6694-7948; Lopez-Meneses, E./0000-0003-0741-5367</t>
  </si>
  <si>
    <t>UNIV EXTREMADURA, FAC EDUCACION</t>
  </si>
  <si>
    <t>BADAJOZ</t>
  </si>
  <si>
    <t>AV ELVAS S-N, BADAJOZ, 06071, SPAIN</t>
  </si>
  <si>
    <t>1695-288X</t>
  </si>
  <si>
    <t>REV LATINOAM TECNOL</t>
  </si>
  <si>
    <t>Rev. Latinoam. Tecnol. Educ.-RELATEC</t>
  </si>
  <si>
    <t>10.17398/1695-288X.16.2.205</t>
  </si>
  <si>
    <t>FS3JA</t>
  </si>
  <si>
    <t>WOS:000419676000014</t>
  </si>
  <si>
    <t>Mandavia, A; Huang, D; Wong, J; Ruiz, B; Crump, F; Shen, J; Martinez, M; Botcheva, L; Vega, E; Chu, J; Lewis, S; Yang, LH</t>
  </si>
  <si>
    <t>Mandavia, Amar; Huang, Debbie; Wong, Jeffrey; Ruiz, Bernalyn; Crump, Francesca; Shen, Jenny; Martinez, Monica; Botcheva, Luba; Vega, Eduardo; Chu, Joyce; Lewis, Sara; Yang, Lawrence H.</t>
  </si>
  <si>
    <t>Violating Clan and Kinship Roles as Risk Factors for Suicide and Stigma among Lao Refugees: An Application of the Cultural Model of Suicide and What Matters Most Frameworks</t>
  </si>
  <si>
    <t>ISRAEL JOURNAL OF PSYCHIATRY AND RELATED SCIENCES</t>
  </si>
  <si>
    <t>AMERICAN-COLLEGE STUDENTS; ASIAN-AMERICANS; HELP-SEEKING; HMONG; IDEATION; ACCULTURATION; ADJUSTMENT; DEPRESSION; YOUTH; LIFE</t>
  </si>
  <si>
    <t>Background: While Asian groups have immigrated worldwide, suicide risk models have neglected to integrate cultural components. This study incorporates how stigma associated with failure to uphold clan/kinship roles can increase suicide risk in highly-marginalized Lao-Americans. Methods: One focus group with five Lao participants and 21 individual semi-structured interviews with community family members were conducted. Transcripts were coded via directed content analysis using the What Matters Most and Cultural Theory of Suicide frameworks. Results: Violating role-expectations associated with youth, adults and older adults appears to be associated with risk for suicide. This suggests that the failure of adults to fulfill their roles might potentially threaten loss of full personhood and trigger stigma, thus potentially evoking greater suicide risk. Conclusion: Interventions would benefit from cultural considerations of fulfilling role-expectations and personhood to combat suicide and stigma within cultural communities.</t>
  </si>
  <si>
    <t>[Mandavia, Amar; Wong, Jeffrey; Ruiz, Bernalyn; Crump, Francesca; Shen, Jenny] Columbia Univ, Teachers Coll, Dept Counseling &amp; Clin Psychol, New York, NY 10027 USA; [Huang, Debbie; Yang, Lawrence H.] Columbia Univ, Dept Epidemiol, Mailman Sch Publ Hlth, New York, NY USA; [Chu, Joyce] Palo Alto Univ, Dept Psychol, Palo Alto, CA 94304 USA; [Martinez, Monica; Botcheva, Luba; Vega, Eduardo] Mental Hlth Assoc San Francisco, San Francisco, CA USA; [Lewis, Sara] Wellesley Coll, Dept Relig, Wellesley, MA 02181 USA; [Yang, Lawrence H.] NYU, Dept Social &amp; Behav Sci, 41 East 11th St, New York, NY 10003 USA</t>
  </si>
  <si>
    <t>Yang, LH (corresponding author), NYU, Dept Social &amp; Behav Sci, 41 East 11th St, New York, NY 10003 USA.</t>
  </si>
  <si>
    <t>lawrence.yang@nyu.edu</t>
  </si>
  <si>
    <t>Yang, Lawrence H/A-6386-2012</t>
  </si>
  <si>
    <t>CalMHSA Stigma and Discrimination Reduction Program: The Promising Practices Project: Idioms Project [3]</t>
  </si>
  <si>
    <t>This research was made possible by the generous help of CalMHSA Stigma and Discrimination Reduction Program Number 3: The Promising Practices Project: Idioms Project.</t>
  </si>
  <si>
    <t>MEDIAFARM GROUP</t>
  </si>
  <si>
    <t>TEL-AVIV</t>
  </si>
  <si>
    <t>23 ZAMENHOFF ST, TEL-AVIV, 64373, ISRAEL</t>
  </si>
  <si>
    <t>0333-7308</t>
  </si>
  <si>
    <t>ISR J PSYCHIATR REL</t>
  </si>
  <si>
    <t>Isr. J. Psychiatr. Relat. Sci.</t>
  </si>
  <si>
    <t>FN2PO</t>
  </si>
  <si>
    <t>WOS:000415836000006</t>
  </si>
  <si>
    <t>Martinez, BC</t>
  </si>
  <si>
    <t>Martinez, Brandon C.</t>
  </si>
  <si>
    <t>General Strain Theory, Religiosity, and Delinquency among Young Latino Americans</t>
  </si>
  <si>
    <t>SEGMENTED ASSIMILATION; STEREOTYPE CONTENT; UNITED-STATES; RACE; ETHNICITY; 2ND-GENERATION; IMMIGRATION; OUTGROUP; DRINKING; BEHAVIOR</t>
  </si>
  <si>
    <t>Utilizing general strain theory and drawing from contemporary racial stratification literature and the sociology of religion, I contend general strain theory is salient among young Latinos. Additionally, I hypothesize religiosity is negatively correlated with delinquency, and attenuates the effects of strain on negative emotions and those of negative emotions on delinquency. Moreover, I hypothesize the impact of religiosity is more salient for foreign born than native born Latino youth. I test these hypotheses using data from the first two waves of Add Health. Results generally provide support for my hypotheses. The implications of these results and directions for future studies are discussed.</t>
  </si>
  <si>
    <t>[Martinez, Brandon C.] Providence Coll, Sociol, Providence, RI 02918 USA</t>
  </si>
  <si>
    <t>Martinez, BC (corresponding author), Providence Coll, Dept Sociol, 1 Cunningham Sq, Providence, RI 02918 USA.</t>
  </si>
  <si>
    <t>bmartine@providence.edu</t>
  </si>
  <si>
    <t>10.1080/01639625.2016.1246031</t>
  </si>
  <si>
    <t>FK7SP</t>
  </si>
  <si>
    <t>WOS:000413707800001</t>
  </si>
  <si>
    <t>Lee, KJ; Stodolska, M</t>
  </si>
  <si>
    <t>Lee, Kangjae Jerry; Stodolska, Monika</t>
  </si>
  <si>
    <t>Asian North Americans' Leisure: A Critical Examination of the Theoretical Frameworks Used in Research and Suggestions for Future Study</t>
  </si>
  <si>
    <t>LEISURE SCIENCES</t>
  </si>
  <si>
    <t>Asian North American; Asian immigration; leisure; theoretical framework</t>
  </si>
  <si>
    <t>HIERARCHY-STRATIFICATION-PERSPECTIVE; CHINESE-CANADIAN IMMIGRANTS; UNITED-STATES; SELF-ESTEEM; SEGMENTED ASSIMILATION; ACCULTURATIVE STRESS; INTRINSIC MOTIVATION; OUTDOOR RECREATION; KOREAN IMMIGRANTS; PHYSICAL-ACTIVITY</t>
  </si>
  <si>
    <t>The aim of this study was to critically examine the theoretical frameworks employed in the existing research on Asian North Americans' leisure and to offer insights into additional theories that might be used in future research on the topic. The study reviewed three major theoretical frameworks employed by previous research in the field of leisure studies: (1) assimilation and acculturation theory, (2) ethnicity-based theories, and (3) self-construal. The study also provides recommendations for alternative theoretical approaches that could be used in investigations of Asian North Americans' leisure, including racial discrimination and stereotyping, the multiple hierarchy stratification perspective, transnationalism, and cultural and social capital.</t>
  </si>
  <si>
    <t>[Lee, Kangjae Jerry] Univ Missouri, Dept Pk Recreat &amp; Tourism, Columbia, MO USA; [Stodolska, Monika] Univ Illinois, Dept Recreat Sport &amp; Tourism, Champaign, IL USA</t>
  </si>
  <si>
    <t>Lee, KJ (corresponding author), Univ Missouri, Pk Recreat &amp; Tourism, 105C Anheuser Busch Nat Resources Bldg, Columbia, MO 65211 USA.</t>
  </si>
  <si>
    <t>leekj@missouri.edu</t>
  </si>
  <si>
    <t>Lee, KangJae/0000-0002-5327-3235</t>
  </si>
  <si>
    <t>0149-0400</t>
  </si>
  <si>
    <t>1521-0588</t>
  </si>
  <si>
    <t>LEISURE SCI</t>
  </si>
  <si>
    <t>Leis. Sci.</t>
  </si>
  <si>
    <t>10.1080/01490400.2016.1215944</t>
  </si>
  <si>
    <t>Hospitality, Leisure, Sport &amp; Tourism; Sociology</t>
  </si>
  <si>
    <t>Social Sciences - Other Topics; Sociology</t>
  </si>
  <si>
    <t>FH1JG</t>
  </si>
  <si>
    <t>WOS:000410895700004</t>
  </si>
  <si>
    <t>Radwan, M; Sari, AA; Rashidian, A; Takian, A; Abou-Dagga, S; Elsous, A</t>
  </si>
  <si>
    <t>Radwan, Mahmoud; Sari, Ali Akbari; Rashidian, Arash; Takian, Amirhossein; Abou-Dagga, Sanaa; Elsous, Aymen</t>
  </si>
  <si>
    <t>Influence of organizational culture on provider adherence to the diabetic clinical practice guideline: using the competing values framework in Palestinian Primary Healthcare Centers</t>
  </si>
  <si>
    <t>INTERNATIONAL JOURNAL OF GENERAL MEDICINE</t>
  </si>
  <si>
    <t>organizational culture; clinical practice guideline; adherence; diabetes mellitus; competing values framework</t>
  </si>
  <si>
    <t>TOTAL-QUALITY-MANAGEMENT; IMPLEMENTATION; SATISFACTION; IMPROVEMENT; OUTCOMES; CLIMATE; IMPACT</t>
  </si>
  <si>
    <t>Background: Diabetes mellitus (DM) is a serious chronic disease and an important public health issue. This study aimed to identify the predominant culture within the Palestinian Primary Healthcare Centers of the Ministry of Health (PHC-MoH) and the Primary Healthcare Centers of the United Nations Relief and Works Agency for Palestine Refugees (PHC-UNRWA) by using the competing values framework (CVF) and examining its influence on the adherence to the Clinical Practice Guideline (CPG) for DM. Methods: A cross-sectional design was employed with a census sample of all the Palestinian family doctors and nurses (n= 323) who work within 71 PHC clinic. A cross-cultural adaptation framework was followed to develop the Arabic version of the CVF questionnaire. Results: The overall adherence level to the diabetic guideline was disappointingly suboptimal (51.5%, p&lt; 0.001; 47.3% in the PHC-MoH and 55.5% in the PHC-UNRWA). In the PHC-MoH, the clan/group culture was the most predominant (mean = 41.13; standard deviation [SD] = 8.92), followed by hierarchical (mean = 33.14; SD= 5.96), while in the PHC-UNRWA, hierarchical was the prevailing culture (mean = 48.43; SD = 12.51), followed by clan/group (mean = 29.73; SD = 8.37). Although a positively significant association between the adherence to CPG and the rational culture and a negatively significant association with the developmental archetype were detected in the PHC-MoH, no significant associations were found in the PHC-UNRWA. Conclusion: Our study demonstrates that the organizational culture has a marginal influence on the adherence to the diabetic guideline. Future research should preferably mix quantitative and qualitative approaches and explore the use of more sensitive instruments to measure such a complex construct and its effects on guideline adherence in small-sized clinics.</t>
  </si>
  <si>
    <t>[Radwan, Mahmoud; Sari, Ali Akbari; Rashidian, Arash; Takian, Amirhossein; Elsous, Aymen] Univ Tehran Med Sci, Sch Publ Hlth, Dept Hlth Management &amp; Econ, Int Campus,Box 6446, Tehran 14155, Iran; [Abou-Dagga, Sanaa] Islamic Univ Gaza, Dept Res Affairs &amp; Grad Studies, Gaza Strip, Palestine</t>
  </si>
  <si>
    <t>Radwan, M (corresponding author), Univ Tehran Med Sci, Sch Publ Hlth, Dept Hlth Management &amp; Econ, Int Campus,Box 6446, Tehran 14155, Iran.</t>
  </si>
  <si>
    <t>mradwan78@hotmail.com</t>
  </si>
  <si>
    <t>Elsous, Aymen/0000-0002-5454-6012</t>
  </si>
  <si>
    <t>DOVE MEDICAL PRESS LTD</t>
  </si>
  <si>
    <t>ALBANY</t>
  </si>
  <si>
    <t>PO BOX 300-008, ALBANY, AUCKLAND 0752, NEW ZEALAND</t>
  </si>
  <si>
    <t>1178-7074</t>
  </si>
  <si>
    <t>INT J GEN MED</t>
  </si>
  <si>
    <t>Int. J. Gen. Med.</t>
  </si>
  <si>
    <t>10.2147/IJGM.S140140</t>
  </si>
  <si>
    <t>FD7YV</t>
  </si>
  <si>
    <t>WOS:000407743000001</t>
  </si>
  <si>
    <t>Pham, AV; Goforth, AN; Chun, H; Castro-Olivo, S; Costa, A</t>
  </si>
  <si>
    <t>Pham, Andy V.; Goforth, Anisa N.; Chun, Heejung; Castro-Olivo, Sara; Costa, Annela</t>
  </si>
  <si>
    <t>Acculturation and Help-Seeking Behavior in Consultation: A Sociocultural Framework for Mental Health Service</t>
  </si>
  <si>
    <t>JOURNAL OF EDUCATIONAL AND PSYCHOLOGICAL CONSULTATION</t>
  </si>
  <si>
    <t>GAP-DISTRESS MODEL; IMMIGRANT ADOLESCENTS; MULTICULTURAL ISSUES; INTEGRATIVE MODEL; PARENTAL BELIEFS; STRESS; CHILD; AMERICAN; STIGMA; ACHIEVEMENT</t>
  </si>
  <si>
    <t>Many immigrant and ethnic minority families demonstrate reluctance to pursue or utilize mental health services in community-based and clinical settings, which often leads to poorer quality of care for children and greater likelihood of early termination. Cultural variations in help-seeking behavior and acculturation are likely to influence consultation participation and process for mental health services. Thus, examining sociocultural context of the consultants, consultees, and clients is critical to the success of multicultural consultation and outcomes. The purpose of the article is to (a) address processes and barriers when engaging in multicultural consultation in community-based and clinical settings, (b) outline the sociocultural context in relation to parent help-seeking behavior, and (c) discuss the effect of acculturation and related sociocultural factors in the participation and process of consultation.</t>
  </si>
  <si>
    <t>[Pham, Andy V.] Florida Int Univ, Sch Psychol, Miami, FL 33199 USA; [Costa, Annela] Florida Int Univ, Except Student Educ Program, Miami, FL 33199 USA; [Goforth, Anisa N.] Univ Montana, Sch Psychol Grad Training Programs, Missoula, MT 59812 USA; [Chun, Heejung] New Mexico State Univ, Counseling &amp; Educ Psychol, Las Cruces, NM 88003 USA; [Castro-Olivo, Sara] Texas A&amp;M Univ, Educ Psychol, College Stn, TX 77843 USA</t>
  </si>
  <si>
    <t>Pham, AV (corresponding author), Florida Int Univ, Leadership &amp; Profess Studies, 11200 SW 8th St, Miami, FL 33199 USA.</t>
  </si>
  <si>
    <t>avpham@fiu.edu</t>
  </si>
  <si>
    <t>Pham, Andy/0000-0003-1727-5054; Castro-Olivo, Sara/0000-0002-8304-1275; Goforth, Anisa/0000-0003-0745-6206</t>
  </si>
  <si>
    <t>1047-4412</t>
  </si>
  <si>
    <t>1532-768X</t>
  </si>
  <si>
    <t>J EDUC PSYCHOL CONS</t>
  </si>
  <si>
    <t>J. Educ. Psychol. Consult.</t>
  </si>
  <si>
    <t>10.1080/10474412.2017.1287574</t>
  </si>
  <si>
    <t>Psychology, Educational</t>
  </si>
  <si>
    <t>FD5LZ</t>
  </si>
  <si>
    <t>WOS:000407573200003</t>
  </si>
  <si>
    <t>Croucher, SM; Kramer, E</t>
  </si>
  <si>
    <t>Croucher, Stephen M.; Kramer, Eric</t>
  </si>
  <si>
    <t>Cultural fusion theory: An alternative to acculturation</t>
  </si>
  <si>
    <t>Cultural fusion; cultural adaptation; immigration; acculturation; theory</t>
  </si>
  <si>
    <t>KOREAN IMMIGRANTS; ADAPTATION; STRESS; MULTICULTURALISM; ADJUSTMENT; PREJUDICE; MEDIA</t>
  </si>
  <si>
    <t>This article lays out a theoretical framework for cultural fusion theory. This theory borrows from various theoretical frameworks to provide a more realistic description of the immigrant experience. Specifically, cultural fusion theory describes how newcomers acculturate into the dominant culture and maintain aspects of their minority culture, while at the same time the dominant or host culture also fuses aspects off the newcomer's culture into the dominant culture to create a fused intercultural identity. Boundary conditions, assumptions, axioms, and theorems are presented to define cultural fusion theory.</t>
  </si>
  <si>
    <t>[Croucher, Stephen M.] Univ Jyvaskyla, Dept Commun, Jyvaskyla, Finland; [Kramer, Eric] Univ Oklahoma, Dept Commun, Norman, OK 73019 USA</t>
  </si>
  <si>
    <t>Croucher, SM (corresponding author), Univ Jyvaskyla, Dept Commun, Jyvaskyla, Finland.</t>
  </si>
  <si>
    <t>stephen.m.croucher@jyu.fi</t>
  </si>
  <si>
    <t>Croucher, Stephen/AAM-6923-2020</t>
  </si>
  <si>
    <t>Croucher, Stephen/0000-0002-7087-2547</t>
  </si>
  <si>
    <t>10.1080/17513057.2016.1229498</t>
  </si>
  <si>
    <t>FB1KT</t>
  </si>
  <si>
    <t>WOS:000405903000001</t>
  </si>
  <si>
    <t>Morton, C; Galindo, S; Morera, M; Dodoo, N; Gonzalez, C; Wu, LW; Fundingsland, S; Auguste, K; Headrick, L; Monaghan, P; Shelnutt, K</t>
  </si>
  <si>
    <t>Morton, Cynthia; Galindo, Sebastian; Morera, Maria; Dodoo, Naa; Gonzalez, Cristobal; Wu, Linwan; Fundingsland, Suzanne; Auguste, Kendra; Headrick, Lauren; Monaghan, Paul; Shelnutt, Karla</t>
  </si>
  <si>
    <t>Listening to Immokalee moms How stages of change theory guided the discovery of healthy eating messages to Latino mothers</t>
  </si>
  <si>
    <t>INTERNATIONAL JOURNAL OF PHARMACEUTICAL AND HEALTHCARE MARKETING</t>
  </si>
  <si>
    <t>Health communication; Farmworker communities; Latino health; Stages of change</t>
  </si>
  <si>
    <t>PHYSICAL-ACTIVITY; DIETARY QUALITY; SOCIAL SUPPORT; US SICK; ACCULTURATION; INTERVENTIONS; MODEL; FRUIT; MAINTENANCE; IMMIGRANTS</t>
  </si>
  <si>
    <t>Purpose - The purpose of this paper is to present a case study of the research steps taken to identify message directions for a community-wide health communication campaign aimed at supporting healthier eating behaviors among Latino farmworker families in the Immokalee community in Florida. Latino mothers were targeted to understand their beliefs about children's healthy eating needs and identify communication campaign opportunities that would reinforce choices made in the home, surrounding meal planning, food selection and preparation and portion sizes. Design/methodology/approach - A sequential mixed-methods approach using focus group, group interview and qualitative message concept testing was used in three distinct stages of research exploration. An independent sample was recruited at each stage through convenience sampling and snowball sampling methods. The stages of change theory provided a framework for research inquiry in the context of healthy eating- at- home practices. Findings - In general, mothers were aware and participatory in the effort to serve healthy meals for their children at home. The time and money associated with buying nutritious foods and cooking healthy meals daily was stressful, but they were receptive to communication efforts to help them maintain their commitment to give their children healthy foods. These findings provided directional opportunities for the discovery and implementation of health communication strategies. Test results found that the target was most receptive to message strategies that acknowledged the responsibility of both parents to model healthy eating practices to children. Research limitations/implications - Recruiting resulted in small sample sizes at each stage of the investigation. The reliability of quantitative measurement was a limitation to the research conclusions. Practical implications - Partnership with the audience from discovery to conceptualization resulted in messages that uniquely resonated with the audience for which they were aimed. Understanding about the target stage of readiness improves message effectiveness to the target group. Social implications - Health communication campaigns planned and developed with the target audience at its center will generate message strategies that effectively address issues of greatest relevance to those communication agents that seek to change. Originality/value - The study provides a unique exploration of the steps that health communication agents should pursue to establish a thorough profile of their target audience and the issues that resonate when considering healthy eating behavior at home. The application of the stages of the change model encouraged the discovery of issues surrounding the challenge and highlighted potential obstacles that would mitigate the behavior change efforts.</t>
  </si>
  <si>
    <t>[Morton, Cynthia; Dodoo, Naa; Wu, Linwan] Univ Florida, Dept Advertising, Gainesville, FL 32611 USA; [Galindo, Sebastian; Morera, Maria; Gonzalez, Cristobal; Monaghan, Paul] Univ Florida, Dept Agr Educ &amp; Commun, Gainesville, FL USA; [Fundingsland, Suzanne; Auguste, Kendra; Headrick, Lauren] Univ Florida, Family Nutr Program, Gainesville, FL USA; [Shelnutt, Karla] Univ Florida, Dept Family Youth &amp; Community Serv, Gainesville, FL USA</t>
  </si>
  <si>
    <t>Morton, C (corresponding author), Univ Florida, Dept Advertising, Gainesville, FL 32611 USA.</t>
  </si>
  <si>
    <t>cmorton@ufl.edu</t>
  </si>
  <si>
    <t>Morera, Maria/0000-0002-4251-5761; Shelnutt, Karla/0000-0002-3799-9212</t>
  </si>
  <si>
    <t>US Department of Health and Human Services; Florida Department of Children and Families</t>
  </si>
  <si>
    <t>The authors would like to express their sincere gratitude to the US Department of Health and Human Services and Florida Department of Children and Families for funding for this research; the UF/IFAS Family Nutrition Program staff assistants at the Collier Extension Office in Naples, FL; Dr Javier Rosado and the staff at the Florida State University College of Medicine Health Education Clinic in Immokalee, FL; the Immokalee Interagency Council; and Stella Harbilas, Communications Coordinator for the University of Florida Family Nutrition Program in Gainesville, FL.</t>
  </si>
  <si>
    <t>1750-6123</t>
  </si>
  <si>
    <t>1750-6131</t>
  </si>
  <si>
    <t>INT J PHARM HEALTHC</t>
  </si>
  <si>
    <t>Int. J. Pharm. Healthc. Mark.</t>
  </si>
  <si>
    <t>10.1108/IJPHM-12-2016-0064</t>
  </si>
  <si>
    <t>Health Policy &amp; Services</t>
  </si>
  <si>
    <t>Health Care Sciences &amp; Services</t>
  </si>
  <si>
    <t>EY6WD</t>
  </si>
  <si>
    <t>WOS:000404123600004</t>
  </si>
  <si>
    <t>Guo, SB; Maitra, S</t>
  </si>
  <si>
    <t>Guo, Shibao; Maitra, Srabani</t>
  </si>
  <si>
    <t>Revisioning curriculum in the age of transnational mobility: Towards a transnational and transcultural framework</t>
  </si>
  <si>
    <t>CURRICULUM INQUIRY</t>
  </si>
  <si>
    <t>Transnational mobility; transnationalism; transculturalism; migration; curriculum studies</t>
  </si>
  <si>
    <t>POLITICS; WORLD</t>
  </si>
  <si>
    <t>Under the new mobilities paradigm, migration is conceptualized as circulatory and transnational, moving us beyond the framework of methodological nationalism. Transnational mobility has called into question dominant notions of migrant acculturation or assimilation. Migrants no longer feel obligated to remain tied to or locatable in a given, unitary culture. Rather, they are becoming embedded within a shifting field of increasingly transcultural identities. While migrants are becoming more transnational and adopting fluid, transcultural identities, there is a lack of focus and engagement with transnationalism as well as transculturalism in the official Canadian public school curricula. As scholars contend, Canadian school curricula are still based on Eurocentric, homogenizing, nationalistic discourses that tend to normalize values, norms, and behaviours that are perceived as different from the dominant norm. In response to the limitations of Canadian official curricula, as noted by various scholars who have examined curriculum documents, this essay proposes a revision of Canadian curricula in the context of transnational mobility with the aim of developing an approach that would integrate transnational and transcultural perspectives into the existing system. The article thus proposes a transnational and transcultural framework as an alternative to build a more ethical and inclusive school curriculum in Canada.</t>
  </si>
  <si>
    <t>[Guo, Shibao; Maitra, Srabani] Univ Calgary, Werklund Sch Educ, Calgary, AB, Canada</t>
  </si>
  <si>
    <t>Guo, SB (corresponding author), Univ Calgary, Werklund Sch Educ, Calgary, AB, Canada.</t>
  </si>
  <si>
    <t>guos@ucalgary.ca</t>
  </si>
  <si>
    <t>Guo, Shibao/0000-0001-6551-5468</t>
  </si>
  <si>
    <t>TAYLOR &amp; FRANCIS LTD</t>
  </si>
  <si>
    <t>2-4 PARK SQUARE, MILTON PARK, ABINGDON OR14 4RN, OXON, ENGLAND</t>
  </si>
  <si>
    <t>0362-6784</t>
  </si>
  <si>
    <t>1467-873X</t>
  </si>
  <si>
    <t>CURRICULUM INQ</t>
  </si>
  <si>
    <t>Curric. Inq.</t>
  </si>
  <si>
    <t>10.1080/03626784.2016.1254504</t>
  </si>
  <si>
    <t>EO2SJ</t>
  </si>
  <si>
    <t>WOS:000396545900008</t>
  </si>
  <si>
    <t>Goforth, AN; Pham, AV; Chun, H; Castro-Olivo, S</t>
  </si>
  <si>
    <t>Goforth, Anisa N.; Pham, Andy V.; Chun, Heejung; Castro-Olivo, Sara</t>
  </si>
  <si>
    <t>Acculturation and Sociocultural Factors in Children's Mental Health Services: Applying Multicultural Consultation Frameworks</t>
  </si>
  <si>
    <t>Editorial Material</t>
  </si>
  <si>
    <t>IMMIGRANT YOUTH; ADOLESCENTS; SYMPTOMS; BEHAVIOR; IDENTITY; MODEL</t>
  </si>
  <si>
    <t>[Goforth, Anisa N.] Univ Montana, Sch Psychol Grad Training Programs, Missoula, MT 59812 USA; [Pham, Andy V.] Florida Int Univ, Sch Psychol, Miami, FL 33199 USA; [Chun, Heejung] New Mexico State Univ, Counseling &amp; Educ Psychol, Las Cruces, NM 88003 USA; [Castro-Olivo, Sara] Texas A&amp;M Univ, Educ Psychol, College Stn, TX 77843 USA</t>
  </si>
  <si>
    <t>Goforth, AN (corresponding author), Univ Montana, 32 Campus Dr, Missoula, MT 59812 USA.</t>
  </si>
  <si>
    <t>anisa.goforth@umontana.edu</t>
  </si>
  <si>
    <t>10.1080/10474412.2016.1275650</t>
  </si>
  <si>
    <t>WOS:000407573200001</t>
  </si>
  <si>
    <t>Lorenzo-Blanco, EI; Schwartz, SJ; Unger, JB; Zamboanga, BL; Des Rosiers, SE; Baezconde-Garbanati, L; Huang, S; Villamar, JA; Soto, D; Pattarroyo, M</t>
  </si>
  <si>
    <t>Lorenzo-Blanco, Elma I.; Schwartz, Seth J.; Unger, Jennifer B.; Zamboanga, Byron L.; Des Rosiers, Sabrina E.; Baezconde-Garbanati, Lourdes; Huang, Shi; Villamar, Juan A.; Soto, Daniel; Pattarroyo, Monica</t>
  </si>
  <si>
    <t>Alcohol use among recent immigrant Latino/a youth: acculturation, gender, and the Theory of Reasoned Action</t>
  </si>
  <si>
    <t>ETHNICITY &amp; HEALTH</t>
  </si>
  <si>
    <t>Acculturation; alcohol use; Theory of Reasoned Action; Latino; a youth; gender</t>
  </si>
  <si>
    <t>HISPANIC COLLEGE-STUDENTS; SUBSTANCE USE; DRUG-USE; PLANNED BEHAVIOR; ADOLESCENTS; INVARIANCE; ATTITUDES; AMERICAN; DRINKING; IDENTITY</t>
  </si>
  <si>
    <t>Objective. Latino/a youth are at risk for alcohol use. This risk seems to rise with increasing US cultural orientation and decreasing Latino cultural orientation, especially among girls. To ascertain how acculturation may influence Latino/a youth alcohol use, we integrated an expanded multi-domain model of acculturation with the Theory of Reasoned Action.Design. Participants were 302 recent Latino/a immigrant youth (141 girls, 160 boys; 152 from Miami, 150 from Los Angeles) who completed surveys at 4 time points. Youth completed measures of acculturation, attitudes toward drinking, perceived subjective norms regarding alcohol use, intention to drink, and alcohol use.Results. Structural equation modeling indicated that collectivistic values predicted more perceived disapproval of drinking, which negatively predicted intention to drink. Intention to drink predicted elevated alcohol use.Conclusion. Although the association between collectivistic values and social disapproval of drinking was relatively small ( = .19, p &lt; .05), findings suggest that collectivistic values may help protect Latino/a immigrant youth from alcohol use by influencing their perceived social disapproval of drinking, leading to lower intention to drink. Educational preventive interventions aimed at reducing or preventing alcohol use in recent Latino/a immigrant youth could promote collectivistic values and disseminate messages about the negative consequences of drinking.</t>
  </si>
  <si>
    <t>[Lorenzo-Blanco, Elma I.] Univ South Carolina, Dept Psychol, 1512 Pendleton, Columbia, SC 29208 USA; [Schwartz, Seth J.; Huang, Shi] Univ Miami, Dept Publ Hlth Sci, Leonard M Miller Sch Med, Miami, FL USA; [Unger, Jennifer B.; Soto, Daniel; Pattarroyo, Monica] USC, Inst Hlth Promot &amp; Dis Prevent Res, Keck Sch Med, Los Angeles, CA USA; [Zamboanga, Byron L.] Smith Coll, Dept Psychol, Northampton, MA 01063 USA; [Des Rosiers, Sabrina E.] Barry Univ, Dept Psychol, Miami Shores, FL USA; [Baezconde-Garbanati, Lourdes] USC, Keck Sch Med, Prevent Med, Los Angeles, CA USA; [Villamar, Juan A.] Northwestern Univ, Feinberg Sch Med, Dept Psychiat &amp; Behav Sci, Chicago, IL 60611 USA</t>
  </si>
  <si>
    <t>Lorenzo-Blanco, EI (corresponding author), Univ South Carolina, Dept Psychol, 1512 Pendleton, Columbia, SC 29208 USA.</t>
  </si>
  <si>
    <t>lorenzob@mailbox.sc.edu</t>
  </si>
  <si>
    <t>Unger, Jennifer/0000-0001-9064-6603</t>
  </si>
  <si>
    <t>National Institute on Drug AbuseUnited States Department of Health &amp; Human ServicesNational Institutes of Health (NIH) - USANIH National Institute on Drug Abuse (NIDA)European Commission [DA025694]; National Institute on Alcohol Abuse and AlcoholismUnited States Department of Health &amp; Human ServicesNational Institutes of Health (NIH) - USANIH National Institute on Alcohol Abuse &amp; Alcoholism (NIAAA); NATIONAL INSTITUTE ON DRUG ABUSEUnited States Department of Health &amp; Human ServicesNational Institutes of Health (NIH) - USANIH National Institute on Drug Abuse (NIDA)European Commission [R01DA025694] Funding Source: NIH RePORTER</t>
  </si>
  <si>
    <t>The present study was supported by the National Institute on Drug Abuse [grant number DA025694] and the National Institute on Alcohol Abuse and Alcoholism.</t>
  </si>
  <si>
    <t>1355-7858</t>
  </si>
  <si>
    <t>1465-3419</t>
  </si>
  <si>
    <t>ETHNIC HEALTH</t>
  </si>
  <si>
    <t>Ethn. Health</t>
  </si>
  <si>
    <t>10.1080/13557858.2016.1179723</t>
  </si>
  <si>
    <t>Ethnic Studies; Public, Environmental &amp; Occupational Health</t>
  </si>
  <si>
    <t>DW9XH</t>
  </si>
  <si>
    <t>WOS:000384015600007</t>
  </si>
  <si>
    <t>Noemi, B; Aldo, S</t>
  </si>
  <si>
    <t>Noemi, Bordoni; Aldo, Squassi</t>
  </si>
  <si>
    <t>MIGRATIONS AND ORAL HEALTH IN THE FRAMEWORK OF GLOBAL HEALTH. Reflections from the University Perspective</t>
  </si>
  <si>
    <t>REVISTA DE SALUD PUBLICA-CORDOBA</t>
  </si>
  <si>
    <t>migrations; oral health; global health; responsible university</t>
  </si>
  <si>
    <t>LOW-BIRTH-WEIGHT; MEXICAN-AMERICANS; DENTAL-CARIES; CANADIAN-BORN; ACCULTURATION; CHILDREN; MIGRANT; IMMIGRANT; POPULATION; BEHAVIORS</t>
  </si>
  <si>
    <t>This document addresses problems related to the oral health component of migrants registered in Argentina and in the world. The following aspects are included: Introduction: approaching characteristics of the actors and migratory transplant, sceneries in their socio-cultural complexity, current theoretical and methodological perspective regarding global health and health determinants. Problem analysis, including psychosocial ramifications of adaptations of migrants, acculturation as a variable taking part in the changes in morbidity following immigration and results of different studies regarding oral health of migrants based in different parts of the world. Reflections on the responsibility of the university concerning the exclusion of migrant population and available mechanisms to face their social and civic responsibility.</t>
  </si>
  <si>
    <t>[Noemi, Bordoni] Univ Buenos Aires, Inst Invest Salud Publ, RA-1053 Buenos Aires, DF, Argentina; [Aldo, Squassi] Univ Buenos Aires, Fac Odontol, Odontol Prevent &amp; Comunitaria, RA-1053 Buenos Aires, DF, Argentina</t>
  </si>
  <si>
    <t>Noemi, B (corresponding author), Univ Buenos Aires, Inst Invest Salud Publ, RA-1053 Buenos Aires, DF, Argentina.</t>
  </si>
  <si>
    <t>UNIV NAC CORDOBA, ESCUELA SALUD PUBLICA</t>
  </si>
  <si>
    <t>CORDOBA</t>
  </si>
  <si>
    <t>ENRIQUE BARROSESQQ ENFERMERA GORDILLO GOMEZ, CIUDAD UNIV, CORDOBA, 5000, ARGENTINA</t>
  </si>
  <si>
    <t>1853-1180</t>
  </si>
  <si>
    <t>1852-9429</t>
  </si>
  <si>
    <t>REV SALUD PUBLICA-CO</t>
  </si>
  <si>
    <t>Rev. Salud Publica-Cordoba</t>
  </si>
  <si>
    <t>EJ8PA</t>
  </si>
  <si>
    <t>WOS:000393486900003</t>
  </si>
  <si>
    <t>Condon, M; Filindra, A; Wichowsky, A</t>
  </si>
  <si>
    <t>Condon, Meghan; Filindra, Alexandra; Wichowsky, Amber</t>
  </si>
  <si>
    <t>Immigrant Inclusion in the Safety Net: A Framework for Analysis and Effects on Educational Attainment</t>
  </si>
  <si>
    <t>POLICY STUDIES JOURNAL</t>
  </si>
  <si>
    <t>immigrants; welfare policy; education; difference-in-difference estimation</t>
  </si>
  <si>
    <t>WELFARE-REFORM; SEGMENTED ASSIMILATION; HEALTH-INSURANCE; UNITED-STATES; PARTICIPATION; ENFORCEMENT; CITIZENSHIP; PSYCHOLOGY; ENROLLMENT; PATTERNS</t>
  </si>
  <si>
    <t>Across states, there is substantial variation in the degree to which immigrants and their children are offered public assistance. We present a theoretical framework for analyzing the effects of policy decisions about immigrant inclusion. We apply the framework to investigate the effect of the state safety net on educational attainment. We focus on the years following welfare reform in 1996, when states gained considerable autonomy over welfare policy, including decisions about the eligibility of immigrant residents. Leveraging state-level data from before and after reform, we estimate a difference-in-difference model to identify the effect of variation in immigrant inclusivity on educational attainment. We find that when states broaden the inclusivity of the social safety net to immigrants, young Latinos are more likely to graduate from high school. This effect is present beyond the group of Latino residents who receive additional benefits, suggesting that policy decisions about immigrants spill over to broader communities and communicate broader messages about social inclusion to racial and ethnic groups. We find similar patterns among Asian youth, but not among black and non-Hispanic white youth. We conclude that immigrant inclusion has consequences for the life prospects of the growing population of youth in high-immigrant ethnic groups.</t>
  </si>
  <si>
    <t>[Condon, Meghan] Depaul Univ, Sch Publ Serv, Chicago, IL 60604 USA; [Filindra, Alexandra] Univ Illinois, Polit Sci, Chicago, IL USA; [Wichowsky, Amber] Marquette Univ, Polit Sci, Milwaukee, WI 53233 USA</t>
  </si>
  <si>
    <t>Condon, M (corresponding author), Depaul Univ, Sch Publ Serv, Chicago, IL 60604 USA.</t>
  </si>
  <si>
    <t>0190-292X</t>
  </si>
  <si>
    <t>1541-0072</t>
  </si>
  <si>
    <t>POLICY STUD J</t>
  </si>
  <si>
    <t>Policy Stud. J.</t>
  </si>
  <si>
    <t>10.1111/psj.12140</t>
  </si>
  <si>
    <t>Political Science; Public Administration</t>
  </si>
  <si>
    <t>Government &amp; Law; Public Administration</t>
  </si>
  <si>
    <t>EJ4DJ</t>
  </si>
  <si>
    <t>WOS:000393166000005</t>
  </si>
  <si>
    <t>Yong, AG; Lemyre, L; Farrell, SJ; Young, MY</t>
  </si>
  <si>
    <t>Yong, An Gie; Lemyre, Louise; Farrell, Susan Jane; Young, Marta Yolande</t>
  </si>
  <si>
    <t>Acculturation in Preventive Health for Immigrants: A Systematic Review on Influenza Vaccination Programs in a Socio-Ecological Framework</t>
  </si>
  <si>
    <t>CANADIAN PSYCHOLOGY-PSYCHOLOGIE CANADIENNE</t>
  </si>
  <si>
    <t>immigrants; cultural adaptation; preventive health care; cross-cultural sensitivity; vaccination</t>
  </si>
  <si>
    <t>HEART-DISEASE PREVENTION; CHINESE IMMIGRANTS; UNITED-STATES; SEEKING BEHAVIORS; CARE; CANADA; BARRIERS; SERVICE; ACCESS; BREAST</t>
  </si>
  <si>
    <t>Engaging immigrants in preventive health care programs, such as vaccination, constitutes a challenge. Existing programs tend to conflate issues related to immigrant status with ethnic or racial minorities. These programs also tend to ignore that acculturation and cultural discourse in health may vary depending on the immigrant subgroup and the host community's social environment. This paper addresses the gap in the literature by proposing a conceptual framework that uses a socioecological perspective to outline acculturation and cultural factors in immigrants' preventive health behaviours. To this end, we synthesized the literature on acculturation and cultural perspectives on preventive health among immigrants. We used a case study on influenza vaccination among Chinese immigrants to illustrate the importance of targeting and tailoring approaches to specific immigrant subgroups. We performed a critical examination of 10 existing influenza vaccination programs adapted for immigrants and ethnic minorities to outline their cultural sensitivity in surface- and deep- structure components. Finally, we proposed a conceptual framework integrating the acculturation factors, cultural elements, and cultural anatomy of the reviewed programs with application to Chinese immigrants as a demonstration of cultural sensitivity. The discussion includes limitations, recommendations, and future directions resulting from this framework to help inform cultural adaptation of preventive health programs for immigrants.</t>
  </si>
  <si>
    <t>[Yong, An Gie; Lemyre, Louise; Farrell, Susan Jane; Young, Marta Yolande] Univ Ottawa, Sch Psychol, Social Sci Bldg,120 Univ St,Room 5006, Ottawa, ON K1N 6N5, Canada</t>
  </si>
  <si>
    <t>Yong, AG (corresponding author), Univ Ottawa, Sch Psychol, Social Sci Bldg,120 Univ St,Room 5006, Ottawa, ON K1N 6N5, Canada.</t>
  </si>
  <si>
    <t>ayong089@uottawa.ca</t>
  </si>
  <si>
    <t>Yong, An Gie/0000-0002-1147-3431</t>
  </si>
  <si>
    <t>CANADIAN PSYCHOLOGICAL  ASSOC</t>
  </si>
  <si>
    <t>141 LAURIER AVE WEST, STE 702, OTTAWA, ONTARIO K1P 5J3, CANADA</t>
  </si>
  <si>
    <t>0708-5591</t>
  </si>
  <si>
    <t>1878-7304</t>
  </si>
  <si>
    <t>CAN PSYCHOL</t>
  </si>
  <si>
    <t>Can. Psychol.-Psychol. Can.</t>
  </si>
  <si>
    <t>10.1037/cap0000075</t>
  </si>
  <si>
    <t>EB3CT</t>
  </si>
  <si>
    <t>WOS:000387240400012</t>
  </si>
  <si>
    <t>Crul, M</t>
  </si>
  <si>
    <t>Crul, Maurice</t>
  </si>
  <si>
    <t>Strangers no more. Debunking major theoretical assumptions</t>
  </si>
  <si>
    <t>Integration; assimilation; education; labour market; mainstream; superdiversity</t>
  </si>
  <si>
    <t>Alba and Foner's volume is an important contribution to the transatlantic dialog. In the paper I especially focus on the presented labour market outcomes in the first generation and the accomplishments of the second generation in education. What do these outcomes tell us about integration and assimilation patterns across countries? Alba and Foner's overall conclusion is that neither the theory of national integration models nor the theory of settler versus non-settler societies can explain the differences or similarities in outcomes across the six assessed countries. These theories, according to Alba and Foner, are debunked when empirically tested. I try to formulate what alternative explanations can be formulated based on the empirical data. Differences in historical institutional arrangements in education and the labour market can more accurately predict outcomes. Also differences in the dynamics between the mainstream population and immigrant groups in North America versus Western Europe are important.</t>
  </si>
  <si>
    <t>[Crul, Maurice] Free Univ Amsterdam, Dept Sociol, Amsterdam, Netherlands; [Crul, Maurice] Erasmus Univ, Dept Sociol, Rotterdam, Netherlands</t>
  </si>
  <si>
    <t>Crul, M (corresponding author), Free Univ Amsterdam, Dept Sociol, Amsterdam, Netherlands.; Crul, M (corresponding author), Erasmus Univ, Dept Sociol, Rotterdam, Netherlands.</t>
  </si>
  <si>
    <t>m.r.j.crul@vu.nl</t>
  </si>
  <si>
    <t>Crul, M.R.J./0000-0002-2003-7826</t>
  </si>
  <si>
    <t>10.1080/01419870.2016.1203444</t>
  </si>
  <si>
    <t>DX0OU</t>
  </si>
  <si>
    <t>WOS:000384063500019</t>
  </si>
  <si>
    <t>Stephens, CS</t>
  </si>
  <si>
    <t>Stephens, Cristina S.</t>
  </si>
  <si>
    <t>Acculturation contexts: Theorizing on the role of intercultural hierarchy in contemporary immigrants' acculturation strategies</t>
  </si>
  <si>
    <t>Immigration; acculturation; assimilation; integration; separation; intergroup hierarchy; cultural hegemony</t>
  </si>
  <si>
    <t>IDENTITY; NEOLIBERALISM; ASSIMILATION; ADAPTATION; MIGRATION; CONFLICT; MOBILITY; CULTURES; STYLES; LIFE</t>
  </si>
  <si>
    <t>Recent efforts to expand the theoretical framework of acculturation have drawn attention to a variety of pre-migration and reception contexts that affect how immigrants engage with the culture of their country of destination. Building on John W. Berry's seminal work, this article contributes to the development of acculturation theory by delineating the previously under-explored context of inter-cultural hierarchy. Employing a critical theory stance, the paper argues that immigrants' response to western cultural dominance and the rise of neoliberal imperatives can influence, along with the above mentioned contexts, their acculturative strategies. The paper proposes distinctions between types of assimilation, integration and separation strategies that have the potential to capture immigrant's risk of long-term psychosocial maladjustment in the country of destination.</t>
  </si>
  <si>
    <t>[Stephens, Cristina S.] Kennesaw State Univ, Dept Sociol &amp; Criminal Justice, Sociol, 1000 Chastain Rd, Kennesaw, GA 30144 USA</t>
  </si>
  <si>
    <t>Stephens, CS (corresponding author), Kennesaw State Univ, Dept Sociol &amp; Criminal Justice, Sociol, 1000 Chastain Rd, Kennesaw, GA 30144 USA.</t>
  </si>
  <si>
    <t>cgheorgh@kennesaw.edu</t>
  </si>
  <si>
    <t>VG4BS</t>
  </si>
  <si>
    <t>WOS:000446752900002</t>
  </si>
  <si>
    <t>Miller-Graff, LE</t>
  </si>
  <si>
    <t>Miller-Graff, Laura E.</t>
  </si>
  <si>
    <t>Frameworks for Childhood PTSD Treatment in Conflict-Affected Settings</t>
  </si>
  <si>
    <t>PEACE AND CONFLICT-JOURNAL OF PEACE PSYCHOLOGY</t>
  </si>
  <si>
    <t>posttraumatic stress; violence; conflict; postconflict; children</t>
  </si>
  <si>
    <t>COGNITIVE-BEHAVIORAL THERAPY; MENTAL-HEALTH INTERVENTION; POSTTRAUMATIC STRESS SYMPTOMS; RANDOMIZED CONTROLLED-TRIAL; INTIMATE PARTNER VIOLENCE; PSYCHOSOCIAL TREATMENTS; CULTURAL-ADAPTATION; POLITICAL VIOLENCE; REFUGEE CHILDREN; OUTCOME RESEARCH</t>
  </si>
  <si>
    <t>Over the past decade, the number and quality of studies on treating child posttraumatic stress disorder (PTSD) has grown exponentially. For the most part, however, these treatments have been validated in resource-rich settings and with individuals whose traumatic experiences are not ongoing. Many children living in conflict-affected settings experience symptoms of PTSD, and there are emerging data to support the effective generalization of evidence-based paradigms across contexts. Yet there remains a need for a deeper examination of the adaptation and implementation of evidence-based care in conflict-affected settings given the unique characteristics of providing care in these contexts. The aim of the current review is to provide an integrative social-ecological framework for the adaptation and implementation of child PTSD treatment in conflict-affected settings that synthesizes basic research and treatment evaluations. In summary, there is strong evidence to suggest the utility of evidence-based treatments for child PTSD in conflict-affected settings, but several recommendations regarding adaptation and implementation are evident. Because children in these contexts are likely to have ongoing exposure to violence and adversity, treatment adaptations should deeply consider how to deliver individual-level treatment for child PTSD with multisystemic supports. Identifying culturally relevant ways of delivering care within a multisystemic framework that maintains core effective mechanisms of treatment will necessarily involve emic investigations and should draw on the expertise of local professionals and paraprofessionals.</t>
  </si>
  <si>
    <t>[Miller-Graff, Laura E.] Univ Notre Dame, Psychol &amp; Peace Studies, 107 Haggar Hall, Notre Dame, IN 46556 USA</t>
  </si>
  <si>
    <t>Miller-Graff, LE (corresponding author), Univ Notre Dame, Psychol &amp; Peace Studies, 107 Haggar Hall, Notre Dame, IN 46556 USA.</t>
  </si>
  <si>
    <t>Laura.E.Miller.389@nd.edu</t>
  </si>
  <si>
    <t>1078-1919</t>
  </si>
  <si>
    <t>1532-7949</t>
  </si>
  <si>
    <t>PEACE CONFL</t>
  </si>
  <si>
    <t>Peace Confl.</t>
  </si>
  <si>
    <t>10.1037/pac0000190</t>
  </si>
  <si>
    <t>DW4DR</t>
  </si>
  <si>
    <t>WOS:000383593100009</t>
  </si>
  <si>
    <t>Torngren, SO; Irastorza, N; Song, MR</t>
  </si>
  <si>
    <t>Torngren, Sayaka Osanami; Irastorza, Nahikari; Song, Miri</t>
  </si>
  <si>
    <t>Toward building a conceptual framework on intermarriage</t>
  </si>
  <si>
    <t>ETHNICITIES</t>
  </si>
  <si>
    <t>Intermarriage; social acceptance; attitudes; integration; divorce; multiracial parenting</t>
  </si>
  <si>
    <t>INTERETHNIC MARRIAGE; ECONOMIC ASSIMILATION; ETHNIC INTERMARRIAGE; IMMIGRATION; NETHERLANDS; CHILDREN; PERSPECTIVES; INTEGRATION; ATTITUDES; PATTERNS</t>
  </si>
  <si>
    <t>Increasing migration worldwide and the cultural diversity generated as a consequence of international migration has facilitated the unions of people from different countries, religions, races, and ethnicities. Such unions are often celebrated as a sign of integration; however, at the same time as they challenge people's idea of us and them, intermarriages in fact still remain controversial, and even to some extent, taboo in many societies. Research and theorizing on intermarriage is conducted predominantly in the English-speaking North American and British contexts. This special issue includes empirical studies from not only the English-speaking countries such as the U.S., Canada, and the UK, but also from Japan, Sweden, Belgium, France, and Spain and demonstrate the increasingly diverse directions taken in the study of intermarriage in regards to the patterns, experiences, and social implications of intermarriages. Moreover, the articles address the assumed link between intermarriage and integration.</t>
  </si>
  <si>
    <t>[Torngren, Sayaka Osanami; Irastorza, Nahikari] Malmo Univ, Malmo, Sweden; [Song, Miri] Univ Kent, Canterbury CT2 7NZ, Kent, England</t>
  </si>
  <si>
    <t>Torngren, SO (corresponding author), Malmo Hgsk, Malmo Inst Studies Migrat Divers &amp; Welf, S-20506 Malmo, Sweden.</t>
  </si>
  <si>
    <t>sayaka.torngren@mah.se</t>
  </si>
  <si>
    <t>Torngren, Sayaka Osanami/J-6032-2019</t>
  </si>
  <si>
    <t>Torngren, Sayaka Osanami/0000-0003-0137-5528; Irastorza, Nahikari/0000-0003-4498-1798</t>
  </si>
  <si>
    <t>1468-7968</t>
  </si>
  <si>
    <t>1741-2706</t>
  </si>
  <si>
    <t>Ethnicities</t>
  </si>
  <si>
    <t>10.1177/1468796816638402</t>
  </si>
  <si>
    <t>DS0LY</t>
  </si>
  <si>
    <t>WOS:000380288400001</t>
  </si>
  <si>
    <t>Croucher, SM</t>
  </si>
  <si>
    <t>Croucher, Stephen M.</t>
  </si>
  <si>
    <t>Further development of integrated threat theory and intergroup contact: a reply to Aberson (2015)</t>
  </si>
  <si>
    <t>Integrated threat theory; intergroup contact; sampling; correlations</t>
  </si>
  <si>
    <t>PREJUDICE; ATTITUDES</t>
  </si>
  <si>
    <t>This essay furthers a dialogue about the theoretical and statistical merits of Croucher's [(2013). Integrated threat theory and acceptance of immigrant assimilation: An analysis of Muslim immigration in Western Europe. Communication Monographs, 80, 46-62] study exploring the relationships between threat from an immigrant group, belief that an immigrant wants to assimilate, and intergroup contact. Key points of divergence include assertions that (a) the relationships in the original piece are counter to previous literature/relationships, (b) the correlations presented are implausible, (c) the magnitude of the relationships is too strong, and (d) the manuscript has odd multiple regression coefficients. This rejoinder argues (a) more intergroup contact can lead to more threat, (b) the correlations are real, Aberson's [(2015). Strange results and implausible correlations in Croucher (2013). Communication Monographs] formula is invalid, and subsequent research has produced similar results, (c) the magnitude of the relationships and multiple regression coefficients is real, and (d) it is possible that statistical issues (such as sample characteristics and outliers) heightened the magnitude in this study.</t>
  </si>
  <si>
    <t>[Croucher, Stephen M.] Univ Jyvaskyla, Dept Commun, Jyvaskyla, Finland</t>
  </si>
  <si>
    <t>10.1080/03637751.2015.1119866</t>
  </si>
  <si>
    <t>DL8HC</t>
  </si>
  <si>
    <t>WOS:000375880800006</t>
  </si>
  <si>
    <t>Moreno-Galbis, E; Tritah, A</t>
  </si>
  <si>
    <t>Moreno-Galbis, Eva; Tritah, Ahmed</t>
  </si>
  <si>
    <t>The effects of immigration in frictional labor markets: Theory and empirical evidence from EU countries</t>
  </si>
  <si>
    <t>EUROPEAN ECONOMIC REVIEW</t>
  </si>
  <si>
    <t>Immigration; Reservation wage; Native employment; European labor markets; Assimilation</t>
  </si>
  <si>
    <t>LOW-SKILLED IMMIGRATION; WAGE DIFFERENTIALS; IMPACT; UNEMPLOYMENT; MIGRANTS; ECONOMY</t>
  </si>
  <si>
    <t>Immigrants are newcomers in a labor market. As a consequence, they lack host-country specific labor market knowledge and other country-specific and not directly productive valuable assets affecting their relative bargaining position with employers. We introduce this simple observation into a search and matching model of the labor market and show that immigrants increase the employment prospects of competing natives. To test the predictions of our model, we exploit yearly variations between 1998 and 2004 in the share of immigrants within occupations in 13 European countries. We identify the impact of immigrants on natives' employment rate using an instrumental variable strategy based on historical settlement patterns across host countries and occupations by origin country. We find that natives' employment rate increases in occupations and sectors receiving more immigrants. Moreover, we show that this effect varies depending on immigrants' characteristics and on host country labor market institutions which affect relative reservation wages. (C) 2015 Elsevier B.V. All rights reserved.</t>
  </si>
  <si>
    <t>[Moreno-Galbis, Eva] Univ Angers, GRANEM, Ave Francois Mitterrand, F-49000 Angers, France; [Moreno-Galbis, Eva] CREST, Rhone Alpes, France; [Moreno-Galbis, Eva] Catholic Univ Louvain, IRES, Louvain, Belgium; [Moreno-Galbis, Eva; Tritah, Ahmed] Univ Maine, GAINS TEPP, Ave Olivier Messiean, F-72085 Le Mans, France</t>
  </si>
  <si>
    <t>Tritah, A (corresponding author), Univ Maine, GAINS TEPP, Ave Olivier Messiean, F-72085 Le Mans, France.</t>
  </si>
  <si>
    <t>Eva.morenogalbis@univ-angers.fr; Ahmed.Tritah@univ-lemans.fr</t>
  </si>
  <si>
    <t>0014-2921</t>
  </si>
  <si>
    <t>1873-572X</t>
  </si>
  <si>
    <t>EUR ECON REV</t>
  </si>
  <si>
    <t>Eur. Econ. Rev.</t>
  </si>
  <si>
    <t>10.1016/j.euroecorev.2015.10.001</t>
  </si>
  <si>
    <t>DL4UF</t>
  </si>
  <si>
    <t>WOS:000375632400006</t>
  </si>
  <si>
    <t>Kelly, DR</t>
  </si>
  <si>
    <t>Kelly, Don R.</t>
  </si>
  <si>
    <t>Applying Acculturation Theory and Power Elite Theory on a Social Problem: Political Underrepresentation of the Hispanic Population in Texas</t>
  </si>
  <si>
    <t>Texas Hispanic population; Hispanic representation in Texas; voting rights in Texas; Hispanic voting rights; power elite; Mills; theory of balance; acculturation; Berry</t>
  </si>
  <si>
    <t>Legislative underrepresentation of the Hispanic population is a serious social problem in Texas. Hispanics in the Texas legislature comprise approximately 21% of the total legislative body, yet the Hispanic population is approximately 35% of the total population in Texas. Acculturation and Power Elite theories can enhance our understanding, providing a useful framework for explaining the underrepresentation phenomenon and identifying implications for further research. Acculturation refers to the internal processes of change that immigrants experience when they come into direct contact with members of the host culture, in this case Hispanics. Power elite theory is a concept of how the balance of power is maintained within the societal structure, in this case Texas. Together, these theories can account for underrepresentation and can help to form a strategy for Hispanics to overcome the underrepresentation phenomenon in Texas.</t>
  </si>
  <si>
    <t>[Kelly, Don R.] Univ Texas Arlington, Arlington, TX USA</t>
  </si>
  <si>
    <t>Kelly, DR (corresponding author), 6020 Hillview Dr, Watauga, TX 76148 USA.</t>
  </si>
  <si>
    <t>don.kelly@uta.edu</t>
  </si>
  <si>
    <t>10.1177/0739986316638324</t>
  </si>
  <si>
    <t>DJ6LM</t>
  </si>
  <si>
    <t>WOS:000374324700001</t>
  </si>
  <si>
    <t>Fleischmann, F; Verkuyten, M</t>
  </si>
  <si>
    <t>Fleischmann, Fenella; Verkuyten, Maykel</t>
  </si>
  <si>
    <t>Dual Identity Among Immigrants: Comparing Different Conceptualizations, Their Measurements, and Implications</t>
  </si>
  <si>
    <t>CULTURAL DIVERSITY &amp; ETHNIC MINORITY PSYCHOLOGY</t>
  </si>
  <si>
    <t>dual identity; immigrant adaptation; intergroup relations</t>
  </si>
  <si>
    <t>NATIONAL IDENTIFICATION; SUBGROUP RESPECT; DISCRIMINATION; ACCULTURATION; TURKISH; INTEGRATION; ATTITUDES; MINORITY; MIGRANTS; MODEL</t>
  </si>
  <si>
    <t>Objectives: This article aims to make a contribution to the literature by comparing 3 existing and often used conceptualizations and measurements of immigrants' dual identity: (a) high levels of identification with separate ethnic and national identities (Studies 1 and 2), (b) dual self-identification (Study 1), and (c) the strength of dual identification (Study 2). Method: Large-scale survey data are used in 2 studies, capturing 6 recent immigrant groups (Afghanis, Chinese, Iranians, Iraqis, Polish, and Somalis; Study 1, N = 5,877) and immigrants from Turkey (Study 2, N = 427) to The Netherlands. We investigate the associations between the different measures of dual identity as well as how each relates to indicators of intergroup relations (perceived subgroup respect and perceived discrimination) and immigrants' psychological outcomes (feeling at home in The Netherlands, happiness, affect toward the Dutch). Results: The findings show that dual self-identification differs most markedly from high identification on separate ethnic and national identities. The latter conceptualization largely overlaps with the strength of dual identification, both in terms of the classification of who is a dual identifier, as well as the associations with intergroup relations and immigrants' psychological outcomes. Conclusions: These findings help to clarify discrepant approaches to dual identity in the existing literature and provide guidelines for future research into dual identity among immigrants in Western societies. In particular, they suggest that a distinction between dual self-identification and measures of group identification is needed.</t>
  </si>
  <si>
    <t>[Fleischmann, Fenella; Verkuyten, Maykel] Univ Utrecht, ERCOMER, Padualaan 14, NL-3584 CH Utrecht, Netherlands</t>
  </si>
  <si>
    <t>Fleischmann, F (corresponding author), Univ Utrecht, ERCOMER, Padualaan 14, NL-3584 CH Utrecht, Netherlands.</t>
  </si>
  <si>
    <t>f.fleischmann@uu.nl</t>
  </si>
  <si>
    <t>EDUCATIONAL PUBLISHING FOUNDATION-AMERICAN PSYCHOLOGICAL ASSOC</t>
  </si>
  <si>
    <t>750 FIRST ST, NE, WASHINGTON, DC 20002-4242 USA</t>
  </si>
  <si>
    <t>1099-9809</t>
  </si>
  <si>
    <t>1939-0106</t>
  </si>
  <si>
    <t>CULT DIVERS ETHN MIN</t>
  </si>
  <si>
    <t>Cult. Divers. Ethn. Minor. Psychol.</t>
  </si>
  <si>
    <t>10.1037/cdp0000058</t>
  </si>
  <si>
    <t>Ethnic Studies; Psychology, Social</t>
  </si>
  <si>
    <t>Ethnic Studies; Psychology</t>
  </si>
  <si>
    <t>DH9HM</t>
  </si>
  <si>
    <t>WOS:000373107100001</t>
  </si>
  <si>
    <t>Ward, C; Geeraert, N</t>
  </si>
  <si>
    <t>Ward, Colleen; Geeraert, Nicolas</t>
  </si>
  <si>
    <t>Advancing acculturation theory and research: the acculturation process in its ecological context</t>
  </si>
  <si>
    <t>CURRENT OPINION IN PSYCHOLOGY</t>
  </si>
  <si>
    <t>CROSS-CULTURAL ADJUSTMENT; IMMIGRANT ADOLESCENTS; HISPANIC ADOLESCENTS; MENTAL-HEALTH; DEVELOPMENTAL TRAJECTORIES; PSYCHOLOGICAL ADAPTATION; UNITED-STATES; STRESS; FAMILIES; ORIENTATIONS</t>
  </si>
  <si>
    <t>Continued intercultural contact leads to challenges and changes. As part of this process, the acculturating individual deals with acculturative stressors whose negative effects on well-being can be buffered or exacerbated by coping reactions. A second component of the acculturation process involves the acquisition, maintenance, and change of cultural behaviors, values and identities associated with heritage and settlement cultures. Both acculturative stress and acculturative change unfold in an ecological context. Within the family, acculturation discrepancies between parents and children affect acculturation trajectories and outcomes. At the institutional level, the school and workplace exert significant influences on the acculturation of young people and working adults, respectively. At the societal level attitudes, policies and prejudice affect the acculturation experiences of sojourners and immigrants and influence their psychological and sociocultural adaptation.</t>
  </si>
  <si>
    <t>[Ward, Colleen] Victoria Univ Wellington, Ctr Appl Cross Cultural Res, POB 600, Wellington 6140, New Zealand; [Geeraert, Nicolas] Univ Essex, Dept Psychol, Wivenhoe Pk, Colchester CO4 3SQ, Essex, England</t>
  </si>
  <si>
    <t>Ward, C (corresponding author), Victoria Univ Wellington, Ctr Appl Cross Cultural Res, POB 600, Wellington 6140, New Zealand.; Geeraert, N (corresponding author), Univ Essex, Dept Psychol, Wivenhoe Pk, Colchester CO4 3SQ, Essex, England.</t>
  </si>
  <si>
    <t>Colleen.Ward@vuw.ac.nz; geeraert@essex.ac.uk</t>
  </si>
  <si>
    <t>Ward, Colleen/0000-0003-4010-8932</t>
  </si>
  <si>
    <t>2352-250X</t>
  </si>
  <si>
    <t>CURR OPIN PSYCHOL</t>
  </si>
  <si>
    <t>Curr. Opin. Psychol.</t>
  </si>
  <si>
    <t>10.1016/j.copsyc.2015.09.021</t>
  </si>
  <si>
    <t>DK6YF</t>
  </si>
  <si>
    <t>WOS:000375071000018</t>
  </si>
  <si>
    <t>Goldsmith, PR</t>
  </si>
  <si>
    <t>Goldsmith, Pat Rubio</t>
  </si>
  <si>
    <t>Perpetuation theory and the racial segregation of young adults</t>
  </si>
  <si>
    <t>SOCIAL SCIENCE RESEARCH</t>
  </si>
  <si>
    <t>Segregation; Race; Ethnicity; Residential attainment; Neighborhoods; Schools</t>
  </si>
  <si>
    <t>RESIDENTIAL SEGREGATION; CONCENTRATED DISADVANTAGE; METROPOLITAN AMERICA; SPATIAL ASSIMILATION; MOBILITY; WHITE; MIGRATION; BLACK; RACE; NEIGHBORHOODS</t>
  </si>
  <si>
    <t>Previous research confirms a strong empirical association between the racial composition of young adults' residential areas and the racial compositions of the residential areas and schools of their youth. Perpetuation theory predicts that part of this association is causal. The present study uses data from the National Education Longitudinal Study (NELS) and the U.S. Censuses of 1990 and 2000 to test for this effect with regression models, propensity-score-weighted models with robustness tests, and regression models that look at long-distance movers. The findings suggest that the association declines rapidly as the distance moved increases, but it remains robust even at long distances. It is also stronger for African Americans and more assimilated Latinos than for whites and less assimilated Latinos. These findings suggests that to some extent, young white, African American, and Latino adults are residentially segregated from each other because they grew up that way. Policies that promote integrating youth residentially and/or desegregating schools may contribute to residential integration over time. (C) 2015 Elsevier Inc. All rights reserved.</t>
  </si>
  <si>
    <t>[Goldsmith, Pat Rubio] Texas A&amp;M Univ 4351, College Stn, TX 77843 USA</t>
  </si>
  <si>
    <t>Goldsmith, PR (corresponding author), Texas A&amp;M Univ 4351, College Stn, TX 77843 USA.</t>
  </si>
  <si>
    <t>pgoldsmith@tamu.edu</t>
  </si>
  <si>
    <t>ACADEMIC PRESS INC ELSEVIER SCIENCE</t>
  </si>
  <si>
    <t>SAN DIEGO</t>
  </si>
  <si>
    <t>525 B ST, STE 1900, SAN DIEGO, CA 92101-4495 USA</t>
  </si>
  <si>
    <t>0049-089X</t>
  </si>
  <si>
    <t>1096-0317</t>
  </si>
  <si>
    <t>SOC SCI RES</t>
  </si>
  <si>
    <t>Soc. Sci. Res.</t>
  </si>
  <si>
    <t>10.1016/j.ssresearch.2015.11.004</t>
  </si>
  <si>
    <t>DE2OL</t>
  </si>
  <si>
    <t>WOS:000370466500001</t>
  </si>
  <si>
    <t>Marinez-Lora, AM; Boustani, M; del Busto, CT; Leone, C</t>
  </si>
  <si>
    <t>Marinez-Lora, Ane M.; Boustani, Maya; del Busto, Cristina T.; Leone, Christine</t>
  </si>
  <si>
    <t>A Framework for Translating an Evidence-Based Intervention from English to Spanish</t>
  </si>
  <si>
    <t>language translation; Spanish language adaptation; back translation; community experts</t>
  </si>
  <si>
    <t>CHILD INTERACTION THERAPY; CULTURAL-ADAPTATION; LANGUAGE PROFICIENCY; HEALTH-CARE; LATINOS; DISORDERS; FAMILIES; EFFICACY; ACCEPTABILITY; DISPARITIES</t>
  </si>
  <si>
    <t>This article describes the development of a framework for the Spanish language adaptation of an evidence-based intervention. A systematic literature search of language adaptation of interventions highlighted most published research focuses on the translation of assessment tools rather than interventions. In response, we developed the Participatory and Iterative Process Framework for Language Adaptation (PIPFLA), a descriptive step-by-step example of how to conduct the language adaptation of an intervention that is grounded in principles of good practice and facilitates transparency of the process. A bilingual team composed of project staff, translators, and two small panels of local community expertscomposed of Latino community-based clinicians and Latino immigrant parentsparticipated in the language adaptation of the intervention. The panels reviewed the translated materials and offered their independent emic perspectives; the intervention represented the etic perspective. Both perspectives informed and were integrated into the 11-step iterative process that comprises the PIPFLA framework.</t>
  </si>
  <si>
    <t>[Marinez-Lora, Ane M.] Univ Illinois, Inst Juvenile Res, Chicago, IL USA; [Boustani, Maya; del Busto, Cristina T.] Florida Int Univ, Clin Sci Child &amp; Adolescent Psychol Program, Miami, FL 33199 USA; [Leone, Christine] Univ Chicago, Sch Social Serv Adm, Chicago, IL 60637 USA</t>
  </si>
  <si>
    <t>Marinez-Lora, AM (corresponding author), Univ Illinois, Inst Juvenile Res, Chicago, IL USA.; Marinez-Lora, AM (corresponding author), Univ Illinois, Inst Juvenile Res, Dept Psychiat, 1747 W Roosevelt Rd, Chicago, IL 60608 USA.</t>
  </si>
  <si>
    <t>amarinez-lora@psych.uic.edu</t>
  </si>
  <si>
    <t>Boustani, Maya/AAC-6081-2020</t>
  </si>
  <si>
    <t>Boustani, Maya/0000-0002-7739-7857</t>
  </si>
  <si>
    <t>National Institute of Mental HealthUnited States Department of Health &amp; Human ServicesNational Institutes of Health (NIH) - USANIH National Institute of Mental Health (NIMH) [K23 MH083049]</t>
  </si>
  <si>
    <t>The authors disclosed receipt of the following financial support for the research, authorship, and/or publication of this article: The primary support for this article was provided by a National Institute of Mental Health Grant, K23 MH083049 (Ane M. Marinez-Lora, principal investigator).</t>
  </si>
  <si>
    <t>10.1177/0739986315612769</t>
  </si>
  <si>
    <t>DC2LR</t>
  </si>
  <si>
    <t>WOS:000369048700006</t>
  </si>
  <si>
    <t>Chen, SXH; Lam, BP; Hui, BPH; Ng, JCK; Mak, WWS; Guan, YJ; Buchtel, EE; Tang, WCS; Lau, VCY</t>
  </si>
  <si>
    <t>Chen, Sylvia Xiaohua; Lam, Ben C. P.; Hui, Bryant P. H.; Ng, Jacky C. K.; Mak, Winnie W. S.; Guan, Yanjun; Buchtel, Emma E.; Tang, Willie C. S.; Lau, Victor C. Y.</t>
  </si>
  <si>
    <t>Conceptualizing Psychological Processes in Response to Globalization: Components, Antecedents, and Consequences of Global Orientations</t>
  </si>
  <si>
    <t>JOURNAL OF PERSONALITY AND SOCIAL PSYCHOLOGY</t>
  </si>
  <si>
    <t>global orientations; globalization; multiculturalism; acculturation; cultural identity</t>
  </si>
  <si>
    <t>MULTICULTURAL PERSONALITY QUESTIONNAIRE; BICULTURAL IDENTITY INTEGRATION; INDIVIDUALISM-COLLECTIVISM; SOCIOCULTURAL ADJUSTMENT; IMPORTED CONSTRUCTS; SOCIAL-PSYCHOLOGY; REGULATORY FOCUS; 5-FACTOR MODEL; SELF; CULTURE</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</si>
  <si>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t>
  </si>
  <si>
    <t>[Chen, Sylvia Xiaohua; Lau, Victor C. Y.] Hong Kong Polytech Univ, Dept Appl Social Sci, Kowloon, Hong Kong, Peoples R China; [Lam, Ben C. P.] Iowa State Univ, Dept Psychol, Ames, IA USA; [Hui, Bryant P. H.] Univ Cambridge, Dept Psychol, Cambridge CB2 1TN, England; [Ng, Jacky C. K.; Mak, Winnie W. S.] Chinese Univ Hong Kong, Dept Psychol, Hong Kong, Hong Kong, Peoples R China; [Guan, Yanjun] Univ Surrey, Sch Hospitality &amp; Tourism Management, Guildford GU2 5XH, Surrey, England; [Buchtel, Emma E.] Hong Kong Inst Educ, Dept Psychol Studies, Hong Kong, Hong Kong, Peoples R China; [Tang, Willie C. S.] Chinese Univ Hong Kong, Dept Psychol, Hong Kong, Hong Kong, Peoples R China</t>
  </si>
  <si>
    <t>Chen, SXH (corresponding author), Hong Kong Polytech Univ, Dept Appl Social Sci, Kowloon, Hong Kong, Peoples R China.</t>
  </si>
  <si>
    <t>ssxhchen@polyu.edu.hk</t>
  </si>
  <si>
    <t>Hui, Bryant Pui Hung/P-8673-2018; Buchtel, Emma E/Q-1163-2018; Lam, Ben Chun Pan/E-2984-2018; hui, p. h./F-3482-2014; Chen, Sylvia Xiaohua/E-9295-2014</t>
  </si>
  <si>
    <t>Hui, Bryant Pui Hung/0000-0003-3063-9297; Buchtel, Emma E/0000-0002-9417-9106; Lam, Ben Chun Pan/0000-0002-0879-5990; Chen, Sylvia Xiaohua/0000-0001-7237-6523; NG, Jacky Chi Kit/0000-0003-2723-4387; Mak, Winnie/0000-0002-9714-7847; GUAN, YANJUN/0000-0003-1782-1027</t>
  </si>
  <si>
    <t>Public Policy Research Funding Scheme from the Research Grants Council [PolyU5006-PPR-11]; Central Policy Unit of Hong Kong;  [PolyU 5412/08H]</t>
  </si>
  <si>
    <t>This project was supported in part by the General Research Fund (PolyU 5412/08H) and the Public Policy Research Funding Scheme (PolyU5006-PPR-11) from the Research Grants Council and Central Policy Unit of Hong Kong, respectively. We thank Michael Harris Bond for editing the English version of the Global Orientations Scale.</t>
  </si>
  <si>
    <t>0022-3514</t>
  </si>
  <si>
    <t>1939-1315</t>
  </si>
  <si>
    <t>J PERS SOC PSYCHOL</t>
  </si>
  <si>
    <t>J. Pers. Soc. Psychol.</t>
  </si>
  <si>
    <t>10.1037/a0039647</t>
  </si>
  <si>
    <t>DC3XE</t>
  </si>
  <si>
    <t>WOS:000369151800007</t>
  </si>
  <si>
    <t>Waldinger, R; Catron, P</t>
  </si>
  <si>
    <t>Waldinger, Roger; Catron, Peter</t>
  </si>
  <si>
    <t>Modes of incorporation: a conceptual and empirical critique</t>
  </si>
  <si>
    <t>Second generation; assimilation; segmented assimilation; modes of incorporation</t>
  </si>
  <si>
    <t>SEGMENTED ASSIMILATION; EDUCATIONAL-ATTAINMENT; 2ND-GENERATION; CHILDREN; IMMIGRANTS; BILINGUALISM; DETERMINANTS; EXPERIENCE; LANGUAGE</t>
  </si>
  <si>
    <t>Entering the debate over segmented assimilation, this paper seeks to refocus discussion on a core, but neglected claim: that inter-group disparities among immigrant offspring derive from differences in a contextual feature shared by immigrant and immigrant descendants: a nationality's mode of incorporation. The paper engages in both theoretical and empirical assessment. We critically examine the concept of mode of incorporation, demonstrating that its operational implications have not been correctly understood; consequently, the core hypothesis has never been appropriately tested. The second part of the paper implements those tests, making use of the Children of Immigrants Longitudinal Survey. We do so by using nationality as a proxy for mode of incorporation, systematically contrasting more advantaged against less advantaged nationalities. We show: (a) that tests systematically varying modes classified as more or less advantageous yield inconsistent outcomes; (b) that positive or negative modes of incorporation are associated with few long-lasting effects; (c) that differences in governmental reception are particularly unlikely to be associated with interethnic disparities; and (d) that compared to theoretically relevant nationalities, neither Mexicans, a nationality assigned to a negative mode of incorporation, nor pre-Mariel Cubans, a nationality assigned to positive mode of incorporation, prove distinctive.</t>
  </si>
  <si>
    <t>[Waldinger, Roger; Catron, Peter] Univ Calif Los Angeles, Dept Sociol, Los Angeles, CA 90024 USA</t>
  </si>
  <si>
    <t>Waldinger, R (corresponding author), Univ Calif Los Angeles, Dept Sociol, Los Angeles, CA 90024 USA.</t>
  </si>
  <si>
    <t>waldinge@soc.ucla.edu</t>
  </si>
  <si>
    <t>10.1080/1369183X.2015.1113742</t>
  </si>
  <si>
    <t>DA4US</t>
  </si>
  <si>
    <t>WOS:000367797400003</t>
  </si>
  <si>
    <t>Kene, P; Brabeck, KM; Kelly, C; DiCicco, B</t>
  </si>
  <si>
    <t>Kene, Prachi; Brabeck, Kalina M.; Kelly, Catherine; DiCicco, Brian</t>
  </si>
  <si>
    <t>Suicidality among immigrants: Application of the interpersonal-psychological theory</t>
  </si>
  <si>
    <t>DEATH STUDIES</t>
  </si>
  <si>
    <t>NATIONAL EPIDEMIOLOGIC SURVEY; MENTAL-HEALTH; UNITED-STATES; ACCULTURATION; IDEATION; CHILDREN; MINORITY; TRAUMA; PAIN; DEPRESSION</t>
  </si>
  <si>
    <t>Immigrants constitute a significant percentage of the total population living in the United States; however, there is a paucity of research unique to suicidality among immigrants. The present article examines the applicability of the three variables of the interpersonal-psychological theory of suicidal behavior-acquired capability for suicide, sense of thwarted belongingness, and perceived burdensomeness-to conceptualize, assess, and treat suicidality among immigrants. Risk and protective factors and mechanisms are discussed in the context of 2 case studies and immigrant paradox. Clinical implications include assessment and treatment of immigrant-specific experiences. Obstacles to treatment and future research directions are presented.</t>
  </si>
  <si>
    <t>[Kene, Prachi; Brabeck, Kalina M.; Kelly, Catherine; DiCicco, Brian] Rhode Isl Coll, Dept Counseling Educ Leadership &amp; Sch Psychol, 120 James P Adams Lib,600 Mt Pleasant Ave, Providence, RI 02908 USA</t>
  </si>
  <si>
    <t>Kene, P (corresponding author), Rhode Isl Coll, Dept Counseling Educ Leadership &amp; Sch Psychol, 120 James P Adams Lib,600 Mt Pleasant Ave, Providence, RI 02908 USA.</t>
  </si>
  <si>
    <t>pkene@ric.edu</t>
  </si>
  <si>
    <t>0748-1187</t>
  </si>
  <si>
    <t>1091-7683</t>
  </si>
  <si>
    <t>DEATH STUD</t>
  </si>
  <si>
    <t>Death Stud.</t>
  </si>
  <si>
    <t>10.1080/07481187.2016.1155675</t>
  </si>
  <si>
    <t>Psychology, Multidisciplinary; Social Issues; Social Sciences, Biomedical</t>
  </si>
  <si>
    <t>Psychology; Social Issues; Biomedical Social Sciences</t>
  </si>
  <si>
    <t>DR8JH</t>
  </si>
  <si>
    <t>WOS:000380143700005</t>
  </si>
  <si>
    <t>Bueno-Gutierrez, D; Chantry, C</t>
  </si>
  <si>
    <t>Bueno-Gutierrez, Diana; Chantry, Caroline</t>
  </si>
  <si>
    <t>'Life does not make it easy to breast-feed': using the socio-ecological framework to determine social breast-feeding obstacles in a low-income population in Tijuana, Mexico</t>
  </si>
  <si>
    <t>PUBLIC HEALTH NUTRITION</t>
  </si>
  <si>
    <t>Breast-feeding; Obstacles; Low income; Socio-ecological framework</t>
  </si>
  <si>
    <t>LATIN-AMERICA; WOMENS EXPERIENCES; HEALTH; ACCULTURATION; DURATION; PERCEPTIONS; INCREASES; PATTERNS; PROGRAMS; FATHERS</t>
  </si>
  <si>
    <t>Objective: Breast-feeding rates reflect sociodemographic discrepancies. In Mexico, exclusive breast-feeding under 6 months of age has deteriorated among the poor, rural and indigenous populations from 1999 to 2012. Our objective of the present study was to identify the main social obstacles to breast-feeding in a low-income population in Tijuana, Mexico. Design: Qualitative study using a socio-ecological framework for data collection. Setting: Low-income communities in Tijuana, Mexico. Subjects: Mothers (n 66), fathers (n 11), grandparents (n 27) and key informants (n 25). Results: One hundred and twenty-nine individuals participated in the study: six focus groups (n 53) and fifty-one interviews among mothers, fathers and grandparents; and twenty-five interviews among key informants. Seven social themes were identified: (i) embarrassment to breast-feed in public; (ii) migrant experience; (iii) women's role in society; (iv) association of formula with higher social status; (v) marketing by the infant food industry; (vi) perception of a non-breast-feeding culture; and (vii) lack of breast-feeding social programmes. Conclusions: Socio-structural factors influence infant feeding practices in low-income communities in Tijuana. We hypothesize that messages emphasizing Mexican traditions along with modern healthy practices could help to re-establish and normalize a breast-feeding culture in this population. The target audience for these messages should not be limited to mothers but also include family, health-care providers, the work environment and society as a whole.</t>
  </si>
  <si>
    <t>[Bueno-Gutierrez, Diana] Univ Calif Davis, Dept Nutr, Davis, CA 95616 USA; [Chantry, Caroline] Univ Calif Davis, Childrens Hosp, Ctr Healthcare Policy &amp; Res, Sacramento, CA 95817 USA</t>
  </si>
  <si>
    <t>Bueno-Gutierrez, D (corresponding author), Univ Autonoma Baja California, Fac Med &amp; Psicol, Calzada Univ 14418,Parque Ind Int, Tijuana 22390, Mexico.</t>
  </si>
  <si>
    <t>dbuenogutierrez@ucdavis.edu</t>
  </si>
  <si>
    <t>Centro Nacional de Ciencia y Tecnologia (CONACYT), Mexico; Inter-American Fellowship (IAF) Grassroots Development, USA</t>
  </si>
  <si>
    <t>This work was supported by Centro Nacional de Ciencia y Tecnologia (CONACYT), Mexico and the Inter-American Fellowship (IAF) Grassroots Development, USA. Both organizations had no role in the design, analysis or writing of this article.</t>
  </si>
  <si>
    <t>CAMBRIDGE</t>
  </si>
  <si>
    <t>EDINBURGH BLDG, SHAFTESBURY RD, CB2 8RU CAMBRIDGE, ENGLAND</t>
  </si>
  <si>
    <t>1368-9800</t>
  </si>
  <si>
    <t>1475-2727</t>
  </si>
  <si>
    <t>PUBLIC HEALTH NUTR</t>
  </si>
  <si>
    <t>Public Health Nutr.</t>
  </si>
  <si>
    <t>10.1017/S1368980015000452</t>
  </si>
  <si>
    <t>Public, Environmental &amp; Occupational Health; Nutrition &amp; Dietetics</t>
  </si>
  <si>
    <t>CY8MG</t>
  </si>
  <si>
    <t>WOS:000366662100014</t>
  </si>
  <si>
    <t>Salo, CD; Birman, D</t>
  </si>
  <si>
    <t>Salo, Corrina D.; Birman, Dina</t>
  </si>
  <si>
    <t>Acculturation and Psychological Adjustment of Vietnamese Refugees: An Ecological Acculturation Framework</t>
  </si>
  <si>
    <t>Refugee; Acculturation; Life domain specificity; Social support; Occupation</t>
  </si>
  <si>
    <t>ASIAN-AMERICAN IMMIGRANTS; FORMER SOVIET-UNION; MENTAL-HEALTH; SOCIAL SUPPORT; STRUCTURAL MODEL; ADOLESCENTS; COMPETENCE; DISTRESS; STRESS; ASSOCIATION</t>
  </si>
  <si>
    <t>Acculturation to the culture of the host society as well as to one's heritage culture have been shown to impact immigrants' adjustment during the years following resettlement. While acculturation has been identified as an important factor in adjustment of Vietnamese immigrants (Birman and Tran in Am J Orthopsychiatr 78(1):109-120. doi:10.1037/0002-9432.78.1.109,2008),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t>
  </si>
  <si>
    <t>[Salo, Corrina D.] Univ Illinois, Dept Psychol MC 285, Chicago, IL 60607 USA; [Birman, Dina] Univ Miami, Dept Educ &amp; Psychol Studies, Sch Educ &amp; Human Dev, Coral Gables, FL 33146 USA</t>
  </si>
  <si>
    <t>Salo, CD (corresponding author), Univ Illinois, Dept Psychol MC 285, BSB 1009,1007 West Harrison St, Chicago, IL 60607 USA.</t>
  </si>
  <si>
    <t>csimon5@uic.edu; d.birman@miami.edu</t>
  </si>
  <si>
    <t>Birman, Dina/E-4628-2015</t>
  </si>
  <si>
    <t>Birman, Dina/0000-0003-2513-3048; Salo, Corrina/0000-0001-5042-3886</t>
  </si>
  <si>
    <t>10.1007/s10464-015-9760-9</t>
  </si>
  <si>
    <t>CV8DG</t>
  </si>
  <si>
    <t>WOS:000364506900017</t>
  </si>
  <si>
    <t>Reiss, K; Schunck, R; Razum, O</t>
  </si>
  <si>
    <t>Reiss, Katharina; Schunck, Reinhard; Razum, Oliver</t>
  </si>
  <si>
    <t>Effect of Length of Stay on Smoking among Turkish and Eastern European Immigrants in Germany-Interpretation in the Light of the Smoking Epidemic Model and the Acculturation Theory</t>
  </si>
  <si>
    <t>INTERNATIONAL JOURNAL OF ENVIRONMENTAL RESEARCH AND PUBLIC HEALTH</t>
  </si>
  <si>
    <t>emigrants and immigrants; acculturation; smoking; length of stay; longitudinal studies</t>
  </si>
  <si>
    <t>TOBACCO USE; HEALTH; PATTERNS; PREGNANCY; MORTALITY; CANCER; ADULTS; TIME</t>
  </si>
  <si>
    <t>Background: We analyzed changes in smoking by length of stay among immigrants in Germany and related them to the smoking epidemic model and the acculturation theory. Methods: We used data from a longitudinal survey (German Socio-economic Panel). Immigrants were identified by country of birth (Turkey: respondents n = 828, observations n = 3871; Eastern Europe: respondents n = 2009, observations n = 7202; non-immigrants: respondents n = 34,011, observations n = 140,701). Smoking status data was available for nine years between 1998 and 2012. Length of stay (LOS, in years) was used as proxy for acculturation. We calculated smoking prevalences, prevalence ratios and a random intercept multilevel logistic regression model. Results: With each year spent in Germany, smoking prevalence increases among Turkish women (OR = 1.14 (95%CI = 1.06-1.21)) and slightly decreases among men. Recently immigrated Turkish women smoke less than non-immigrant women (0-5 years: SPR = 0.25 (95%CI = 0.10-0.57)); prevalences converge with increasing LOS (31+ years: SPR = 1.25 (95%CI = 1.06-1.48)). Among Eastern European immigrants no significant changes were apparent. Conclusions: Immigrants from Turkey import their smoking prevalence from a country which is in the earlier stages of the smoking epidemic. With increasing LOS (thus, advancing acculturation), they move to the later stages. Anti-smoking interventions should consider different smoking attitudes in Turkey/Germany and need to discourage women from initiating smoking. Future research should also identify reasons for the possible differences between immigrant groups.</t>
  </si>
  <si>
    <t>[Reiss, Katharina; Razum, Oliver] Univ Bielefeld, Bielefeld Sch Publ Hlth, Dept Epidemiol &amp; Int Publ Hlth, D-33501 Bielefeld, Germany; [Reiss, Katharina] Aid Informat Serv Food Agr Consumer Protect, D-53123 Bonn, Germany; [Schunck, Reinhard] Univ Bielefeld, Dept Sociol, D-33501 Bielefeld, Germany</t>
  </si>
  <si>
    <t>Reiss, K (corresponding author), Univ Bielefeld, Bielefeld Sch Publ Hlth, Dept Epidemiol &amp; Int Publ Hlth, POB 100131, D-33501 Bielefeld, Germany.</t>
  </si>
  <si>
    <t>katharina.reiss@uni-bielefeld.de; reinhard.schunck@uni-bielefeld.de; oliver.razum@uni-bielefeld.de</t>
  </si>
  <si>
    <t>Razum, Oliver/0000-0002-1244-7649</t>
  </si>
  <si>
    <t>1660-4601</t>
  </si>
  <si>
    <t>INT J ENV RES PUB HE</t>
  </si>
  <si>
    <t>Int. J. Environ. Res. Public Health</t>
  </si>
  <si>
    <t>10.3390/ijerph121215030</t>
  </si>
  <si>
    <t>Environmental Sciences; Public, Environmental &amp; Occupational Health</t>
  </si>
  <si>
    <t>Environmental Sciences &amp; Ecology; Public, Environmental &amp; Occupational Health</t>
  </si>
  <si>
    <t>DA1EL</t>
  </si>
  <si>
    <t>WOS:000367539000073</t>
  </si>
  <si>
    <t>Ro, A; Bostean, G</t>
  </si>
  <si>
    <t>Ro, Annie; Bostean, Georgiana</t>
  </si>
  <si>
    <t>Duration of US stay and body mass index among Latino and Asian immigrants: A test of theoretical pathways</t>
  </si>
  <si>
    <t>SOCIAL SCIENCE &amp; MEDICINE</t>
  </si>
  <si>
    <t>Immigrant health; Obesity; Acculturation; Latinos; Asians</t>
  </si>
  <si>
    <t>MENTAL-HEALTH STATUS; PSYCHOLOGICAL DISTRESS; SOCIOECONOMIC-STATUS; ETHNIC-IDENTITY; PHYSICAL HEALTH; CHRONIC STRESS; ACCULTURATION; OBESITY; DISCRIMINATION; AMERICAN</t>
  </si>
  <si>
    <t>Studies find that longer-term immigrants have higher body mass index (BMI) than their more recently arrived counterparts. Most interpretations of these health patterns by duration of U.S. residence rely on theories of immigrant integration; they posit that with increasing time in the United States, immigrants incorporate economically, socially, and culturally into aspects of U.S. society, and that these changes impact health. Few studies empirically examine whether these aspects of integration are indeed mediators of the association between duration of U.S. stay and BMI, and if their patterns differ across immigrant subgroups. This study examines data from the National Latino and Asian American Survey, using path analytic methods to simultaneously test six hypothesized mediators between duration and BMI: household income, English language ability, ethnic identity, family cohesion, acculturative stress and discrimination for both Latino and Asian immigrants, stratified by gender. We find little evidence for an association between duration and BMI for either Latino or Asian men. For women, duration and BMI have a significant and positive relationship, although the pathways differ between the two ethnic groups. For Latina women, household income and acculturative stress are significant indirect pathways, although they work in opposing directions. For Asian women, English proficiency and discrimination are significant indirect pathways. Our findings reveal complex pathways between duration and BMI that vary by ethnicity and gender and highlight limitations in the negative acculturation theory, which suggests that exposure to the United States should have a net negative impact on health. In contrast, our findings suggest that not all groups show declining health with longer duration, as measured by BMI, and that integration processes do not always translate into health differences in the expected directions. Future research on duration patterns may need to consider alternative explanations beyond incorporation-based processes, such as cross-national health theories or age, period, cohort effects. (C) 2015 Elsevier Ltd. All rights reserved.</t>
  </si>
  <si>
    <t>[Ro, Annie] Univ Calif Irvine, Program Publ Hlth, Irvine, CA 92697 USA; [Bostean, Georgiana] Chapman Univ, Schmid Coll Sci &amp; Technol, Wilkinson Coll Humanities &amp; Social Sci, Orange, CA 92866 USA</t>
  </si>
  <si>
    <t>Ro, A (corresponding author), Univ Calif Irvine, Program Publ Hlth, Anteater Instruct &amp; Res Bldg AIRB,Room 2036, Irvine, CA 92697 USA.</t>
  </si>
  <si>
    <t>annie.ro@uci.edu; gbostean@chapman.edu</t>
  </si>
  <si>
    <t>Bostean, Georgiana/K-6602-2019</t>
  </si>
  <si>
    <t>Bostean, Georgiana/0000-0002-2322-2082</t>
  </si>
  <si>
    <t>0277-9536</t>
  </si>
  <si>
    <t>1873-5347</t>
  </si>
  <si>
    <t>SOC SCI MED</t>
  </si>
  <si>
    <t>Soc. Sci. Med.</t>
  </si>
  <si>
    <t>10.1016/j.socscimed.2015.09.001</t>
  </si>
  <si>
    <t>Public, Environmental &amp; Occupational Health; Social Sciences, Biomedical</t>
  </si>
  <si>
    <t>Public, Environmental &amp; Occupational Health; Biomedical Social Sciences</t>
  </si>
  <si>
    <t>CV4XA</t>
  </si>
  <si>
    <t>WOS:000364268600006</t>
  </si>
  <si>
    <t>Andreeva, VA; Unger, JB</t>
  </si>
  <si>
    <t>Andreeva, Valentina A.; Unger, Jennifer B.</t>
  </si>
  <si>
    <t>Determinants of Host Society Acculturation and Its Relationship with Health Behaviors and Outcomes: A New Research and Intervention Framework</t>
  </si>
  <si>
    <t>JOURNAL OF IMMIGRANT AND MINORITY HEALTH</t>
  </si>
  <si>
    <t>Immigration; Acculturation; Health behavior; Host society; Theory; Scoping review</t>
  </si>
  <si>
    <t>IMMIGRANT GENERATION; ALTERNATIVE MEDICINE; UNITED-STATES; CANCER; COMPLEMENTARY; AMERICANS; PATTERNS; ALCOHOL; ADULTS; MODEL</t>
  </si>
  <si>
    <t>Host society acculturation (or reverse acculturation) is a complex, multifactorial process reflecting the attitude- and behavior-level impact of immigrants on the host society. However, this phenomenon has rarely been the subject of systematic research in the area of public health. Using qualitative and quantitative findings from different health behavior domains, we strove to identify potential individual- and environment-level determinants of host society acculturation. Next, we developed a context-driven multilevel public health research and intervention framework for the study of the relationship between host society acculturation and health practices and outcomes. The framework posits a number of associations to be evaluated by future multidisciplinary research nationally and internationally.</t>
  </si>
  <si>
    <t>[Andreeva, Valentina A.; Unger, Jennifer B.] Univ So Calif, Keck Sch Med, Dept Prevent Med, Los Angeles, CA 90033 USA; [Andreeva, Valentina A.] Univ Paris 13, Nutr Epidemiol Res Grp, F-93017 Bobigny, France</t>
  </si>
  <si>
    <t>Andreeva, VA (corresponding author), Univ Paris 13, Nutr Epidemiol Res Grp, 74 Rue Marcel Cachin, F-93017 Bobigny, France.</t>
  </si>
  <si>
    <t>v.andreeva@uren.smbh.univ-paris13.fr</t>
  </si>
  <si>
    <t>Andreeva, Valentina/F-2680-2017</t>
  </si>
  <si>
    <t>Andreeva, Valentina/0000-0001-9480-5210; Unger, Jennifer/0000-0001-9064-6603</t>
  </si>
  <si>
    <t>Department of Preventive Medicine, Keck School of Medicine, University of Southern California</t>
  </si>
  <si>
    <t>This work was supported in part by a doctoral dissertation fellowship from the Department of Preventive Medicine, Keck School of Medicine, University of Southern California (Dr. Andreeva).</t>
  </si>
  <si>
    <t>1557-1912</t>
  </si>
  <si>
    <t>1557-1920</t>
  </si>
  <si>
    <t>J IMMIGR MINOR HEALT</t>
  </si>
  <si>
    <t>J. Immigr. Minor. Health</t>
  </si>
  <si>
    <t>10.1007/s10903-014-0104-x</t>
  </si>
  <si>
    <t>CQ9DL</t>
  </si>
  <si>
    <t>WOS:000360911300016</t>
  </si>
  <si>
    <t>Rebhun, U</t>
  </si>
  <si>
    <t>Rebhun, Uzi</t>
  </si>
  <si>
    <t>Assimilation in American Life: An Empirical Assessment of Milton Gordon's Multi-dimensional Theory</t>
  </si>
  <si>
    <t>JOURNAL OF CONTEMPORARY RELIGION</t>
  </si>
  <si>
    <t>TRANSNATIONAL MIGRATION; JEWISH IDENTIFICATION; SYMBOLIC ETHNICITY; UNITED-STATES; IMMIGRANT; ACCULTURATION; RELIGIOSITY; TRENDS</t>
  </si>
  <si>
    <t>This study empirically assesses Milton Gordon's theory of interrelated stages of assimilation. I focus on one small but salient religious minorityAmerican Jewsto show how structural assimilation is associated with other dimensions of assimilation: marital, identification, and behavior reception. Findings from multivariate analyses suggest that structural assimilation encourages Jews to marry non-Jews. Such a marriage composition has become a major determinant of identificational assimilation, with non-Jewish social relationships having important if somewhat weaker association with group identification. Social and economic attainments are moderate factors of identificational behavior that may sometimes strengthen, rather than weaken, religio-ethnic identification. The various components of structural assimilation are not significant for reception assimilation. The findings are discussed in relation to the functionalism concept, in connection with the more recent literature on immigration and assimilation and in view of the changing social context of America in the second half of the twentieth century from the dominance of the melting pot ethos to cultural pluralism.</t>
  </si>
  <si>
    <t>[Rebhun, Uzi] Hebrew Univ Jerusalem, A Harman Inst Contemporary Jewry, IL-91905 Jerusalem, Israel</t>
  </si>
  <si>
    <t>Rebhun, U (corresponding author), Hebrew Univ Jerusalem, A Harman Inst Contemporary Jewry, Div Jewish Demog &amp; Stat, IL-91905 Jerusalem, Israel.</t>
  </si>
  <si>
    <t>National Research Foundation of Korea - Korean GovernmentNational Research Foundation of KoreaKorean Government [NRF-2013S1A5B8A01055017]</t>
  </si>
  <si>
    <t>An earlier version of this article was presented at the annual meeting of the Population Association of America, Washington DC, 30 March-2 April 2011 (poster session) and at the Second International Krakow Study of Religious Symposium, Religions: Fields of Research, Methods, and Perspectives, Krakow, Jagiellonian University, 25-27 November 2013. I acknowledge support from the National Research Foundation of Korea Grant, funded by the Korean Government (NRF-2013S1A5B8A01055017). The comments received from the two anonymous referees of the Journal of Contemporary Religion were especially helpful. Responsibility for the contents of this article rests solely with the author.</t>
  </si>
  <si>
    <t>1353-7903</t>
  </si>
  <si>
    <t>1469-9419</t>
  </si>
  <si>
    <t>J CONTEMP RELIG</t>
  </si>
  <si>
    <t>J. Contemp. Relig.</t>
  </si>
  <si>
    <t>SEP 2</t>
  </si>
  <si>
    <t>10.1080/13537903.2015.1081350</t>
  </si>
  <si>
    <t>CR8QH</t>
  </si>
  <si>
    <t>WOS:000361618300001</t>
  </si>
  <si>
    <t>Antoniou, L; Andersson, HE</t>
  </si>
  <si>
    <t>Antoniou, Lia; Andersson, Hans E.</t>
  </si>
  <si>
    <t>Mapping migrants' inclusion: an analytical framework for examining policy output</t>
  </si>
  <si>
    <t>citizenship; analytical framework; policy; national citizenship regimes; rights; migrants</t>
  </si>
  <si>
    <t>IMMIGRANT INTEGRATION; CIVIC INTEGRATION; WESTERN-EUROPE; LIBERAL STATE; CITIZENSHIP; ACCULTURATION; ASSIMILATION; FRANCE; MODEL</t>
  </si>
  <si>
    <t>Comparative studies on the extension of rights, including naturalization rights, to migrants have grown exponentially. We propose a theoretically informed analytical framework to examine state policies relating to the extension of rights to aliens and citizenship acquisition. It consists of three frames: the rights frame, the citizenship eligibility frame and the earned citizenship frame. The framework enables the examination and mapping of policy developments in this broad field, while also elucidating how the notions of membership, status and identity - key constructs associated with the nation state - are articulated in states' policy attempts to 'integrate' migrants, and, importantly, how they are reformulated over time. In the process, the framework nuances ideas about the coherence and stability of national citizenship regimes, brings greater conceptual clarity to the field, and delimits and delineates the citizenship construct. It also provides scope for additional and new comparative insights within and across states.</t>
  </si>
  <si>
    <t>[Antoniou, Lia] Sodertorn Univ, Sch Social Sci, Dept Sociol, SE-14189 Huddinge, Sweden; [Andersson, Hans E.] Sodertorn Univ, Sch Social Sci, Dept Polit Sci, SE-14189 Huddinge, Sweden</t>
  </si>
  <si>
    <t>Antoniou, L (corresponding author), Sodertorn Univ, Sch Social Sci, Dept Sociol, SE-14189 Huddinge, Sweden.</t>
  </si>
  <si>
    <t>lia.antoniou@sh.se; hans.andersson@sh.se</t>
  </si>
  <si>
    <t>Foundation for Baltic and East European Studies, Sweden [1288/42/2009]</t>
  </si>
  <si>
    <t>This work was supported by the Foundation for Baltic and East European Studies, Sweden [grant number 1288/42/2009].</t>
  </si>
  <si>
    <t>AUG 9</t>
  </si>
  <si>
    <t>10.1080/01419870.2015.1012176</t>
  </si>
  <si>
    <t>CJ9FO</t>
  </si>
  <si>
    <t>WOS:000355808100003</t>
  </si>
  <si>
    <t>Yuill, K</t>
  </si>
  <si>
    <t>Yuill, Kevin</t>
  </si>
  <si>
    <t>The spectre of Japan: the influence of foreign relations on race relations theory, 1905-24</t>
  </si>
  <si>
    <t>PATTERNS OF PREJUDICE</t>
  </si>
  <si>
    <t>1906 San Francisco schools crisis; history of race relations; Immigration Act of 1924; Japanese-American relations; Johnson-Reed Act; US international relations; US race relations</t>
  </si>
  <si>
    <t>AMERICAN; WAR</t>
  </si>
  <si>
    <t>Race relations became the dominant paradigm by the time the official report on the 1919 Chicago riot, The Negro in Chicago, was published. It expressed a new appreciation of the danger to Whites of conflict based on colour. Before 1905 most observers assumed the inferiority of Blacks and saw race conflict as the fault of African Americans. But a new possibility arose when the fate of African Americans was linked to the rising power of Japan, occurring after the defeat of Russia by Japan in 1904-5. Race conflict, in this new model, was a form of conflict between nations. Race relations pioneer Robert E. Park, in his 1913 article, Racial Assimilation in Secondary Groups', noted that under conditions. . . of individual liberty and individual competition, characteristic of modern civilization, depressed racial groups tend to assume the form of nationalities. A nationality, in this narrower sense, may be defined as the racial group which has attained self-consciousness, no matter whether it has at the same time gained political independence or not.' Yuill's paper will explore the thesis that a liberal perspective based on developments in contemporary international relations slowly changed the way race was regarded in the United States. From 1905 onwards, a new liberal paradigm sought to manage race conflict. It was thisrather than labour-based racial antipathies or commitment to racial equalitythat shaped US race relations in the twentieth century.</t>
  </si>
  <si>
    <t>Univ Sunderland, Amer Hist, Sunderland SR2 7EE, Durham, England</t>
  </si>
  <si>
    <t>Yuill, K (corresponding author), Univ Sunderland, Amer Hist, Sunderland SR2 7EE, Durham, England.</t>
  </si>
  <si>
    <t>kevin.yuill@sunderland.ac.uk</t>
  </si>
  <si>
    <t>0031-322X</t>
  </si>
  <si>
    <t>1461-7331</t>
  </si>
  <si>
    <t>PATTERNS PREJUDICE</t>
  </si>
  <si>
    <t>Patterns Prejudice</t>
  </si>
  <si>
    <t>AUG 8</t>
  </si>
  <si>
    <t>10.1080/0031322X.2015.1073974</t>
  </si>
  <si>
    <t>Humanities, Multidisciplinary; Ethnic Studies</t>
  </si>
  <si>
    <t>Arts &amp; Humanities - Other Topics; Ethnic Studies</t>
  </si>
  <si>
    <t>CQ6EA</t>
  </si>
  <si>
    <t>WOS:000360696000001</t>
  </si>
  <si>
    <t>DiMaggio, P; Fernandez-Kelly, P</t>
  </si>
  <si>
    <t>DiMaggio, Paul; Fernandez-Kelly, Patricia</t>
  </si>
  <si>
    <t>Immigration and the arts: a theoretical inquiry</t>
  </si>
  <si>
    <t>immigration; art; immigrant assimilation; cultural incorporation; expressive entrepreneurship</t>
  </si>
  <si>
    <t>This paper proposes a systematic approach to the study of immigration and art by considering relevant theoretical concepts. We focus on the role of institutions and economic change as forces shaping the expressive alternatives of immigrants and their children.</t>
  </si>
  <si>
    <t>[DiMaggio, Paul; Fernandez-Kelly, Patricia] Princeton Univ, Dept Sociol, Princeton, NJ 08544 USA</t>
  </si>
  <si>
    <t>DiMaggio, P (corresponding author), Princeton Univ, Dept Sociol, 118 Wallace Hall, Princeton, NJ 08544 USA.</t>
  </si>
  <si>
    <t>dimaggio@princeton.edu; mpfk@princeton.edu</t>
  </si>
  <si>
    <t>4 PARK SQUARE, MILTON PARK, ABINGDON OX14 4RN, OXFORDSHIRE, ENGLAND</t>
  </si>
  <si>
    <t>JUN 21</t>
  </si>
  <si>
    <t>10.1080/01419870.2015.1016081</t>
  </si>
  <si>
    <t>CG6OS</t>
  </si>
  <si>
    <t>WOS:000353422100004</t>
  </si>
  <si>
    <t>Kuo, BCH; Roldan-Bau, A; Lowinger, R</t>
  </si>
  <si>
    <t>Kuo, Ben C. H.; Roldan-Bau, Alma; Lowinger, Robert</t>
  </si>
  <si>
    <t>Psychological Help-Seeking among Latin American Immigrants in Canada: Testing a Culturally-Expanded Model of the Theory of Reasoned Action Using Path Analysis</t>
  </si>
  <si>
    <t>INTERNATIONAL JOURNAL FOR THE ADVANCEMENT OF COUNSELLING</t>
  </si>
  <si>
    <t>Help-seeking; Theory of reasoned action; Acculturation; Familism; Coping; Latino</t>
  </si>
  <si>
    <t>The current study investigated the psychosocial and cultural predictors of psychological help-seeking based on the Theory of Reasoned Action (TRA: Ajzen and Fishbein 1980) in a sample of 223 adult Latin American immigrants living in Canada. Using path analysis, the results provided empirical support for the TRA, as both help-seeking attitudes and subjective norms were found to influence participants' help-seeking intentions. Moreover, the re-specified culturally-expanded model showed a good fit to the data and revealed the direct and indirect effects that bi-directional acculturation (Latino and Canadian Cultural orientations), familism, and collective coping had on help-seeking intentions. The results point to the integral roles familism and subjective norms of social referents (e.g., parents, siblings) play in the help-seeking decision process among Latin Americans. Limitations, future research directions and clinical implications are considered and discussed.</t>
  </si>
  <si>
    <t>[Kuo, Ben C. H.; Roldan-Bau, Alma] Univ Windsor, Dept Psychol, 401 Sunset Ave,Chrysler Hall South, Windsor, ON N9B 3P4, Canada; [Lowinger, Robert] Bluefield State Coll, Bluefield, WV USA</t>
  </si>
  <si>
    <t>Kuo, BCH (corresponding author), Univ Windsor, Dept Psychol, 401 Sunset Ave,Chrysler Hall South, Windsor, ON N9B 3P4, Canada.</t>
  </si>
  <si>
    <t>benkuo@uwindsor.ca</t>
  </si>
  <si>
    <t>Lowinger, Robert Jay/J-9101-2019; Kuo, Ben C. H./L-4222-2019</t>
  </si>
  <si>
    <t>0165-0653</t>
  </si>
  <si>
    <t>1573-3246</t>
  </si>
  <si>
    <t>INT J ADV COUNS</t>
  </si>
  <si>
    <t>Int. J. Adv. Couns.</t>
  </si>
  <si>
    <t>10.1007/s10447-015-9236-5</t>
  </si>
  <si>
    <t>VG3HK</t>
  </si>
  <si>
    <t>WOS:000446370600008</t>
  </si>
  <si>
    <t>Mazanec, JA; Crotts, JC; Gursoy, D; Lu, L</t>
  </si>
  <si>
    <t>Mazanec, Josef A.; Crotts, John C.; Gursoy, Dogan; Lu, Lu</t>
  </si>
  <si>
    <t>Homogeneity versus heterogeneity of cultural values: An item-response theoretical approach applying Hofstede's cultural dimensions in a single nation</t>
  </si>
  <si>
    <t>TOURISM MANAGEMENT</t>
  </si>
  <si>
    <t>Hofstede; Cultural values; Acculturation</t>
  </si>
  <si>
    <t>CONSUMER-BEHAVIOR; INDIVIDUAL-LEVEL; CONVERGENCE; SCHWARTZ; DISTANCE; COUNTRY</t>
  </si>
  <si>
    <t>The focus of this study is threefold. First it tested the validity and reliability of a scale designed to measure Hofstede's five cultural dimensions at the individual or psychological level across two large (n &gt; 500) convenience samples of the United States population. Once deemed an appropriate measure, the scale was applied to questions testing the homogeneity of the measures. The questions refer to the speed to which acculturation occurs within an immigrant population and the degree to which purported regional geographic differences constitute distinct cultural values as measured by Hofstede. Implications for tourism marketers as well as a call for future research are discussed. (C) 2014 Elsevier Ltd. All rights reserved.</t>
  </si>
  <si>
    <t>[Mazanec, Josef A.] MODUL Univ, Dept Tourism &amp; Serv Management, Vienna, Austria; [Crotts, John C.] Coll Charleston, Sch Business, Dept Hospitality &amp; Tourism Management, Charleston, SC 29424 USA; [Gursoy, Dogan; Lu, Lu] Washington State Univ, Coll Business, Sch Hospitality Business Management, Pullman, WA 99164 USA</t>
  </si>
  <si>
    <t>Crotts, JC (corresponding author), Coll Charleston, Sch Business, Dept Hospitality &amp; Tourism Management, Charleston, SC 29424 USA.</t>
  </si>
  <si>
    <t>crottsj@cofc.edu</t>
  </si>
  <si>
    <t>Gursoy, Dogan/A-3493-2008</t>
  </si>
  <si>
    <t>Gursoy, Dogan/0000-0002-3602-9433</t>
  </si>
  <si>
    <t>0261-5177</t>
  </si>
  <si>
    <t>1879-3193</t>
  </si>
  <si>
    <t>TOURISM MANAGE</t>
  </si>
  <si>
    <t>Tourism Manage.</t>
  </si>
  <si>
    <t>10.1016/j.tourman.2014.11.011</t>
  </si>
  <si>
    <t>Environmental Studies; Hospitality, Leisure, Sport &amp; Tourism; Management</t>
  </si>
  <si>
    <t>Environmental Sciences &amp; Ecology; Social Sciences - Other Topics; Business &amp; Economics</t>
  </si>
  <si>
    <t>CC9SD</t>
  </si>
  <si>
    <t>WOS:000350710600025</t>
  </si>
  <si>
    <t>Guo, C; Al Ariss, A</t>
  </si>
  <si>
    <t>Guo, Chun; Al Ariss, Akram</t>
  </si>
  <si>
    <t>Human resource management of international migrants: current theories and future research INTRODUCTION</t>
  </si>
  <si>
    <t>INTERNATIONAL JOURNAL OF HUMAN RESOURCE MANAGEMENT</t>
  </si>
  <si>
    <t>expatriation; skilled migration; migration; international mobility; self-initiated expatriation</t>
  </si>
  <si>
    <t>SELF-INITIATED EXPATRIATION; CULTURAL ADJUSTMENT; RESEARCH DIRECTIONS; MIGRATION; IMMIGRANTS; PERSPECTIVE; MOBILITY; GENDER; PROFESSIONALS; RECRUITMENT</t>
  </si>
  <si>
    <t>The topic of international migration has gained increasing importance for organizations as they expand internationally. In this paper, we review prior research on human resource management (HRM) of international migrants to identify gaps in the literature. We then discuss paths for future research and present the papers in this special issue, so as to offer a better understanding of HRM of international migrants.</t>
  </si>
  <si>
    <t>[Guo, Chun] Sacred Heart Univ, John F Welch Coll Business, Dept Management, Fairfield, CT 06825 USA; [Al Ariss, Akram] Univ Toulouse, Toulouse Business Sch, Dept Human Resource Management, Toulouse, France</t>
  </si>
  <si>
    <t>Guo, C (corresponding author), Sacred Heart Univ, John F Welch Coll Business, Dept Management, Fairfield, CT 06825 USA.</t>
  </si>
  <si>
    <t>chun-guog@sacredheart.edu</t>
  </si>
  <si>
    <t>0958-5192</t>
  </si>
  <si>
    <t>1466-4399</t>
  </si>
  <si>
    <t>INT J HUM RESOUR MAN</t>
  </si>
  <si>
    <t>Int. J. Hum. Resour. Manag.</t>
  </si>
  <si>
    <t>MAY 31</t>
  </si>
  <si>
    <t>10.1080/09585192.2015.1011844</t>
  </si>
  <si>
    <t>CC3XR</t>
  </si>
  <si>
    <t>WOS:000350285100001</t>
  </si>
  <si>
    <t>Greenhalgh, T; Clinch, M; Afsar, N; Choudhury, Y; Sudra, R; Campbell-Richards, D; Claydon, A; Hitman, GA; Hanson, P; Finer, S</t>
  </si>
  <si>
    <t>Greenhalgh, Trisha; Clinch, Megan; Afsar, Nur; Choudhury, Yasmin; Sudra, Rita; Campbell-Richards, Desiree; Claydon, Anne; Hitman, Graham A.; Hanson, Philippa; Finer, Sarah</t>
  </si>
  <si>
    <t>Socio-cultural influences on the behaviour of South Asian women with diabetes in pregnancy: qualitative study using a multi-level theoretical approach</t>
  </si>
  <si>
    <t>BMC MEDICINE</t>
  </si>
  <si>
    <t>Diabetes; Fetal programming; Gestational diabetes; Illness narrative; Pregnancy; Social ecology</t>
  </si>
  <si>
    <t>MINORITY ETHNIC-GROUPS; PHYSICAL-ACTIVITY; SELF-MANAGEMENT; RISK-FACTORS; INTERNATIONAL ASSOCIATION; BRITISH BANGLADESHIS; PRECONCEPTION CARE; HEALTH; MELLITUS; EDUCATION</t>
  </si>
  <si>
    <t>Background: Diabetes in pregnancy is common in South Asians, especially those from low-income backgrounds, and leads to short-term morbidity and longer-term metabolic programming in mother and offspring. We sought to understand the multiple influences on behaviour (hence risks to metabolic health) of South Asian mothers and their unborn child, theorise how these influences interact and build over time, and inform the design of culturally congruent, multi-level interventions. Methods: Our sample for this qualitative study was 45 women of Bangladeshi, Indian, Sri Lankan, or Pakistani origin aged 21-45 years with a history of diabetes in pregnancy, recruited from diabetes and antenatal services in two deprived London boroughs. Overall, 17 women shared their experiences of diabetes, pregnancy, and health services in group discussions and 28 women gave individual narrative interviews, facilitated by multilingual researchers, audiotaped, translated, and transcribed. Data were analysed using the constant comparative method, drawing on sociological and narrative theories. Results: Key storylines (over-arching narratives) recurred across all ethnic groups studied. Short-term storylines depicted the experience of diabetic pregnancy as stressful, difficult to control, and associated with negative symptoms, especially tiredness. Taking exercise and restricting diet often worsened these symptoms and conflicted with advice from relatives and peers. Many women believed that exercise in pregnancy would damage the fetus and drain the mother's strength, and that eating would be strength-giving for mother and fetus. These short-term storylines were nested within medium-term storylines about family life, especially the cultural, practical, and material constraints of the traditional South Asian wife and mother role and past experiences of illness and healthcare, and within longer-term storylines about genetic, cultural, and material heritage -including migration, acculturation, and family memories of food insecurity. While peer advice was familiar, meaningful, and morally resonant, health education advice from clinicians was usually unfamiliar and devoid of cultural meaning. Conclusions: 'Behaviour change' interventions aimed at preventing and managing diabetes in South Asian women before and during pregnancy are likely to be ineffective if delivered in a socio-cultural vacuum. Individual education should be supplemented with community-level interventions to address the socio-material constraints and cultural frames within which behavioural 'choices' are made.</t>
  </si>
  <si>
    <t>[Greenhalgh, Trisha] Univ Oxford, Nuffield Dept Primary Care Hlth Sci, Oxford OX2 6GG, England; [Clinch, Megan; Choudhury, Yasmin; Hitman, Graham A.; Finer, Sarah] Barts &amp; London Queen Marys Sch Med &amp; Dent, Blizard Inst, London E1 2AT, England; [Afsar, Nur] CUNY, Sch Med, Sophie Davis Sch Biomed Educ, Community Hlth &amp; Social Med Dept, New York, NY 10031 USA; [Sudra, Rita; Campbell-Richards, Desiree; Claydon, Anne] Newham Univ Hosp, Dept Diabet, London E13 8SL, England; [Hitman, Graham A.; Hanson, Philippa; Finer, Sarah] Royal London Hosp, Dept Diabet, London E1 1BB, England</t>
  </si>
  <si>
    <t>Greenhalgh, T (corresponding author), Univ Oxford, Nuffield Dept Primary Care Hlth Sci, New Radcliffe House,Walton St, Oxford OX2 6GG, England.</t>
  </si>
  <si>
    <t>trish.greenhalgh@phc.ox.ac.uk</t>
  </si>
  <si>
    <t>; Greenhalgh, Trisha/B-1825-2015</t>
  </si>
  <si>
    <t>Finer, Sarah/0000-0002-2684-4653; Hitman, Graham/0000-0002-6637-9004; Greenhalgh, Trisha/0000-0003-2369-8088</t>
  </si>
  <si>
    <t>Medical Research CouncilUK Research &amp; Innovation (UKRI)Medical Research Council UK (MRC)European Commission [G0800441] Funding Source: Medline; National Institute for Health ResearchNational Institute for Health Research (NIHR) [CL-2012-14-001, NF-SI-0512-10031] Funding Source: researchfish</t>
  </si>
  <si>
    <t>1741-7015</t>
  </si>
  <si>
    <t>BMC MED</t>
  </si>
  <si>
    <t>BMC Med.</t>
  </si>
  <si>
    <t>MAY 21</t>
  </si>
  <si>
    <t>10.1186/s12916-015-0360-1</t>
  </si>
  <si>
    <t>CK0SA</t>
  </si>
  <si>
    <t>WOS:000355914000001</t>
  </si>
  <si>
    <t>Stark, O; Bielawski, J; Jakubek, M</t>
  </si>
  <si>
    <t>Stark, Oded; Bielawski, Jakub; Jakubek, Marcin</t>
  </si>
  <si>
    <t>The impact of the assimilation of migrants on the well-being of native inhabitants: A theory</t>
  </si>
  <si>
    <t>JOURNAL OF ECONOMIC BEHAVIOR &amp; ORGANIZATION</t>
  </si>
  <si>
    <t>Migrants' assimilation; The well-being of native inhabitants</t>
  </si>
  <si>
    <t>We present a theory that systematically and causally links the well-being of native inhabitants with variation in the extent of the assimilation of migrants. Recent empirical findings are yielded as predictions of the theory. (C) 2014 Elsevier B.V. All rights reserved.</t>
  </si>
  <si>
    <t>[Stark, Oded] Univ Bonn, D-53113 Bonn, Germany; [Stark, Oded] Univ Vienna, A-1010 Vienna, Austria; [Stark, Oded] Univ Warsaw, PL-00325 Warsaw, Poland; [Bielawski, Jakub] Cracow Univ Econ, Krakow, Poland; [Jakubek, Marcin] Polish Acad Sci, Inst Econ, PL-00901 Warsaw, Poland</t>
  </si>
  <si>
    <t>Stark, O (corresponding author), Univ Bonn, ZEF, Walter Flex Str 3, D-53113 Bonn, Germany.</t>
  </si>
  <si>
    <t>ostark@uni-bonn.de</t>
  </si>
  <si>
    <t>Jakubek, Marcin/N-6459-2017</t>
  </si>
  <si>
    <t>Jakubek, Marcin/0000-0002-0071-8579; Bielawski, Jakub/0000-0001-6816-4501</t>
  </si>
  <si>
    <t>Georgetown University Edmund A. Walsh School of Foreign Service in Qatar</t>
  </si>
  <si>
    <t>We are indebted to William Neilson for advice and encouragement, and to Agata Corny and Ewa Zawojska for enlightening comments. The support of Georgetown University Edmund A. Walsh School of Foreign Service in Qatar is gratefully acknowledged.</t>
  </si>
  <si>
    <t>0167-2681</t>
  </si>
  <si>
    <t>1879-1751</t>
  </si>
  <si>
    <t>J ECON BEHAV ORGAN</t>
  </si>
  <si>
    <t>J. Econ. Behav. Organ.</t>
  </si>
  <si>
    <t>10.1016/j.jebo.2014.12.010</t>
  </si>
  <si>
    <t>CE6RC</t>
  </si>
  <si>
    <t>WOS:000351964600006</t>
  </si>
  <si>
    <t>Treas, J</t>
  </si>
  <si>
    <t>Treas, Judith</t>
  </si>
  <si>
    <t>Incorporating Immigrants: Integrating Theoretical Frameworks of Adaptation</t>
  </si>
  <si>
    <t>JOURNALS OF GERONTOLOGY SERIES B-PSYCHOLOGICAL SCIENCES AND SOCIAL SCIENCES</t>
  </si>
  <si>
    <t>Assimilation theory; Immigrants; Life course; Time dependence; Generations</t>
  </si>
  <si>
    <t>OLDER-PEOPLE; LANGUAGE USE; LIFE; ETHNICITY; ACCULTURATION; ASSIMILATION; SPAN; RACE; 2ND-GENERATION; ADULTHOOD</t>
  </si>
  <si>
    <t>Objectives. To encourage research on immigrants and aging by analyzing theoretical commonalities in the two fields and identifying potential contributions of aging theories, specifically to the understanding of neglected age differences in the pace of immigrant incorporation. Methods. Survey of the historical development of assimilation theory and its successors and systematic comparison of key concepts in aging and immigrant incorporation theories. Results. Studies of immigrants, as well as of the life course, trace their origins to the Chicago School at the turn of the 20th century. Today, both theoretical perspectives emphasize adaptation as a time-dependent, multidimensional, nonlinear, and multidirectional process. Immigrant incorporation theories have not fully engaged with a key concern of aging theory-why there are age differences. Insights from cognitive aging and developmental biology, life-span developmental psychology, and age stratification and the life course suggest explanations for age differences in the speed of immigrant incorporation. Discussion. Theories of adaptation to aging and theories of immigrant incorporation developed so independently that they neglected the subject they have in common, namely, older immigrants. Because they address similar conceptual problems and share key assumptions, a productive dialogue between two vibrant fields is long overdue.</t>
  </si>
  <si>
    <t>Univ Calif Irvine, Dept Sociol, Irvine, CA 92697 USA</t>
  </si>
  <si>
    <t>Treas, J (corresponding author), Univ Calif Irvine, Dept Sociol, Social Sci Plaza Bldg 3151A, Irvine, CA 92697 USA.</t>
  </si>
  <si>
    <t>jktreas@uci.edu</t>
  </si>
  <si>
    <t>1079-5014</t>
  </si>
  <si>
    <t>1758-5368</t>
  </si>
  <si>
    <t>J GERONTOL B-PSYCHOL</t>
  </si>
  <si>
    <t>J. Gerontol. Ser. B-Psychol. Sci. Soc. Sci.</t>
  </si>
  <si>
    <t>10.1093/geronb/gbu067</t>
  </si>
  <si>
    <t>Geriatrics &amp; Gerontology; Gerontology; Psychology; Psychology, Multidisciplinary</t>
  </si>
  <si>
    <t>Geriatrics &amp; Gerontology; Psychology</t>
  </si>
  <si>
    <t>CE1ZJ</t>
  </si>
  <si>
    <t>WOS:000351611400010</t>
  </si>
  <si>
    <t>Chang, SJ; Im, EO</t>
  </si>
  <si>
    <t>Chang, Sun Ju; Im, Eun-Ok</t>
  </si>
  <si>
    <t>Testing a Theoretical Model of Immigration Transition and Physical Activity</t>
  </si>
  <si>
    <t>RESEARCH AND THEORY FOR NURSING PRACTICE</t>
  </si>
  <si>
    <t>immigration transition; immigrants; physical activity; theoretical model; women</t>
  </si>
  <si>
    <t>MIDLIFE WOMENS ATTITUDES; LEISURE-TIME; ACCULTURATION; AMERICANS; VALIDATION; HEALTH</t>
  </si>
  <si>
    <t>The purposes of the study were to develop a theoretical model to explain the relationships between immigration transition and midlife women's physical activity and test the relationships among the major variables of the model. A theoretical model, which was developed based on transitions theory and the midlife women's attitudes toward physical activity theory, consists of 4 major variables, including length of stay in the United States, country of birth, level of acculturation, and midlife women's physical activity. To test the theoretical model, a secondary analysis with data from 127 Hispanic women and 123 non-Hispanic (NH) Asian women in a national Internet study was used. Among the major variables of the model, length of stay in the United States was negatively associated with physical activity in Hispanic women. Level of acculturation in NH Asian women was positively correlated with women's physical activity. Country of birth and level of acculturation were significant factors that influenced physical activity in both Hispanic and NH Asian women. The findings support the theoretical model that was developed to examine relationships between immigration transition and physical activity; it shows that immigration transition can play an essential role in influencing health behaviors of immigrant populations in the United States. The NH theoretical model can be widely used in nursing practice and research that focus on immigrant women and their health behaviors. Health care providers need to consider the influences of immigration transition to promote immigrant women's physical activity.</t>
  </si>
  <si>
    <t>[Chang, Sun Ju] Chungbuk Natl Univ, Dept Nursing Sci, 52 Naesudong Ro, Chungju Si 361763, Chungbuk, South Korea; [Im, Eun-Ok] Univ Penn, Sch Nursing, Philadelphia, PA 19104 USA</t>
  </si>
  <si>
    <t>Chang, SJ (corresponding author), Chungbuk Natl Univ, Dept Nursing Sci, 52 Naesudong Ro, Chungju Si 361763, Chungbuk, South Korea.</t>
  </si>
  <si>
    <t>sjchang@chungbuk.ac.kr</t>
  </si>
  <si>
    <t>Chang, Sun Ju/0000-0001-6967-1564</t>
  </si>
  <si>
    <t>National Institutes of Health (NIH/NINR/NHLBI)United States Department of Health &amp; Human ServicesNational Institutes of Health (NIH) - USANIH National Heart Lung &amp; Blood Institute (NHLBI)NIH National Institute of Nursing Research (NINR) [R01NR010568]; NATIONAL INSTITUTE OF NURSING RESEARCHUnited States Department of Health &amp; Human ServicesNational Institutes of Health (NIH) - USANIH National Institute of Nursing Research (NINR) [R01NR010568] Funding Source: NIH RePORTER</t>
  </si>
  <si>
    <t>The original study of this secondary analysis was funded by the National Institutes of Health (NIH/NINR/NHLBI; R01NR010568). The content is solely the responsibility of the authors and does not necessarily represent the official views of the NIH.</t>
  </si>
  <si>
    <t>SPRINGER PUBLISHING CO</t>
  </si>
  <si>
    <t>11 WEST 42ND STREET, NEW YORK, NY 10036 USA</t>
  </si>
  <si>
    <t>1541-6577</t>
  </si>
  <si>
    <t>1945-7286</t>
  </si>
  <si>
    <t>RES THEOR NURS PRACT</t>
  </si>
  <si>
    <t>Res. Theory Nurs. Pract.</t>
  </si>
  <si>
    <t>10.1891/1541-6577.29.3.177</t>
  </si>
  <si>
    <t>DC3PG</t>
  </si>
  <si>
    <t>WOS:000369130600002</t>
  </si>
  <si>
    <t>Baird, MB; Reed, PG</t>
  </si>
  <si>
    <t>Baird, Martha B.; Reed, Pamela G.</t>
  </si>
  <si>
    <t>Liminality in Cultural Transition: Applying ID-EA to Advance a Concept Into Theory-Based Practice</t>
  </si>
  <si>
    <t>situation-specific theory; practice theory; liminality; cultural transition; ID-EA method of concept development; refugees</t>
  </si>
  <si>
    <t>REFUGEE WOMEN</t>
  </si>
  <si>
    <t>As global migration increases worldwide, nursing interventions are needed to address the effects of migration on health. The concept of liminality emerged as a pivotal concept in the situation-specific theory of well-being in refugee women experiencing cultural transition. As a relatively new concept in the discipline of nursing, liminality is explored using a method, called ID-EA, which we developed to advance a theoretical concept for application to nursing practice. Liminality in the context of cultural transition is further developed using the five steps of inquiry of the ID-EA method. The five steps are as follows: (1) inductive inquiry: qualitative research, (2) deductive inquiry: literature review, (3) synthesis of inductive and deductive inquiry, (4) evaluation inquiry, and (5) application-to-practice inquiry. The overall goal of this particular work was to develop situation-specific, theory-based interventions that facilitate cultural transitions for immigrants and refugees.</t>
  </si>
  <si>
    <t>[Baird, Martha B.] Univ Kansas, Med Ctr, Kansas City, KS 66106 USA; [Reed, Pamela G.] Univ Arizona, Tucson, AZ 85721 USA</t>
  </si>
  <si>
    <t>Baird, MB (corresponding author), Univ Kansas, Med Ctr, 3901 Rainbow Blvd,Mail Stop 4043, Kansas City, KS 66106 USA.</t>
  </si>
  <si>
    <t>mbaird@kumc.edu</t>
  </si>
  <si>
    <t>10.1891/1541-6577.29.1.25</t>
  </si>
  <si>
    <t>CK2DC</t>
  </si>
  <si>
    <t>WOS:000356019400004</t>
  </si>
  <si>
    <t>Epstein, GS; Heizler, O</t>
  </si>
  <si>
    <t>Epstein, Gil S.; Heizler, Odelia (Cohen)</t>
  </si>
  <si>
    <t>Ethnic identity: a theoretical framework</t>
  </si>
  <si>
    <t>IZA JOURNAL OF MIGRATION</t>
  </si>
  <si>
    <t>Ethnic identification; Ethnosizer; Immigrants; Assimilation; Integration; Separation; Marginalization</t>
  </si>
  <si>
    <t>We present a basic theoretical framework of ethnic identity, i.e., the level of immigrant's commitment to his or her host society as well as the immigrant's commitment to his or her home society. Our model can explain the emerging empirical literature which studies the effect of the immigrants' characteristics, such as age, gender, education, religion, age at arrival, stock of immigrants in the host country, etc., on their ethnic identity (such as the Ethnosizer). In addition, this paper can be used as a basis for future empirical and theoretical research on this topic.</t>
  </si>
  <si>
    <t>[Epstein, Gil S.] Bar Ilan Univ, Dept Econ, IL-52900 Ramat Gan, Israel; [Epstein, Gil S.; Heizler, Odelia (Cohen)] IZA, Bonn, Germany; [Heizler, Odelia (Cohen)] CReAM, London, England; [Heizler, Odelia (Cohen)] Tel Aviv Yaffo Acad Coll, Dept Econ &amp; Management, Tel Aviv, Israel</t>
  </si>
  <si>
    <t>Epstein, GS (corresponding author), Bar Ilan Univ, Dept Econ, IL-52900 Ramat Gan, Israel.</t>
  </si>
  <si>
    <t>gil.epstein@biu.ac.il</t>
  </si>
  <si>
    <t>2193-9039</t>
  </si>
  <si>
    <t>IZA J MIGR</t>
  </si>
  <si>
    <t>IZA J. MIGR.</t>
  </si>
  <si>
    <t>10.1186/s40176-015-0033-z</t>
  </si>
  <si>
    <t>V26LH</t>
  </si>
  <si>
    <t>WOS:000215293200009</t>
  </si>
  <si>
    <t>Martiniello, M; Rea, A</t>
  </si>
  <si>
    <t>Martiniello, Marco; Rea, Andrea</t>
  </si>
  <si>
    <t>The concept of migratory careers: Elements for a new theoretical perspective of contemporary human mobility</t>
  </si>
  <si>
    <t>CURRENT SOCIOLOGY</t>
  </si>
  <si>
    <t>Career; incorporation; integration; migration; Processus de migration; integration; assimilation; carriere; reseaux sociaux; Proceso de migracion; integracion; incorporacion; carrera; redes sociales</t>
  </si>
  <si>
    <t>SEGMENTED ASSIMILATION; 2ND-GENERATION</t>
  </si>
  <si>
    <t>The article offers a relatively new theoretical framework articulating macro, meso and micro levels of analysis of the migration process, which often are disconnected in the sociology of migration. This alternative approach rests on the classical sociological concept of career. The concept of migratory career integrates structures of opportunities, individual characteristics and networks to make sense of the migratory experience. This concept helps us to fill the gap between scholars of migration and people's movement on the one hand, and scholars of integration and incorporation in the new country, on the other hand. Migratory career must be considered as an additional concept to the traditional concepts such as integration, assimilation or incorporation, which are mainly focused on the situation of migrants in the receiving country. Furthermore, the use of the concept of migratory career allows to connect the theoretical thinking on migration to mainstream sociological theories. Resume Cet article propose un nouveau cadre theorique articulant tous les niveaux d'analyse (macro, meso et micro) du processus de migration, souvent deconnectes dans les etudes sociologiques de la migration. Cette approche alternative repose sur le concept sociologique classique de carriere. La notion de carriere migratoire integre les structures d'opportunites, les caracteristiques individuelles et les reseaux pour permettre d'apprehender l'experience migratoire. Ce concept nous aide a combler l'ecart entre les specialistes de la migration et de la circulation des personnes, d'une part, et les experts de l'integration et de l'assimilation dans le nouveau pays, d'autre part. La carriere migratoire peut etre consideree comme une abstraction supplementaire aux traditionnels concepts d'integration ou d'assimilation, qui ont privilegie la situation des migrants dans le pays d'accueil. En outre, l'utilisation du concept de carriere migratoire permet de rattacher la pensee theorique de la migration aux theories classiques de la sociologie. Resumen El articulo ofrece un marco teorico relativamente nuevo, articulando niveles de analisis macro, meso y micro del proceso de migracion, que generalmente estan desconectados en la sociologia de la migracion. Este enfoque alternativo se basa en el clasico concepto sociologico de carrera. El concepto de carrera migratoria integra estructuras de oportunidades, caracteristicas individuales y redes para dar sentido a la experiencia migratoria. Este concepto nos ayuda a llenar el vacio entre los estudiosos de la migracion y el movimiento de personas, por un lado, y los estudiosos de la integracion y la incorporacion en el nuevo pais, por otra parte. Carrera migratoria debe ser considerada como un concepto adicional a los conceptos tradicionales, como la integracion, la asimilacion o incorporacion, que se centran principalmente en la situacion de los migrantes en el pais receptor. Ademas, el uso del concepto de carrera migratoria permite conectar el pensamiento teorico sobre la migracion para incorporar las teorias sociologicas.</t>
  </si>
  <si>
    <t>[Martiniello, Marco] Univ Liege, B-4000 Liege, Belgium; [Rea, Andrea] Univ Libre Bruxelles, Grp Res Ethn Relat Migrat &amp; Equal GERME, B-1050 Brussels, Belgium</t>
  </si>
  <si>
    <t>Rea, A (corresponding author), Univ Libre Bruxelles, Ave Roosevelt 50,CP 124, B-1050 Brussels, Belgium.</t>
  </si>
  <si>
    <t>area@ulb.ac.be</t>
  </si>
  <si>
    <t>0011-3921</t>
  </si>
  <si>
    <t>1461-7064</t>
  </si>
  <si>
    <t>CURR SOCIOL</t>
  </si>
  <si>
    <t>Curr. Sociol.</t>
  </si>
  <si>
    <t>10.1177/0011392114553386</t>
  </si>
  <si>
    <t>AS4LQ</t>
  </si>
  <si>
    <t>WOS:000344247900008</t>
  </si>
  <si>
    <t>Schlenker, A; Blatter, J</t>
  </si>
  <si>
    <t>Schlenker, Andrea; Blatter, Joachim</t>
  </si>
  <si>
    <t>Conceptualizing and evaluating (new) forms of citizenship between nationalism and cosmopolitanism</t>
  </si>
  <si>
    <t>DEMOCRATIZATION</t>
  </si>
  <si>
    <t>transnationalism; cosmopolitanism; citizenship; dual citizens; identification; participation; migrants; democracy</t>
  </si>
  <si>
    <t>DUAL CITIZENSHIP; TRANSNATIONALISM; ASSIMILATION; IMMIGRATION; DEMOCRACY; IDENTITY</t>
  </si>
  <si>
    <t>In an age of transnational flows and interdependencies, democratic citizenship can no longer be conceptualized exclusively within national boundaries. This paper presents a conceptual map that allows tracing emerging and proposed forms of citizenship within and beyond the nation state in a comprehensive and differentiated way. We disentangle two anchor points: membership in a political community as the fundament of citizenship and the arena of political decision-making as the focal point of citizenship rights, identities and practices. For the former we differentiate between a single national community, the universal community of humankind and multiple (national) communities. For the latter we distinguish the national, supra-national and transnational arena. Our typology thus consists of nine different forms of democratic citizenship. It is used to provide a brief overview over normative proposals and empirical findings leading to the following insights: while membership in a particular national community still dominates the reality in all three political arenas, in the normative discourse it is perceived as deficient. Membership in the universal community of humankind is widely endorsed in the normative discourse, but almost nonexistent. In contrast, membership in multiple communities is not only a growing reality but also normatively promising for democratizing a transnationalizing world.</t>
  </si>
  <si>
    <t>[Schlenker, Andrea; Blatter, Joachim] Univ Lucerne, Inst Polit Sci, Luzern, Switzerland</t>
  </si>
  <si>
    <t>Schlenker, A (corresponding author), Univ Lucerne, Inst Polit Sci, Luzern, Switzerland.</t>
  </si>
  <si>
    <t>andrea.schlenker@unilu.ch</t>
  </si>
  <si>
    <t>1351-0347</t>
  </si>
  <si>
    <t>1743-890X</t>
  </si>
  <si>
    <t>Democratization</t>
  </si>
  <si>
    <t>SEP 19</t>
  </si>
  <si>
    <t>10.1080/13510347.2013.783820</t>
  </si>
  <si>
    <t>Political Science</t>
  </si>
  <si>
    <t>AS9EK</t>
  </si>
  <si>
    <t>WOS:000344545700007</t>
  </si>
  <si>
    <t>Ro, A</t>
  </si>
  <si>
    <t>Ro, Annie</t>
  </si>
  <si>
    <t>The Longer You Stay, the Worse Your Health? A Critical Review of the Negative Acculturation Theory among Asian Immigrants</t>
  </si>
  <si>
    <t>Asian immigrants; acculturation; physical health; critical review</t>
  </si>
  <si>
    <t>SELF-REPORTED HEALTH; BODY-MASS INDEX; NUTRITION TRANSITION; ENGLISH PROFICIENCY; LATINO IMMIGRANTS; MENTAL-HEALTH; BIRTH-WEIGHT; RATED HEALTH; CARE ACCESS; US</t>
  </si>
  <si>
    <t>Researchers have become increasingly interested in the health patterns of immigrants with longer residence in the United States, as this reveals the health consequences of integration processes. The negative acculturation effect has been the dominant interpretation of duration patterns, despite empirical and theoretical uncertainties about this assumption. This theory assumes that immigrant health declines with longer residence in the United States because of poorer health behaviors and health risks that reflect Americanized lifestyles. This paper reviews the empirical support for the negative acculturation theory among Asian immigrants to determine if and when it is an appropriate interpretation for duration patterns. I conclude that empirical inconsistencies and methodological issues limit the negative acculturation theory as the primary interpretation for duration patterns. First, there is no consistent evidence that health behaviors decline with time. There is also substantial group heterogeneity in duration patterns as well as heterogeneity across health outcomes. The literature has not adequately addressed methodological shortcomings, such as confounding by cohort effects or non-linear duration patterns. Length of residence in the United States is still an important aspect of Asian immigrant health, but the mechanisms of this relationship are still understudied. I propose alternative frameworks between duration and health that consider environmental influences and end with future research directions to explore research gaps.</t>
  </si>
  <si>
    <t>Univ Calif Irvine, Program Publ Hlth, Irvine, CA 92697 USA</t>
  </si>
  <si>
    <t>Ro, A (corresponding author), Univ Calif Irvine, Program Publ Hlth, 653 E Peltason Dr, Irvine, CA 92697 USA.</t>
  </si>
  <si>
    <t>annie.ro@uci.edu</t>
  </si>
  <si>
    <t>EUNICE KENNEDY SHRIVER NATIONAL INSTITUTE OF CHILD HEALTH &amp; HUMAN DEVELOPMENTUnited States Department of Health &amp; Human ServicesNational Institutes of Health (NIH) - USANIH Eunice Kennedy Shriver National Institute of Child Health &amp; Human Development (NICHD) [R24HD041028, P2CHD041028] Funding Source: NIH RePORTER; NICHD NIH HHSUnited States Department of Health &amp; Human ServicesNational Institutes of Health (NIH) - USANIH Eunice Kennedy Shriver National Institute of Child Health &amp; Human Development (NICHD) [R24 HD041028, P2C HD041028] Funding Source: Medline</t>
  </si>
  <si>
    <t>10.3390/ijerph110808038</t>
  </si>
  <si>
    <t>AO1UX</t>
  </si>
  <si>
    <t>WOS:000341101700031</t>
  </si>
  <si>
    <t>Li, XM; Lin, DH; Wang, B; Du, HF; Tam, CC; Stanton, B</t>
  </si>
  <si>
    <t>Li, Xiaoming; Lin, Danhua; Wang, Bo; Du, Hongfei; Tam, Cheuk Chi; Stanton, Bonita</t>
  </si>
  <si>
    <t>EFFICACY OF THEORY-BASED HIV BEHAVIORAL PREVENTION AMONG RURAL-TO-URBAN MIGRANTS IN CHINA: A RANDOMIZED CONTROLLED TRIAL</t>
  </si>
  <si>
    <t>AIDS EDUCATION AND PREVENTION</t>
  </si>
  <si>
    <t>COLLEGE-STUDENTS; RISK BEHAVIORS; CONDOM-USE; INTERVENTIONS; PERCEPTIONS; PROGRAM; SEX; COMMUNICATION; TRANSMISSION; POPULATIONS</t>
  </si>
  <si>
    <t>Our objective was to evaluate the efficacy of a cultural adaptation of a social cognitive theory-based HIV behavioral prevention program among young rural-to-urban migrants in China. The intervention design and assessment were guided by the Protection Motivation Theory (PMT). The intervention was evaluated through a randomized controlled trial with 6-month and 12-month follow-ups. The primary behavioral outcome was the use of condoms. Other outcome measures include HIV knowledge, condom use knowledge, HIV-related perceptions (PMT constructs), and intention to use condom. The mixed-effects regression models for condom use with regular partners indicated that overall frequency of condom use, condom use in last three sexual acts and proper condom use increased over time for the participants but the increases were significantly greater among the intervention group than the control group at 6-month and 12-month follow-ups. The mixed-effects models for HIV-related perceptions indicated that extrinsic rewards, intrinsic rewards, and response costs decreased while vulnerability, severity, response efficacy, and self-efficacy increased over time for the intervention group. The increases in HIV knowledge, condom use knowledge, and intention to use condom were also significantly greater among the intervention group than the control group. The data in the current study suggested efficacy of a social cognitive theory-based behavioral intervention in increasing condom use among young migrants in China. The intervention also increased protective perceptions and decreased risk perception posited by the theory (i.e., PMT).</t>
  </si>
  <si>
    <t>[Li, Xiaoming; Wang, Bo; Du, Hongfei; Tam, Cheuk Chi; Stanton, Bonita] Wayne State Univ, Pediat Prevent Res Ctr, Detroit, MI 48201 USA; [Lin, Danhua] Beijing Normal Univ, Sch Psychol, Beijing 100875, Peoples R China</t>
  </si>
  <si>
    <t>Li, XM (corresponding author), Wayne State Univ, Sch Med, Pediat Prevent Res Ctr, 4707 St Antoine,Suite W534, Detroit, MI 48201 USA.</t>
  </si>
  <si>
    <t>xiaoli@med.wayne.edu</t>
  </si>
  <si>
    <t>Li, Xiaoming/AAF-1362-2019</t>
  </si>
  <si>
    <t>Li, Xiaoming/0000-0002-5555-9034</t>
  </si>
  <si>
    <t>NIMH NIH HHSUnited States Department of Health &amp; Human ServicesNational Institutes of Health (NIH) - USANIH National Institute of Mental Health (NIMH) [R01 MH064878] Funding Source: Medline; NINR NIH HHSUnited States Department of Health &amp; Human ServicesNational Institutes of Health (NIH) - USANIH National Institute of Nursing Research (NINR) [R01 NR010498, R01NR10498] Funding Source: Medline; NATIONAL INSTITUTE OF MENTAL HEALTHUnited States Department of Health &amp; Human ServicesNational Institutes of Health (NIH) - USANIH National Institute of Mental Health (NIMH) [R01MH064878] Funding Source: NIH RePORTER; NATIONAL INSTITUTE OF NURSING RESEARCHUnited States Department of Health &amp; Human ServicesNational Institutes of Health (NIH) - USANIH National Institute of Nursing Research (NINR) [R01NR010498] Funding Source: NIH RePORTER</t>
  </si>
  <si>
    <t>GUILFORD PUBLICATIONS INC</t>
  </si>
  <si>
    <t>370 SEVENTH AVE, SUITE 1200, NEW YORK, NY 10001-1020 USA</t>
  </si>
  <si>
    <t>0899-9546</t>
  </si>
  <si>
    <t>1943-2755</t>
  </si>
  <si>
    <t>AIDS EDUC PREV</t>
  </si>
  <si>
    <t>Aids Educ. Prev.</t>
  </si>
  <si>
    <t>10.1521/aeap.2014.26.4.296</t>
  </si>
  <si>
    <t>Education &amp; Educational Research; Public, Environmental &amp; Occupational Health</t>
  </si>
  <si>
    <t>AM0WJ</t>
  </si>
  <si>
    <t>WOS:000339568000002</t>
  </si>
  <si>
    <t>Sperling, J</t>
  </si>
  <si>
    <t>Sperling, Jessica</t>
  </si>
  <si>
    <t>Conceptualising 'Inter-Destination Transnationalism': The Presence and Implication of Coethnic Ties between Destination Societies</t>
  </si>
  <si>
    <t>Second Generation; Spain; Transnationalism; Immigration; Latin Americans</t>
  </si>
  <si>
    <t>MIGRATION; ASSIMILATION; DOMINICAN; RETURN</t>
  </si>
  <si>
    <t>This article utilises a grounded theory approach to develop the notion of inter-destination transnationalism, or transnational connections between emigrants in different destination societies, utilising empirical study of 1.5- and second-generation Dominicans and Colombians living in Madrid. It conceptualises inter-destination transnationalism as distinct from transnationalism connecting sending and destination societies, identifies the existence of such connections, outlines the means and process of maintaining such transnational links, and highlights their implications for individuals' orientational bifocality. This broader geographical understanding of transnationalism is increasingly relevant given the growing number of migration destinations, which provides a basis for such links, and the increasing ease and lowering costs of long-distance communication and travel, which increases the facility of such links. This study's empirical focus on the 1.5 and second generation is additionally important; this group is understudied relative to the first generation in transnationalism research, but is of great significance for the shape and implications of long-standing transnational ties, and of particular relevance to inter-destination transnationalism.</t>
  </si>
  <si>
    <t>CUNY, Grad Ctr, Dept Sociol, New York, NY 10016 USA</t>
  </si>
  <si>
    <t>Sperling, J (corresponding author), CUNY, Grad Ctr, Dept Sociol, 365 Fifth Ave, New York, NY 10016 USA.</t>
  </si>
  <si>
    <t>jsperling@gc.cuny.edu</t>
  </si>
  <si>
    <t>JUL 3</t>
  </si>
  <si>
    <t>10.1080/1369183X.2013.830887</t>
  </si>
  <si>
    <t>AG0PU</t>
  </si>
  <si>
    <t>WOS:000335118200007</t>
  </si>
  <si>
    <t>Fujimoto, KA; Hwang, WC</t>
  </si>
  <si>
    <t>Fujimoto, Ken A.; Hwang, Wei-Chin</t>
  </si>
  <si>
    <t>Acculturative Family Distancing: Psychometric Analysis With the Extended Two-Tier Item Response Theory</t>
  </si>
  <si>
    <t>PSYCHOLOGICAL ASSESSMENT</t>
  </si>
  <si>
    <t>acculturative family distancing; acculturation gap; immigration; extended two-tier item factor analysis; multidimensional item response theory</t>
  </si>
  <si>
    <t>AMERICAN-FAMILIES; ASIAN-AMERICANS; MENTAL-HEALTH; MODEL; BIFACTOR; DEPENDENCE; PERFORMANCE; STRATEGIES; FRAMEWORK; OUTCOMES</t>
  </si>
  <si>
    <t>The Acculturative Family Distancing (AFD) rating questionnaire measures the distancing that occurs between immigrant parents and their children, which is caused by breakdowns in communication and cultural value differences. The items included in the AFD questionnaire are indicators for more proximal and problem-focused aspects of the acculturation gap. In this study, a psychometric analysis is performed on the data gathered with the AFD instrument. One hundred twenty-three Chinese American families (112 mothers, 85 fathers, and 120 children for a total of 317) completed the questionnaire. In addition, the specifications for an extended 2-tier item factor analysis model within a Bayesian multidimensional item response theory framework are provided to psychometrically analyze the AFD data. Results suggest that the original 2 dimensions of Communication Difficulties and Cultural Values Incongruency can be further refined into 4 clinically relevant dimensions (i.e., Verbal Communication Difficulties, Nonverbal Communication Difficulties, General Cultural Values Incongruency, and Family Values Incongruency). Moreover, reducing the number of items can improve AFD estimates and reduce assessment burden.</t>
  </si>
  <si>
    <t>[Fujimoto, Ken A.] Univ Illinois, Dept Educ Psychol, Chicago, IL USA; [Hwang, Wei-Chin] Claremont Mckenna Coll, Dept Psychol, Claremont, CA USA</t>
  </si>
  <si>
    <t>Fujimoto, KA (corresponding author), Dept Educ Psychol MC 147, 3343 EPASW,1040 West Harrison, Chicago, IL 60607 USA.</t>
  </si>
  <si>
    <t>kfujim3@uic.edu</t>
  </si>
  <si>
    <t>NATIONAL INSTITUTE OF MENTAL HEALTHUnited States Department of Health &amp; Human ServicesNational Institutes of Health (NIH) - USANIH National Institute of Mental Health (NIMH) [R34MH073545] Funding Source: NIH RePORTER; NIMH NIH HHSUnited States Department of Health &amp; Human ServicesNational Institutes of Health (NIH) - USANIH National Institute of Mental Health (NIMH) [1R34MH73545-01A2] Funding Source: Medline</t>
  </si>
  <si>
    <t>1040-3590</t>
  </si>
  <si>
    <t>1939-134X</t>
  </si>
  <si>
    <t>PSYCHOL ASSESSMENT</t>
  </si>
  <si>
    <t>Psychol. Assess.</t>
  </si>
  <si>
    <t>10.1037/a0035757</t>
  </si>
  <si>
    <t>Psychology, Clinical</t>
  </si>
  <si>
    <t>AJ5EU</t>
  </si>
  <si>
    <t>WOS:000337706000014</t>
  </si>
  <si>
    <t>Cerdin, JL; Selmer, J</t>
  </si>
  <si>
    <t>Cerdin, Jean-Luc; Selmer, Jan</t>
  </si>
  <si>
    <t>Who is a self-initiated expatriate? Towards conceptual clarity of a common notion</t>
  </si>
  <si>
    <t>conceptual criteria; definition; operational criteria; research agenda; self-initiated expatriates</t>
  </si>
  <si>
    <t>INTERNATIONAL ASSIGNMENT; CULTURAL ADJUSTMENT; BOUNDARYLESS CAREER; WORK OUTCOMES; BRAIN-DRAIN; MIGRATION; EXPERIENCE; IMMIGRANTS; REASONS; DEMOGRAPHICS</t>
  </si>
  <si>
    <t>The purpose of this article is to enhance the conceptual coherence of the notion of a self-initiated expatriate (SIE). We propose a definition based on a set of conceptual criteria which differentiates SIEs from other types of international movers. This article defines who an SIE is according to four criteria which must all be fulfilled at the same time: (a) self-initiated international relocation, (b) regular employment (intentions), (c) intentions of a temporary stay, and (d) skilled/professional qualifications. The article discusses each of these criteria in turn and their implications on what it means to be an SIE. A research agenda related to the four criteria proposes various avenues which scholars could take to expand this area of research. The literature on SIEs is rapidly emerging, but the lack of conceptual clarity in defining this type of expatriate is as acute as incomprehensible, given the importance of this group of international movers.</t>
  </si>
  <si>
    <t>[Cerdin, Jean-Luc] ESSEC Business Sch, Paris, France; [Selmer, Jan] Aarhus Univ, Sch Business &amp; Social Sci, Dept Business Adm, Aarhus, Denmark</t>
  </si>
  <si>
    <t>Selmer, J (corresponding author), Aarhus Univ, Sch Business &amp; Social Sci, Dept Business Adm, Aarhus, Denmark.</t>
  </si>
  <si>
    <t>selmer@asb.dk</t>
  </si>
  <si>
    <t>MAY 15</t>
  </si>
  <si>
    <t>10.1080/09585192.2013.863793</t>
  </si>
  <si>
    <t>293HR</t>
  </si>
  <si>
    <t>WOS:000329962500006</t>
  </si>
  <si>
    <t>de Figueiredo, JM</t>
  </si>
  <si>
    <t>de Figueiredo, John M.</t>
  </si>
  <si>
    <t>Explaining the 'immigration advantage' and the 'biculturalism paradox': An application of the theory of demoralization</t>
  </si>
  <si>
    <t>INTERNATIONAL JOURNAL OF SOCIAL PSYCHIATRY</t>
  </si>
  <si>
    <t>Immigration advantage; biculturalism paradox; acculturative stress; demoralization; cultural minorities; mental health</t>
  </si>
  <si>
    <t>NON-HISPANIC WHITES; MENTAL-HEALTH; MEXICAN-AMERICANS; PSYCHIATRIC-DISORDERS; LIFETIME PREVALENCE; UNITED-STATES; LATINO; ACCULTURATION; IDENTITY; CULTURE</t>
  </si>
  <si>
    <t>Background: Recent immigrants have better mental health than the natives (immigration advantage'). Biculturals have better mental health than the monoculturals (biculturalism paradox'). Material: Mexican immigrants have lower rates of psychopathology than the US population. This is less true for Cubans and not true for Puerto Ricans. The advantage' also occurs in other groups. Biculturals have better mental health and endorse both cultures. Discussion: The theory of demoralization predicts that borrowing values from both cultures and applying them judiciously are more conducive to mental health than indiscriminately subscribing to either culture. Conclusion: The findings are consistent with the theory of demoralization.</t>
  </si>
  <si>
    <t>[de Figueiredo, John M.] Yale Univ, Sch Med, Cheshire, CT 06410 USA</t>
  </si>
  <si>
    <t>de Figueiredo, JM (corresponding author), Yale Univ, Sch Med, Dept Psychiat, POB 573, Cheshire, CT 06410 USA.</t>
  </si>
  <si>
    <t>johndefig@sbcglobal.net</t>
  </si>
  <si>
    <t>tan, janie/AAH-9283-2021</t>
  </si>
  <si>
    <t>0020-7640</t>
  </si>
  <si>
    <t>1741-2854</t>
  </si>
  <si>
    <t>INT J SOC PSYCHIATR</t>
  </si>
  <si>
    <t>Int. J. Soc. Psychiatr.</t>
  </si>
  <si>
    <t>10.1177/0020764013477018</t>
  </si>
  <si>
    <t>AA9ST</t>
  </si>
  <si>
    <t>WOS:000331433900010</t>
  </si>
  <si>
    <t>Schwartz, SJ; Unger, JB; Lorenzo-Blanco, EI; Des Rosiers, SE; Villamar, JA; Soto, DW; Pattarroyo, M; Baezconde-Garbanati, L; Szapocznik, J</t>
  </si>
  <si>
    <t>Schwartz, Seth J.; Unger, Jennifer B.; Lorenzo-Blanco, Elma I.; Des Rosiers, Sabrina E.; Villamar, Juan A.; Soto, Daniel W.; Pattarroyo, Monica; Baezconde-Garbanati, Lourdes; Szapocznik, Jose</t>
  </si>
  <si>
    <t>Perceived Context of Reception Among Recent Hispanic Immigrants: Conceptualization, Instrument Development, and Preliminary Validation</t>
  </si>
  <si>
    <t>context of reception; discrimination; Hispanic; immigrants; acculturation</t>
  </si>
  <si>
    <t>ETHNIC DISCRIMINATION; IDENTITY; ACCULTURATION; INVARIANCE; COMMUNICATION; ASSIMILATION; PSYCHOLOGY; MINORITY; SYMPTOMS; VIOLENCE</t>
  </si>
  <si>
    <t>Context of reception has been discussed widely in the sociological and anthropological literature, but no measures of this construct exist. We designed a measure of perceived context of reception and provide initial support for the factorial validity, internal consistency reliability, and incremental and discriminant validity of scores generated by this measure. A sample of 302 recent-immigrant Hispanic parent-adolescent dyads from Miami and Los Angeles completed the new perceived context of reception measure, as well as measures of perceived discrimination; Hispanic/American cultural practices, values, and identifications; and depressive symptoms. In Phase 1, exploratory and confirmatory factor analyses extracted a factor for negative perceived context of reception. A subscale corresponding to this factor was used in Phase 2; for parents and adolescents, negative perceived context of reception and perceived discrimination were differentially associated with acculturation-related variables-suggesting discriminant validity between perceived discrimination and negative perceived context of reception. For adolescents at both sites and for parents in Los Angeles only, the negative perceived context of reception dimensions were significantly associated with depressive symptoms 6 months later, over and above the contribution made by perceived discrimination-suggesting incremental validity. Results are discussed in terms of perceived context of reception as a new and emerging construct.</t>
  </si>
  <si>
    <t>[Schwartz, Seth J.; Szapocznik, Jose] Univ Miami, Dept Publ Hlth Sci, Leonard M Miller Sch Med, Miami, FL 33136 USA; [Unger, Jennifer B.; Soto, Daniel W.; Pattarroyo, Monica; Baezconde-Garbanati, Lourdes] Univ So Calif, Keck Sch Med, Dept Prevent Med, Inst Prevent Res, Los Angeles, CA 90033 USA; [Lorenzo-Blanco, Elma I.] Univ So Calif, Dept Psychol, Los Angeles, CA 90089 USA; [Des Rosiers, Sabrina E.] Barry Univ, Dept Psychol, Miami Shores, FL USA; [Villamar, Juan A.] Northwestern Univ, Dept Prevent Med, Feinberg Sch Med, Evanston, IL 60208 USA</t>
  </si>
  <si>
    <t>Schwartz, SJ (corresponding author), Univ Miami, Dept Publ Hlth Sci, Leonard M Miller Sch Med, 1425 NW 10th Ave,Suite 321, Miami, FL 33136 USA.</t>
  </si>
  <si>
    <t>sschwartz@med.miami.edu</t>
  </si>
  <si>
    <t>NATIONAL CENTER FOR ADVANCING TRANSLATIONAL SCIENCESUnited States Department of Health &amp; Human ServicesNational Institutes of Health (NIH) - USANIH National Center for Advancing Translational Sciences (NCATS) [UL1TR000460] Funding Source: NIH RePORTER; NATIONAL INSTITUTE ON DRUG ABUSEUnited States Department of Health &amp; Human ServicesNational Institutes of Health (NIH) - USANIH National Institute on Drug Abuse (NIDA)European Commission [R01DA025694] Funding Source: NIH RePORTER; NCATS NIH HHSUnited States Department of Health &amp; Human ServicesNational Institutes of Health (NIH) - USANIH National Center for Advancing Translational Sciences (NCATS) [1UL1TR000460, UL1 TR000460] Funding Source: Medline; NIDA NIH HHSUnited States Department of Health &amp; Human ServicesNational Institutes of Health (NIH) - USANIH National Institute on Drug Abuse (NIDA) [DA025694, R01 DA025694] Funding Source: Medline</t>
  </si>
  <si>
    <t>10.1037/a0033391</t>
  </si>
  <si>
    <t>AA1SN</t>
  </si>
  <si>
    <t>WOS:000330876100001</t>
  </si>
  <si>
    <t>Leong, CH</t>
  </si>
  <si>
    <t>Leong, Chan-Hoong</t>
  </si>
  <si>
    <t>Social markers of acculturation: A new research framework on intercultural adaptation</t>
  </si>
  <si>
    <t>Acculturation; Naturalization; Singapore; Convergence; Divergence; Conflictual; Identity; Intercultural contact; Immigrants; Immigration; Host nationals; Ingroup</t>
  </si>
  <si>
    <t>ATTITUDES; MAJORITY; MINORITY; IDENTITY; INTERGROUP; MODEL; MULTICULTURALISM; ADOLESCENTS; STRATEGIES; PREJUDICE</t>
  </si>
  <si>
    <t>The research examines the social construction of acculturation and naturalization from the perspectives of both native and immigrant citizens in Singapore. More specifically, what and by how much must immigrants do in order to be considered a full participating member in the adopted society? The convergence and divergence of viewpoints will illuminate the perceptual gaps between native and immigrant communities. In addition, the composite score of the markers will provide a measurement of social inclusiveness; it reflects the depth of psychological barriers imposed by the individual in preserving the distinct boundaries of citizenship. Multivariate analyzes showed that the two groups reacted differently to the challenges and benefits from immigration. Surprisingly, naturalized citizens were more sensitive to the impact of perceived immigrant threats and contribution even though they imposed fewer barriers to the new arrivals in becoming a part of the mainstream society. The definition of socio-economic confidence and how it may moderate acculturation attitude will also be discussed. (C) 2013 Elsevier Ltd. All rights reserved.</t>
  </si>
  <si>
    <t>[Leong, Chan-Hoong] Natl Univ Singapore, Singapore 259599, Singapore</t>
  </si>
  <si>
    <t>Leong, CH (corresponding author), Natl Univ Singapore, Inst Policy Studies, 1C Cluny Rd,House 5, Singapore 259599, Singapore.</t>
  </si>
  <si>
    <t>leong.chanhoong@nus.edu.sg</t>
  </si>
  <si>
    <t>Leong, Chan-Hoong/AAL-2896-2020</t>
  </si>
  <si>
    <t>Leong, Chan-Hoong/0000-0002-6337-2157</t>
  </si>
  <si>
    <t>10.1016/j.ijintrel.2013.08.006</t>
  </si>
  <si>
    <t>AD4KV</t>
  </si>
  <si>
    <t>WOS:000333220900010</t>
  </si>
  <si>
    <t>McConnell, ED; Akresh, IR</t>
  </si>
  <si>
    <t>McConnell, Eileen Diaz; Akresh, Ilana Redstone</t>
  </si>
  <si>
    <t>Home Equity of New Legal Immigrants in the United States: An Evaluation of Three Key Theoretical Perspectives</t>
  </si>
  <si>
    <t>INTERNATIONAL MIGRATION REVIEW</t>
  </si>
  <si>
    <t>HOUSING WEALTH; RESIDENTIAL SEGREGATION; SEGMENTED ASSIMILATION; ETHNIC-DIFFERENCES; US; STRATIFICATION; 2ND-GENERATION; HOMEOWNERSHIP; INEQUALITY; ACCUMULATION</t>
  </si>
  <si>
    <t>Housing in the U.S. is a substantial expenditure, but possessing equity in a home also represents an important source of wealth. This study employs 2003 data from the New Immigrant Survey to examine the home equity of legal immigrants who have come to the U.S. from around the world. We empirically test the relevance of three key theoretical frameworks for predicting immigrants' home equity and evaluate each framework's ability to account for differences in home equity among origin groups. We find strong support for the assimilation and the segmented assimilation frameworks, and little support for the place stratification perspective, net of other factors. Substantial differences in the home equity between origin groups persist even in the presence of multiple controls, with implications for legal immigrants' current economic position and future well-being in the U.S.</t>
  </si>
  <si>
    <t>[McConnell, Eileen Diaz] Arizona State Univ, Tempe, AZ 85287 USA; [Akresh, Ilana Redstone] Univ Illinois, Urbana, IL 61801 USA</t>
  </si>
  <si>
    <t>McConnell, ED (corresponding author), Arizona State Univ, Tempe, AZ 85287 USA.</t>
  </si>
  <si>
    <t>0197-9183</t>
  </si>
  <si>
    <t>1747-7379</t>
  </si>
  <si>
    <t>INT MIGR REV</t>
  </si>
  <si>
    <t>Int. Migr. Rev.</t>
  </si>
  <si>
    <t>10.1111/imre.12040</t>
  </si>
  <si>
    <t>225XQ</t>
  </si>
  <si>
    <t>WOS:000324998900007</t>
  </si>
  <si>
    <t>Rasmussen, A; Chu, T; Akinsulure-Smith, AM; Keatley, E</t>
  </si>
  <si>
    <t>Rasmussen, Andrew; Chu, Tracy; Akinsulure-Smith, Adeyinka M.; Keatley, Eva</t>
  </si>
  <si>
    <t>The Social Ecology of Resolving Family Conflict Among West African Immigrants in New York: A Grounded Theory Approach</t>
  </si>
  <si>
    <t>Immigration; West Africans; Social ecology; Family conflict</t>
  </si>
  <si>
    <t>PARTNER VIOLENCE; PSYCHOLOGICAL DISTRESS; HEALTH; ACCULTURATION; COMMUNITY; CHILDREN; SUPPORT; TIES</t>
  </si>
  <si>
    <t>The current study employs a grounded theory approach to examine West African immigrants' resolution of parent-child conflict and intimate partner conflict. Data from 59 participants present an interactive social ecological framework, where a lack of resolution at one level results in attempts to resolve problems at higher levels. Four levels are identified within West African immigrants' problem solving ecology, each with specific actors in positions of authority: individual/dyadic (parents and spouses), extended family (which includes distant relatives and relatives living in home countries), community leadership (non-family elders and religious leaders), and state authorities. From participants' descriptions of family challenges emerged a picture of a social ecology in flux, with traditional, socially conservative modes of resolving family conflict transposed across migration into the more liberal and state-oriented familial context of the United States. This transposition results in a loss spiral for the traditional social ecology, differentially affecting individual actors within families. Implications for helping professionals working with new immigrant communities include identifying variability in openness to adapting structures that are not working well (e.g., patriarchal protection of abusive husbands) and supporting structures known to be associated with well being (e.g., collective monitoring of youth).</t>
  </si>
  <si>
    <t>[Rasmussen, Andrew] Fordham Univ, Bronx, NY 10458 USA; [Chu, Tracy] CUNY Brooklyn Coll, Brooklyn, NY 11210 USA; [Akinsulure-Smith, Adeyinka M.] CUNY, City Coll New York, New York, NY 10021 USA; [Keatley, Eva] NYU, Sch Med, New York, NY USA</t>
  </si>
  <si>
    <t>Rasmussen, A (corresponding author), Fordham Univ, Bronx, NY 10458 USA.</t>
  </si>
  <si>
    <t>arasmussen@fordham.edu</t>
  </si>
  <si>
    <t>Rasmussen, Andrew/0000-0001-9149-4795</t>
  </si>
  <si>
    <t>NICHD NIH HHSUnited States Department of Health &amp; Human ServicesNational Institutes of Health (NIH) - USANIH Eunice Kennedy Shriver National Institute of Child Health &amp; Human Development (NICHD) [K23HD059075] Funding Source: Medline; EUNICE KENNEDY SHRIVER NATIONAL INSTITUTE OF CHILD HEALTH &amp; HUMAN DEVELOPMENTUnited States Department of Health &amp; Human ServicesNational Institutes of Health (NIH) - USANIH Eunice Kennedy Shriver National Institute of Child Health &amp; Human Development (NICHD) [K23HD059075] Funding Source: NIH RePORTER</t>
  </si>
  <si>
    <t>1-2</t>
  </si>
  <si>
    <t>10.1007/s10464-013-9588-0</t>
  </si>
  <si>
    <t>194QE</t>
  </si>
  <si>
    <t>WOS:000322647000015</t>
  </si>
  <si>
    <t>Andrews, AR; Bridges, AJ; Gomez, D</t>
  </si>
  <si>
    <t>Andrews, Arthur R., III; Bridges, Ana J.; Gomez, Debbie</t>
  </si>
  <si>
    <t>A Multi-Study Analysis of Conceptual and Measurement Issues Related to Health Research on Acculturation in Latinos</t>
  </si>
  <si>
    <t>acculturation; transcultural health; psychiatric/mental health; correlational designs; regression analysis; Latinos</t>
  </si>
  <si>
    <t>NATIONAL EPIDEMIOLOGIC SURVEY; IV PSYCHIATRIC-DISORDERS; MEXICAN-AMERICANS; UNITED-STATES; DSM-IV; LIFETIME PREVALENCE; DEPRESSION; IDENTITY; BEHAVIORS; NATIVITY</t>
  </si>
  <si>
    <t>Purpose: The aims of the study were to evaluate the orthogonality of acculturation for Latinos. Design: Regression analyses were used to examine acculturation in two Latino samples (N = 77; N = 40). In a third study (N = 673), confirmatory factor analyses compared unidimensional and bidimensional models. Method: Acculturation was assessed with the ARSMA-II (Studies 1 and 2), and language proficiency items from the Children of Immigrants Longitudinal Study (Study 3). Results: In Studies 1 and 2, the bidimensional model accounted for slightly more variance (R-Study1(2) = .11; R-Study (2)(2) = .21) than the unidimensional model (R-Study1(2) =.10; R-Study2(2) =.19). In Study 3, the bidimensional model evidenced better fit (Akaike information criterion = 167.36) than the unidimensional model (Akaike information criterion = 1204.92). Discussion/Conclusions: Acculturation is multidimensional. Implications for Practice: Care providers should examine acculturation as a bidimensional construct.</t>
  </si>
  <si>
    <t>[Andrews, Arthur R., III; Bridges, Ana J.; Gomez, Debbie] Univ Arkansas, Fayetteville, AR 72761 USA</t>
  </si>
  <si>
    <t>Andrews, AR (corresponding author), Univ Arkansas, Dept Psychol, 214 Mem Hall, Fayetteville, AR 72761 USA.</t>
  </si>
  <si>
    <t>arandrew@uark.edu</t>
  </si>
  <si>
    <t>Bridges, Ana J./V-1741-2019</t>
  </si>
  <si>
    <t>Andrews III, Arthur/0000-0001-9071-0089</t>
  </si>
  <si>
    <t>Bernice Jones Endowed Chair in Community, Department of Sociology and Criminal Justice; NATIONAL INSTITUTE OF MENTAL HEALTHUnited States Department of Health &amp; Human ServicesNational Institutes of Health (NIH) - USANIH National Institute of Mental Health (NIMH) [T32MH018869] Funding Source: NIH RePORTER</t>
  </si>
  <si>
    <t>The authors disclosed the following financial support for the research, authorship, and/or publication of of this article: This article was supported in part by a grant from the Bernice Jones Endowed Chair in Community, Department of Sociology and Criminal Justice, J. William Fulbright College of Arts and Sciences, University of Arkansas.</t>
  </si>
  <si>
    <t>10.1177/1043659612472199</t>
  </si>
  <si>
    <t>297WV</t>
  </si>
  <si>
    <t>WOS:000330286700003</t>
  </si>
  <si>
    <t>Ellis, LM; Chen, EC</t>
  </si>
  <si>
    <t>Ellis, Lauren M.; Chen, Eric C.</t>
  </si>
  <si>
    <t>Negotiating Identity Development Among Undocumented Immigrant College Students: A Grounded Theory Study</t>
  </si>
  <si>
    <t>JOURNAL OF COUNSELING PSYCHOLOGY</t>
  </si>
  <si>
    <t>undocumented immigrants; identity development; acculturation</t>
  </si>
  <si>
    <t>ACCULTURATIVE STRESS; QUALITATIVE RESEARCH; MENTAL-HEALTH; COUNSELING PSYCHOLOGY; ETHNIC-IDENTITY; CAREER; ADJUSTMENT; PARADIGMS; POVERTY; CHOICE</t>
  </si>
  <si>
    <t>This qualitative study explored the identity development process of 11 undocumented college students living in the United States, focusing on how undocumented college students negotiate the interplay of acculturation, ethnic identity, and educational and career pursuits. A semistructured interview protocol was used and data analysis was iterative, consistent with grounded theory methodology. Four major themes emerged from the data: (a) sewn with two threads describes the salience of bicultural identity; (b) enhancement of positive attributes as a result of documentation struggles; (c) challenging reflections, addressing the ways in which documentation status challenges one's perception of oneself and the world; and (d) identity formation as an ongoing negotiation, capturing the long-term shifts in understanding of status implications and emotional response to this understanding. Findings are discussed in terms of their implications for educators, counseling psychologists, and career counselors. Suggestions regarding how mental health professionals can educate and empower undocumented immigrant youth are presented.</t>
  </si>
  <si>
    <t>[Ellis, Lauren M.; Chen, Eric C.] Fordham Univ, Grad Sch Educ, Div Psychol &amp; Educ Serv, Bronx, NY 10458 USA</t>
  </si>
  <si>
    <t>Ellis, LM (corresponding author), Fordham Univ, Grad Sch Educ, Div Psychol &amp; Educ Serv, Bronx, NY 10458 USA.</t>
  </si>
  <si>
    <t>lauren@drlaurenellis.com</t>
  </si>
  <si>
    <t>0022-0167</t>
  </si>
  <si>
    <t>1939-2168</t>
  </si>
  <si>
    <t>J COUNS PSYCHOL</t>
  </si>
  <si>
    <t>J. Couns. Psychol.</t>
  </si>
  <si>
    <t>10.1037/a0031350</t>
  </si>
  <si>
    <t>Psychology, Educational; Psychology, Applied</t>
  </si>
  <si>
    <t>123EV</t>
  </si>
  <si>
    <t>WOS:000317372100009</t>
  </si>
  <si>
    <t>Integrated Threat Theory and Acceptance of Immigrant Assimilation: An Analysis of Muslim Immigration in Western Europe</t>
  </si>
  <si>
    <t>Assimilation; Integrated Threat Theory; Immigration; Europe; Islam</t>
  </si>
  <si>
    <t>MODERATING ROLE; PREJUDICE; INTERGROUP; CONTACT</t>
  </si>
  <si>
    <t>This study explores whether a threat from an immigrant group is related to members of a dominant culture believing immigrants do not want to assimilate. As Muslim immigration to Europe has rapidly increased in the past 20 years, Muslim immigrants were used as the example of immigrants during data collection. Data were collected in France (n=162), Germany (n=111), and the United Kingdom (n=159). Threat was measured using a collection of instruments based off work in Integrated Threat Theory. Results reveal that when members of the host culture feel threatened they are more likely to believe immigrants (in this case Muslims) do not want to assimilate. There were also significant differences between the three nations in the perception of whether Muslims wanted to assimilate or not.</t>
  </si>
  <si>
    <t>Univ Jyvaskyla, Dept Commun, Jyvaskyla 40014, Finland</t>
  </si>
  <si>
    <t>Croucher, SM (corresponding author), Univ Jyvaskyla, Dept Commun, Jyvaskyla 40014, Finland.</t>
  </si>
  <si>
    <t>MAR 1</t>
  </si>
  <si>
    <t>10.1080/03637751.2012.739704</t>
  </si>
  <si>
    <t>081TY</t>
  </si>
  <si>
    <t>WOS:000314346500003</t>
  </si>
  <si>
    <t>Li, Q</t>
  </si>
  <si>
    <t>Li, Qiang</t>
  </si>
  <si>
    <t>Language and urban labor market segmentation: Theory and evidence</t>
  </si>
  <si>
    <t>JOURNAL OF URBAN ECONOMICS</t>
  </si>
  <si>
    <t>Language; Labor market segmentation; Matching</t>
  </si>
  <si>
    <t>AGGLOMERATION ECONOMIES; ETHNIC ENCLAVES; EARNINGS; IMMIGRANTS; ASSIMILATION; CANADA; CITIES; SKILLS; QUEBEC; BIAS</t>
  </si>
  <si>
    <t>I propose a language theory of labor market segmentation. People of different language origins form separate urban labor submarkets and can switch between submarkets. Two types of wage differentials emerge, namely the Within-Labor-Market Wage Gap and the Within-Language-Group Wage Gap. The average wage in each market and a worker's choice of the labor market depend on the population sizes of the relevant groups. These implications are tested using the 2001 Census of Canada Public Use Micro-data. A unique feature of these data is the reported work language, which helps me to identify labor market segments. The empirical evidence supports my theory. (C) 2012 Elsevier Inc. All rights reserved.</t>
  </si>
  <si>
    <t>[Li, Qiang] Shanghai Univ Finance &amp; Econ, Sch Publ Econ &amp; Adm, Shanghai 200433, Peoples R China; [Li, Qiang] Natl Univ Singapore, Dept Real Estate, Singapore 117566, Singapore</t>
  </si>
  <si>
    <t>Li, Q (corresponding author), Natl Univ Singapore, Dept Real Estate, 4 Architectural Dr, Singapore 117566, Singapore.</t>
  </si>
  <si>
    <t>liqiangtj@gmail.com</t>
  </si>
  <si>
    <t>Li, Qiang/I-1440-2013</t>
  </si>
  <si>
    <t>Li, Qiang/0000-0002-2678-4515</t>
  </si>
  <si>
    <t>0094-1190</t>
  </si>
  <si>
    <t>J URBAN ECON</t>
  </si>
  <si>
    <t>J. Urban Econ.</t>
  </si>
  <si>
    <t>10.1016/j.jue.2012.07.001</t>
  </si>
  <si>
    <t>Economics; Urban Studies</t>
  </si>
  <si>
    <t>Business &amp; Economics; Urban Studies</t>
  </si>
  <si>
    <t>084TF</t>
  </si>
  <si>
    <t>WOS:000314561300003</t>
  </si>
  <si>
    <t>Osypuk, TL</t>
  </si>
  <si>
    <t>Osypuk, Theresa L.</t>
  </si>
  <si>
    <t>Invited Commentary: Integrating a Life-Course Perspective and Social Theory to Advance Research on Residential Segregation and Health</t>
  </si>
  <si>
    <t>AMERICAN JOURNAL OF EPIDEMIOLOGY</t>
  </si>
  <si>
    <t>neighborhood effects; place; racial residential segregation; social epidemiology; social theory</t>
  </si>
  <si>
    <t>NEIGHBORHOOD POVERTY; RACIAL DISPARITIES; BIRTH-WEIGHT; SEGMENTED ASSIMILATION; IMMIGRANT ENCLAVES; EPIDEMIOLOGY; SEPARATE; CONTEXT; INCOME; CHILD</t>
  </si>
  <si>
    <t>Research on racial residential segregation and health typically uses multilevel, population-based, slice-in-time data. Although research using this approach, including that by Kershaw et al. (Am J Epidemiol. 2013;177(4):299-309), has been valuable, I argue that to advance our understanding of how residential segregation influences health and health disparities, it is critical to incorporate a life-course perspective and integrate social theory. Applying a life-course perspective would entail modeling transitions, cumulative risk, and developmental and dynamic processes and mechanisms, as well as recognizing the contingency of contextual effects on different social groups. I discuss the need for analytic methods appropriate for modeling health effects of distal causes experienced across the life course, such as segregation, that operate through multiple levels and sequences of mediators, potentially across decades. Sociological theories of neighborhood attainment (e. g., segmented assimilation, ethnic resurgence, and place stratification theories) can guide effect-modification tests to help illuminate health effects resulting from intersections of residential processes, race/ethnicity, immigration, and other social determinants of health. For example, nativity and immigration history may crucially shape residential processes and exposures, but these have received limited attention in prior segregation-health literature.</t>
  </si>
  <si>
    <t>[Osypuk, Theresa L.] Northeastern Univ, Dept Hlth Sci, Bouve Coll Hlth Sci, Boston, MA 02115 USA; [Osypuk, Theresa L.] Univ Minnesota, Sch Publ Hlth, Div Epidemiol &amp; Community Hlth, Minneapolis, MN 55454 USA</t>
  </si>
  <si>
    <t>Osypuk, TL (corresponding author), Univ Minnesota, Sch Publ Hlth, Div Epidemiol &amp; Community Hlth, W Bank Off Bldg,1300 S 2nd St,Suite 300, Minneapolis, MN 55454 USA.</t>
  </si>
  <si>
    <t>tosypuk@umn.edu</t>
  </si>
  <si>
    <t>Osypuk, Theresa/0000-0001-5770-3346</t>
  </si>
  <si>
    <t>NICHD NIH HHSUnited States Department of Health &amp; Human ServicesNational Institutes of Health (NIH) - USANIH Eunice Kennedy Shriver National Institute of Child Health &amp; Human Development (NICHD) [R01 HD058510, R21 HD066312] Funding Source: Medline; NIMHD NIH HHSUnited States Department of Health &amp; Human ServicesNational Institutes of Health (NIH) - USANIH National Institute on Minority Health &amp; Health Disparities (NIMHD) [R01 MD006064, R01MD006064] Funding Source: Medline; EUNICE KENNEDY SHRIVER NATIONAL INSTITUTE OF CHILD HEALTH &amp; HUMAN DEVELOPMENTUnited States Department of Health &amp; Human ServicesNational Institutes of Health (NIH) - USANIH Eunice Kennedy Shriver National Institute of Child Health &amp; Human Development (NICHD) [R01HD058510] Funding Source: NIH RePORTER; EUNICE KENNEDY SHRIVER NATIONAL INSTITUTE OF CHILD HEALTH &amp;HUMAN DEVELOPMENTUnited States Department of Health &amp; Human ServicesNational Institutes of Health (NIH) - USANIH Eunice Kennedy Shriver National Institute of Child Health &amp; Human Development (NICHD) [R21HD066312] Funding Source: NIH RePORTER; National Institute on Minority Health and Health DisparitiesUnited States Department of Health &amp; Human ServicesNational Institutes of Health (NIH) - USANIH National Institute on Minority Health &amp; Health Disparities (NIMHD) [R01MD006064] Funding Source: NIH RePORTER</t>
  </si>
  <si>
    <t>0002-9262</t>
  </si>
  <si>
    <t>1476-6256</t>
  </si>
  <si>
    <t>AM J EPIDEMIOL</t>
  </si>
  <si>
    <t>Am. J. Epidemiol.</t>
  </si>
  <si>
    <t>FEB 15</t>
  </si>
  <si>
    <t>10.1093/aje/kws371</t>
  </si>
  <si>
    <t>086RA</t>
  </si>
  <si>
    <t>WOS:000314702800008</t>
  </si>
  <si>
    <t>Acevedo-Garcia, D; Sanchez-Vaznaugh, EV; Viruell-Fuentes, EA; Almeida, J</t>
  </si>
  <si>
    <t>Acevedo-Garcia, Dolores; Sanchez-Vaznaugh, Emma V.; Viruell-Fuentes, Edna A.; Almeida, Joanna</t>
  </si>
  <si>
    <t>Integrating social epidemiology into immigrant health research: A cross-national framework</t>
  </si>
  <si>
    <t>Immigration; Immigrant health; Social epidemiology; Cross-national; Lifecourse; Transnationalism</t>
  </si>
  <si>
    <t>DISEASE RISK-FACTORS; FOREIGN-BORN STATUS; LOW-BIRTH-WEIGHT; UNITED-STATES; LIFE-COURSE; SOCIOECONOMIC GRADIENTS; TRANSNATIONAL PRACTICES; HISPANIC PARADOX; ADULT HEALTH; MIGRATION</t>
  </si>
  <si>
    <t>Scholarship on immigrant health has steadily increased over the past two decades. This line of inquiry is often approached as a specialty topic involving a discrete de-contextualized population, rather than a topic that is central for understanding patterns of population health within and between sending and receiving countries. Frequently immigrant health research employs theoretical frameworks (e.g., acculturation) that emphasize cultural explanations, while less commonly utilized is the social determinants of health framework, which emphasizes social and structural explanations. Drawing upon literature in the fields of economics, sociology of immigration, and social epidemiology, we present a conceptual framework for understanding immigrant health from a cross-national perspective. We discuss the theoretical foundations of this framework; the methodological challenges for undertaking research on immigration and health using this framework; examples of emerging research in this area; and directions for future research. Progress in immigrant health research and population health improvements can be achieved through an enhanced understanding of population health patterns in sending and receiving societies. Immigrant health research needs to be better integrated into social epidemiology. Concurrently, immigrant health research offers conceptual, empirical, and analytic opportunities to advance social epidemiological research. Together, scholarship in immigrant health and social epidemiology can make significant contributions toward one of their mutual and ultimate goals: to improve knowledge about population health. (C) 2012 Elsevier Ltd. All rights reserved.</t>
  </si>
  <si>
    <t>[Acevedo-Garcia, Dolores] Brandeis Univ, Inst Child Youth &amp; Family Policy, Heller Sch Social Policy &amp; Management, Waltham, MA 02254 USA; [Sanchez-Vaznaugh, Emma V.] San Francisco State Univ, San Francisco, CA USA; [Sanchez-Vaznaugh, Emma V.] Univ Calif San Francisco, Ctr Social Dispar Hlth, San Francisco, CA 94143 USA; [Viruell-Fuentes, Edna A.] Univ Illinois, Dept Latina Latino Studies, Urbana, IL USA; [Almeida, Joanna] Simmons Sch Social Work, Boston, MA USA</t>
  </si>
  <si>
    <t>Acevedo-Garcia, D (corresponding author), Brandeis Univ, Inst Child Youth &amp; Family Policy, Heller Sch Social Policy &amp; Management, Waltham, MA 02254 USA.</t>
  </si>
  <si>
    <t>dacevedo@brandeis.edu; emmav@sfsu.edu; eviruell@illinois.edu</t>
  </si>
  <si>
    <t>Center for Advancing Health; Robert Wood Johnson FoundationRobert Wood Johnson Foundation (RWJF); David Rockefeller Center for Latin American Studies at Harvard University; W.K. Kellogg Foundation; San Francisco State University Provost's Research Award; Kaiser Permanente Burch Leadership Development Awards Program; Salud America! The Robert Wood Johnson Foundation's Research Network to Prevent Obesity among Latino Children; Center on Democracy in a Multiracial Society; Research Board at the University of Illinois at Urbana-Champaign; Eunice Kennedy Shriver National Institute of Child Health and Human DevelopmentUnited States Department of Health &amp; Human ServicesNational Institutes of Health (NIH) - USANIH Eunice Kennedy Shriver National Institute of Child Health &amp; Human Development (NICHD) [1L40 HD066672-01]</t>
  </si>
  <si>
    <t>The authors are founding members of Place, Migration and Health: A Cross-national Research Network (PM H). They gratefully acknowledge the support of other PMH members, especially Barbara Krimgold and Debra Perez, as well as grant support for PMH from the Center for Advancing Health, The Robert Wood Johnson Foundation, and the David Rockefeller Center for Latin American Studies at Harvard University.; The authors also acknowledge support from the W.K. Kellogg Foundation to Dr. Acevedo-Garcia; from the San Francisco State University Provost's Research Award, The Kaiser Permanente Burch Leadership Development Awards Program, and Salud America! The Robert Wood Johnson Foundation's Research Network to Prevent Obesity among Latino Children to Dr. Sanchez-Vaznaugh; from the Center on Democracy in a Multiracial Society and the Research Board at the University of Illinois at Urbana-Champaign to Dr. Viruell-Fuentes: and from The Eunice Kennedy Shriver National Institute of Child Health and Human Development (1L40 HD066672-01) to Dr. Almeida.</t>
  </si>
  <si>
    <t>10.1016/j.socscimed.2012.04.040</t>
  </si>
  <si>
    <t>060DX</t>
  </si>
  <si>
    <t>WOS:000312757800002</t>
  </si>
  <si>
    <t>Viruell-Fuentes, EA; Miranda, PY; Abdulrahim, S</t>
  </si>
  <si>
    <t>Viruell-Fuentes, Edna A.; Miranda, Patricia Y.; Abdulrahim, Sawsan</t>
  </si>
  <si>
    <t>More than culture: Structural racism, intersectionality theory, and immigrant health</t>
  </si>
  <si>
    <t>USA; Immigrant health; Acculturation; Discrimination; Racialization processes; Racism; Intersectionality theory; Immigration policies</t>
  </si>
  <si>
    <t>SELF-REPORTED DISCRIMINATION; BODY-MASS INDEX; MENTAL-HEALTH; RESIDENTIAL SEGREGATION; PERCEIVED DISCRIMINATION; NEIGHBORHOOD POVERTY; DEPRESSIVE SYMPTOMS; BLACK IMMIGRANTS; PHYSICAL HEALTH; ETHNIC-IDENTITY</t>
  </si>
  <si>
    <t>Explanations for immigrant health outcomes often invoke culture through the use of the concept of acculturation. The over reliance on cultural explanations for immigrant health outcomes has been the topic of growing debate, with the critics' main concern being that such explanations obscure the impact of structural factors on immigrant health disparities. In this paper, we highlight the shortcomings of cultural explanations as currently employed in the health literature, and argue for a shift from individual culture-based frameworks, to perspectives that address how multiple dimensions of inequality intersect to impact health outcomes. Based on our review of the literature, we suggest specific lines of inquiry regarding immigrants' experiences with day-to-day discrimination, as well as on the roles that place and immigration policies play in shaping immigrant health outcomes. The paper concludes with suggestions for integrating intersectionality theory in future research on immigrant health. (C) 2012 Elsevier Ltd. All rights reserved.</t>
  </si>
  <si>
    <t>[Viruell-Fuentes, Edna A.] Univ Illinois, Dept Latina Latino Studies, Champaign, IL 61820 USA; [Miranda, Patricia Y.] Penn State Univ, Coll Hlth &amp; Human Dev, University Pk, PA 16802 USA; [Abdulrahim, Sawsan] Amer Univ Beirut, Fac Hlth Sci, Beirut, Lebanon</t>
  </si>
  <si>
    <t>Viruell-Fuentes, EA (corresponding author), Univ Illinois, Dept Latina Latino Studies, 510 E Chalmers St,MC-495, Champaign, IL 61820 USA.</t>
  </si>
  <si>
    <t>eviruell@illinois.edu</t>
  </si>
  <si>
    <t>Abdulrahim, Sawsan/0000-0001-6587-8912</t>
  </si>
  <si>
    <t>Research Board at the University of Illinois at Urbana-Champaign; David Rockefeller Center for Latin American Studies at Harvard University; Robert Wood Johnson FoundationRobert Wood Johnson Foundation (RWJF); Center for the Advancement of Health</t>
  </si>
  <si>
    <t>This research was supported by the Research Board at the University of Illinois at Urbana-Champaign (to E. Viruell-Fuentes). The authors are members of Place, Migration, and Health: A Cross-National Research Network (PMH); PMH has been supported by the David Rockefeller Center for Latin American Studies at Harvard University, the Robert Wood Johnson Foundation, and the Center for the Advancement of Health. We thank the journal's anonymous reviewers for their feedback and suggestions, as well as Rebecca Hester for insightful conversations regarding the need to treat immigration policies as health policies. We are also thankful to Bryanna Mantilla for her research assistance.</t>
  </si>
  <si>
    <t>10.1016/j.socscimed.2011.12.037</t>
  </si>
  <si>
    <t>WOS:000312757800006</t>
  </si>
  <si>
    <t>Y</t>
  </si>
  <si>
    <t>N</t>
  </si>
  <si>
    <t>Calzada, EJ; Huang, KY; Anicama, C; Fernandez, Y; Brotman, LM</t>
  </si>
  <si>
    <t>Calzada, Esther J.; Huang, Keng-Yen; Anicama, Catherine; Fernandez, Yenny; Brotman, Laurie Miller</t>
  </si>
  <si>
    <t>Test of a Cultural Framework of Parenting With Latino Families of Young Children</t>
  </si>
  <si>
    <t>Mexican families; Dominican families; parenting; ethnic socialization; early childhood</t>
  </si>
  <si>
    <t>PUERTO-RICAN MOTHERS; ANGLO-AMERICAN MOTHERS; MEXICAN-AMERICAN; MENTAL-HEALTH; LOW-INCOME; AFRICAN-AMERICAN; SOCIALIZATION PRACTICES; EXTERNALIZING BEHAVIOR; TEACHING BEHAVIORS; ACCULTURATION</t>
  </si>
  <si>
    <t>This study examined the mental health and academic functioning of 442 4- and 5-year old children of Mexican (MA) and Dominican (DA) immigrant mothers using a cultural framework of Latino parenting. Data were collected on mothers' self-reported acculturative status, parenting practices and cultural socialization, and on children's behavioral functioning (mother- and teacher-report) and school readiness (child test). Results provide partial support for the validity of the framework in which mothers' acculturative status and socialization of respeto (a Latino cultural value of respect) and independence (a U.S. American cultural value) predict parenting practices. For both groups, English language competence was related to less socialization of respeto, and other domains of acculturative status (i.e., U.S. American/ethnic identity, and U.S. American/ethnic cultural competence) were related to more socialization of respeto and independence. Socialization of respeto was related to the use of authoritarian practices and socialization of independence was related to the use of authoritative practices. Socialization of respeto was also related to lower school readiness for DA children, whereas socialization of independence was related to higher school readiness for MA children. Independence was also related to higher teacher-rated externalizing problems for MA children. For both groups, authoritarian parenting was associated with more parent-reported internalizing and externalizing problems. The discussion focuses on ethnic subgroup differences and similarities to further understanding of Latino parenting from a cultural perspective.</t>
  </si>
  <si>
    <t>[Calzada, Esther J.; Huang, Keng-Yen; Anicama, Catherine; Fernandez, Yenny; Brotman, Laurie Miller] NYU, Sch Med, Dept Child &amp; Adolescent Psychiat, New York, NY 10016 USA</t>
  </si>
  <si>
    <t>Calzada, EJ (corresponding author), NYU, Sch Med, Dept Child &amp; Adolescent Psychiat, 1 Pk Ave, New York, NY 10016 USA.</t>
  </si>
  <si>
    <t>esther.calzada@nyumc.org</t>
  </si>
  <si>
    <t>Calzada, Esther/L-4020-2019</t>
  </si>
  <si>
    <t>Calzada, Esther/0000-0003-0382-9212; Huang, Keng-Yen/0000-0003-3245-7614; Brotman, Laurie/0000-0002-3384-3886</t>
  </si>
  <si>
    <t>EUNICE KENNEDY SHRIVER NATIONAL INSTITUTE OF CHILD HEALTH &amp; HUMAN DEVELOPMENTUnited States Department of Health &amp; Human ServicesNational Institutes of Health (NIH) - USANIH Eunice Kennedy Shriver National Institute of Child Health &amp; Human Development (NICHD) [R01HD066122] Funding Source: NIH RePORTER; EUNICE KENNEDY SHRIVER NATIONAL INSTITUTE OF CHILD HEALTH &amp;HUMAN DEVELOPMENTUnited States Department of Health &amp; Human ServicesNational Institutes of Health (NIH) - USANIH Eunice Kennedy Shriver National Institute of Child Health &amp; Human Development (NICHD) [K23HD049730] Funding Source: NIH RePORTER; NICHD NIH HHSUnited States Department of Health &amp; Human ServicesNational Institutes of Health (NIH) - USANIH Eunice Kennedy Shriver National Institute of Child Health &amp; Human Development (NICHD) [K23 HD049730-01, R01 HD066122, K23 HD049730, R01 HD066122-02] Funding Source: Medline</t>
  </si>
  <si>
    <t>10.1037/a0028694</t>
  </si>
  <si>
    <t>975GQ</t>
  </si>
  <si>
    <t>WOS:000306499100008</t>
  </si>
  <si>
    <t>Matera, C; Stefanile, C; Brown, R</t>
  </si>
  <si>
    <t>Matera, Camilla; Stefanile, Cristina; Brown, Rupert</t>
  </si>
  <si>
    <t>Host culture Adoption or Intercultural Contact? Comparing different acculturation conceptualizations and their effects on host members' attitudes towards immigrants</t>
  </si>
  <si>
    <t>Acculturation; Culture maintenance; Intercultural contact; Culture adoption; Generational status</t>
  </si>
  <si>
    <t>MAJORITY; PREFERENCES; ORIENTATIONS; ADAPTATION; STRATEGIES; MINORITY; FIT; ASK</t>
  </si>
  <si>
    <t>The effects of the two dimensions underlying immigrants' perceived acculturation strategies conceptualized respectively as Intercultural Contact or as host Culture Adoption were examined. Host members' attitudes and perceptions of immigrants' adjustment to the host society were assessed in two experimental studies (N=251; N=124). Participants were presented with a fictitious interview with an African immigrant whose generational Status, desire for Culture Maintenance and Intercultural Contact (Study 1) or host Culture Adoption (Study 2) were manipulated (2 x 2 x 2 design). Results showed that both perceived desire for contact and for culture adoption positively affected host members' attitudes, and that the culture adoption attitudes relationship was partially mediated by perceived threat. These effects were stronger than those attributable to perceived Culture Maintenance. The latter variable moderated the Desire for Contact but not the Desire for Culture Adoption main effect. Moreover, Contact and Culture Adoption and generational Status all influenced the way in which host members perceived immigrants sociocultural adjustment. We conclude that more similarities than differences exist between the Contact and the Culture Adoption frameworks, at least in terms of their effects on majority attitudes towards immigrants. (C) 2012 Elsevier Ltd. All rights reserved.</t>
  </si>
  <si>
    <t>[Matera, Camilla] Univ Florence, Fac Psychol, I-50137 Florence, Italy; [Stefanile, Cristina] Univ Florence, Dept Psychol, I-50135 Florence, Italy; [Brown, Rupert] Univ Sussex, Sch Psychol, Brighton BN1 9QH, E Sussex, England</t>
  </si>
  <si>
    <t>Matera, C (corresponding author), Univ Florence, Fac Psychol, Via Torretta 16, I-50137 Florence, Italy.</t>
  </si>
  <si>
    <t>camilla.matera@unifi.it; stefanile@psico.unifi.it; r.brown@sussex.ac.uk</t>
  </si>
  <si>
    <t>Stefanile, Cristina/B-8859-2014; Matera, Camilla/J-7776-2019</t>
  </si>
  <si>
    <t>Matera, Camilla/0000-0002-1791-4074; STEFANILE, CRISTINA/0000-0001-8397-5169</t>
  </si>
  <si>
    <t>10.1016/j.ijintrel.2012.03.002</t>
  </si>
  <si>
    <t>969DZ</t>
  </si>
  <si>
    <t>WOS:000306037200001</t>
  </si>
  <si>
    <t>Ward, C; Kus, L</t>
  </si>
  <si>
    <t>Ward, Colleen; Kus, Larissa</t>
  </si>
  <si>
    <t>Back to and beyond Berry's basics: The conceptualization, operationalization and classification of acculturation</t>
  </si>
  <si>
    <t>Acculturation; Adaptation; Integration; Immigrants; Measurement</t>
  </si>
  <si>
    <t>EXTENDED MODEL RAEM; RELATIVE ACCULTURATION; ETHNIC IDENTIFICATION; ATTITUDES; ADAPTATION; ASSIMILATION; INTEGRATION; ADJUSTMENT; STRATEGIES; IMMIGRANTS</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</si>
  <si>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maintenance-cultural contact conceptualization and on a later cultural maintenance-cultural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(C) 2012 Elsevier Ltd. All rights reserved.</t>
  </si>
  <si>
    <t>[Ward, Colleen; Kus, Larissa] Victoria Univ Wellington, Ctr Appl Cross Cultural Res, Wellington, New Zealand</t>
  </si>
  <si>
    <t>Ward, C (corresponding author), Victoria Univ Wellington, Ctr Appl Cross Cultural Res, POB 600, Wellington, New Zealand.</t>
  </si>
  <si>
    <t>Colleen.Ward@vuw.ac.nz</t>
  </si>
  <si>
    <t>Kus-Harbord, Larissa/B-7768-2013</t>
  </si>
  <si>
    <t>10.1016/j.ijintrel.2012.02.002</t>
  </si>
  <si>
    <t>WOS:000306037200002</t>
  </si>
  <si>
    <t>Thomson, MD; Hoffman-Goetz, L</t>
  </si>
  <si>
    <t>Thomson, M. D.; Hoffman-Goetz, L.</t>
  </si>
  <si>
    <t>Application of the health literacy framework to diet-related cancer prevention conversations of older immigrant women to Canada</t>
  </si>
  <si>
    <t>HEALTH PROMOTION INTERNATIONAL</t>
  </si>
  <si>
    <t>migrants; women; health literacy; colon cancer</t>
  </si>
  <si>
    <t>AFRICAN-AMERICANS; HISPANIC WOMEN; FOOD CHOICES; ACCULTURATION; CARE; BEHAVIORS; SERVICES; LANGUAGE; ACCESS; ASSOCIATION</t>
  </si>
  <si>
    <t>Health literacy, conceptualized as a framework involving basic (functional), interactive and critical skill sets, is a key determinant of health. Application of the health literacy framework (HLF) to immigrant populations has been limited. Our objective was to apply the HLF to discourses about diet-related colon cancer prevention among English-as-a-Second-Language (ESL) immigrant women. We also explored whether these discussions could inform the development of culturally appropriate information and potentially increase health literacy. Interviews were conducted with 64 older Spanish-speaking ESL immigrant women. Directed content analysis guided by the HLF was used to identify themes. Diet-related conversations were initiated by 43 (67) participants. Four themes were identified: general information requestslow functional health literacy (FHL) (n 23/43), specific nutrition inquirieshigh FHL (n 17/43), actions for healthy eatinglow interactive health literacy (IHL) (n 8/43) and community communication issueshigh IHL (n 3/43). No conversations representing critical health literacy were identified. Five women discussed both FHL and IHL themes. Womens diet-related conversations followed a continuum of increasing information needs supporting the HLF.</t>
  </si>
  <si>
    <t>[Hoffman-Goetz, L.] Univ Waterloo, Fac Appl Hlth Sci, Dept Hlth Studies &amp; Gerontol, Waterloo, ON N2L 3G1, Canada; [Thomson, M. D.] Virginia Commonwealth Univ, Fac Med, Dept Social &amp; Behav Hlth, Richmond, VA 23298 USA</t>
  </si>
  <si>
    <t>Hoffman-Goetz, L (corresponding author), Univ Waterloo, Fac Appl Hlth Sci, Dept Hlth Studies &amp; Gerontol, 200 Univ Ave W, Waterloo, ON N2L 3G1, Canada.</t>
  </si>
  <si>
    <t>lhgoetz@uwaterloo.ca</t>
  </si>
  <si>
    <t>Thomson, Maria/0000-0002-5729-8720</t>
  </si>
  <si>
    <t>0957-4824</t>
  </si>
  <si>
    <t>1460-2245</t>
  </si>
  <si>
    <t>HEALTH PROMOT INT</t>
  </si>
  <si>
    <t>Health Promot. Int.</t>
  </si>
  <si>
    <t>10.1093/heapro/dar019</t>
  </si>
  <si>
    <t>Health Policy &amp; Services; Public, Environmental &amp; Occupational Health</t>
  </si>
  <si>
    <t>Health Care Sciences &amp; Services; Public, Environmental &amp; Occupational Health</t>
  </si>
  <si>
    <t>891TL</t>
  </si>
  <si>
    <t>WOS:000300239400005</t>
  </si>
  <si>
    <t>Kyriakakis, S; Dawson, BA; Edmond, T</t>
  </si>
  <si>
    <t>Kyriakakis, Stavroula; Dawson, Beverly Araujo; Edmond, Tonya</t>
  </si>
  <si>
    <t>Mexican Immigrant Survivors of Intimate Partner Violence: Conceptualization and Descriptions of Abuse</t>
  </si>
  <si>
    <t>VIOLENCE AND VICTIMS</t>
  </si>
  <si>
    <t>intimate partner violence; Mexican immigrant women; culture; abuse tactics</t>
  </si>
  <si>
    <t>DOMESTIC VIOLENCE; WOMENS EXPERIENCES; GENDER; RISK; ACCULTURATION; TALK</t>
  </si>
  <si>
    <t>This phenomenological qualitative study examines intimate partner violence (IPV) experienced by a sample of 29 Mexican immigrant women residing in New York and St. Louis. The findings reveal important insights about culturally specific abuse tactics employed by batterers and the forms of abuse that are experienced as most hurtful to the survivors. Ten different abusive tactics emerged: verbal, economic, physical, sexual, and extended family abuse, social isolation, physical abuse of children, stalking and monitoring, stolen bride, and sex trafficking. Cultural values and expectations appear to be inextricably linked to how the participants characterized the severity of each of the abusive tactics as evidenced by which abusive behaviors the participants found most hurtful. The findings will help service providers have a better understanding of the role cultural context plays in the IPV experiences of Mexican immigrant women.</t>
  </si>
  <si>
    <t>[Kyriakakis, Stavroula; Dawson, Beverly Araujo] Adelphi Univ, New York, NY USA; [Edmond, Tonya] Washington Univ, St Louis, MO USA</t>
  </si>
  <si>
    <t>Kyriakakis, S (corresponding author), Adelphi Sch Social Work, 1 South Ave,Box 701, Garden City, NY 11530 USA.</t>
  </si>
  <si>
    <t>skyriakakis@adelphi.edu</t>
  </si>
  <si>
    <t>0886-6708</t>
  </si>
  <si>
    <t>1945-7073</t>
  </si>
  <si>
    <t>VIOLENCE VICTIMS</t>
  </si>
  <si>
    <t>Violence Vict.</t>
  </si>
  <si>
    <t>10.1891/0886-6708.27.4.548</t>
  </si>
  <si>
    <t>Criminology &amp; Penology</t>
  </si>
  <si>
    <t>985VJ</t>
  </si>
  <si>
    <t>WOS:000307298300007</t>
  </si>
  <si>
    <t>Tartakovsky, E</t>
  </si>
  <si>
    <t>Tartakovsky, Eugene</t>
  </si>
  <si>
    <t>Factors affecting immigrants' acculturation intentions: A theoretical model and its assessment among adolescent immigrants from Russia and Ukraine in Israel</t>
  </si>
  <si>
    <t>The acculturation intentions model (AIM); The theory of planned behavior; Acculturation strategies; Further emigration intentions; Attitudes towards a country; Perceived discrimination; Perceived social support; Adolescent immigrants; Russia; Ukraine; Israel</t>
  </si>
  <si>
    <t>SELF-EFFICACY; ATTITUDES; IDENTITY; BEHAVIOR; STRATEGIES; MINORITY; DISCRIMINATION; IDENTIFICATION; ASSIMILATION; PERSONALITY</t>
  </si>
  <si>
    <t>In this study, a new acculturation intentions model (AIM) was formulated to help explain immigrants' preferences for different acculturation strategies and their further emigration intentions, i.e. their plans to either remain in the host country, return to their country of origin, or emigrate to a third country. The AIM applies the theory of planned behavior (Ajzen, 1991) to the case of immigration. In the present study, the AIM was assessed among high-school adolescents who immigrated from Russia and Ukraine to Israel as part of an educational program (n = 151). The adolescents completed questionnaires twice: half a year before and three years after their immigration. In accordance with the theoretical model, attitudes towards the country of origin and the host country and perceived environmental constraints (including perceived discrimination as well as perceived social support from parents, peers, and teachers) affected the immigrants' acculturation intentions. In contrast with what was hypothesized in this study, immigrants' psychological resources were not related to their acculturation intentions. The significance of these findings for both the immigrants and the host society are discussed. (C) 2011 Elsevier Ltd. All rights reserved.</t>
  </si>
  <si>
    <t>Tel Aviv Univ, Bob Shapell Sch Social Work, POB 39040, IL-69978 Tel Aviv, Israel</t>
  </si>
  <si>
    <t>Tartakovsky, E (corresponding author), Tel Aviv Univ, Bob Shapell Sch Social Work, POB 39040, IL-69978 Tel Aviv, Israel.</t>
  </si>
  <si>
    <t>etartakov@hotmail.com</t>
  </si>
  <si>
    <t>10.1016/j.ijintrel.2011.02.003</t>
  </si>
  <si>
    <t>913VB</t>
  </si>
  <si>
    <t>WOS:000301904400010</t>
  </si>
  <si>
    <t>Reid, JS; Xian, P; Hyer, EJ; Flatau, MK; Ramirez, EM; Turk, FJ; Sampson, CR; Zhang, C; Fukada, EM; Maloney, ED</t>
  </si>
  <si>
    <t>Reid, J. S.; Xian, P.; Hyer, E. J.; Flatau, M. K.; Ramirez, E. M.; Turk, F. J.; Sampson, C. R.; Zhang, C.; Fukada, E. M.; Maloney, E. D.</t>
  </si>
  <si>
    <t>Multi-scale meteorological conceptual analysis of observed active fire hotspot activity and smoke optical depth in the Maritime Continent</t>
  </si>
  <si>
    <t>ATMOSPHERIC CHEMISTRY AND PHYSICS</t>
  </si>
  <si>
    <t>MADDEN-JULIAN OSCILLATION; NINO-SOUTHERN-OSCILLATION; INDONESIAN FOREST-FIRES; EL-NINO; INDIAN-OCEAN; KELVIN WAVES; HAZE EPISODE; DIPOLE MODE; LAND-USE; PRECIPITATION</t>
  </si>
  <si>
    <t>Much research and speculation exists about the meteorological and climatological impacts of biomass burning in the Maritime Continent (MC) of Indonesia and Malaysia, particularly during El Nino events. However, the MC hosts some of the world's most complicated meteorology, and we wish to understand how tropical phenomena at a range of scales influence observed burning activity. Using Moderate Resolution Imaging Spectroradiometer (MODIS) derived active fire hotspot patterns coupled with aerosol data assimilation products, satellite based precipitation, and meteorological indices, the meteorological context of observed fire prevalence and smoke optical depth in the MC are examined. Relationships of burning and smoke transport to such meteorological and climatic factors as the interannual El Nino-Southern Oscillation (ENSO), El Nino Modoki, Indian Ocean Dipole (IOD), the seasonal migration of the Intertropical Convergence Zone, the 30-90 day Madden Julian Oscillation (MJO), tropical waves, tropical cyclone activity, and diurnal convection were investigated. A conceptual model of how all of the differing meteorological scales affect fire activity is presented. Each island and its internal geography have different sensitivities to these factors which are likely relatable to precipitation patterns and land use practices. At the broadest scales as previously reported, we corroborate ENSO is indeed the largest factor. However, burning is also enhanced by periods of El Nino Modoki. Conversely, IOD influences are unclear. While interannual phenomena correlate to total seasonal burning, the MJO largely controls when visible burning occurs. High frequency phenomena which are poorly constrained in models such as diurnal convection and tropical cyclone activity also have an impact which cannot be ignored. Finally, we emphasize that these phenomena not only influence burning, but also the observability of burning, further complicating our ability to assign reasonable emissions.</t>
  </si>
  <si>
    <t>[Reid, J. S.; Hyer, E. J.; Flatau, M. K.; Sampson, C. R.] USN, Marine Meteorol Div, Res Lab, Monterey, CA USA; [Ramirez, E. M.] Univ Utah, Dept Atmospher Sci, Salt Lake City, UT USA; [Turk, F. J.] CALTECH, Jet Prop Lab, Pasadena, CA USA; [Zhang, C.] Univ Miami, Rosenstiel Sch Marine &amp; Atmospher Sci, Miami, FL 33149 USA; [Fukada, E. M.] Joint Typhoon Warning Ctr, Honolulu, HI USA; [Maloney, E. D.] Colorado State Univ, Dept Atmospher Sci, Ft Collins, CO 80523 USA</t>
  </si>
  <si>
    <t>Reid, JS (corresponding author), USN, Marine Meteorol Div, Res Lab, Monterey, CA USA.</t>
  </si>
  <si>
    <t>jeffrey.reid@nrlmry.navy.mil</t>
  </si>
  <si>
    <t>Maloney, Eric D/A-9327-2008; Reid, Jeffrey S/B-7633-2014; Hyer, Edward/AAN-6903-2020; Xian, Peng/Q-4159-2019; Hyer, Edward J/E-7734-2011</t>
  </si>
  <si>
    <t>Maloney, Eric D/0000-0002-2660-2611; Reid, Jeffrey S/0000-0002-5147-7955; Hyer, Edward/0000-0001-8636-2026; Xian, Peng/0000-0001-7602-0524; Hyer, Edward J/0000-0001-8636-2026</t>
  </si>
  <si>
    <t>NRL Base; NASANational Aeronautics &amp; Space Administration (NASA); Office of Naval ResearchOffice of Naval Research [32]</t>
  </si>
  <si>
    <t>We are grateful to many of our 7SEAS partners for helpful discussions, and in particular Jukka Miettinen of the National University of Singapore Center for Remote Imaging. Sensing and Processing. We are also grateful to Song Yang, NRL, for helpful discussions on diurnal precipitation in the region. This paper was supported by the NRL Base Program, NASA Interdisciplinary Science Program, and the Office of Naval Research Code 32.</t>
  </si>
  <si>
    <t>COPERNICUS GESELLSCHAFT MBH</t>
  </si>
  <si>
    <t>GOTTINGEN</t>
  </si>
  <si>
    <t>BAHNHOFSALLEE 1E, GOTTINGEN, 37081, GERMANY</t>
  </si>
  <si>
    <t>1680-7316</t>
  </si>
  <si>
    <t>1680-7324</t>
  </si>
  <si>
    <t>ATMOS CHEM PHYS</t>
  </si>
  <si>
    <t>Atmos. Chem. Phys.</t>
  </si>
  <si>
    <t>10.5194/acp-12-2117-2012</t>
  </si>
  <si>
    <t>Environmental Sciences; Meteorology &amp; Atmospheric Sciences</t>
  </si>
  <si>
    <t>Environmental Sciences &amp; Ecology; Meteorology &amp; Atmospheric Sciences</t>
  </si>
  <si>
    <t>900GW</t>
  </si>
  <si>
    <t>WOS:000300875900027</t>
  </si>
  <si>
    <t>Bermejo, I; Kriston, L; Muthny, FA</t>
  </si>
  <si>
    <t>Bermejo, Isaac; Kriston, Levente; Muthny, Fritz A.</t>
  </si>
  <si>
    <t>Lay Theories toward Cancer and Myocardial Infarction: A Trans-cultural Comparison of Germans and Spaniards</t>
  </si>
  <si>
    <t>JOURNAL OF HEALTH PSYCHOLOGY</t>
  </si>
  <si>
    <t>chronic illness; culture; ethnicity; health psychology; locus of control</t>
  </si>
  <si>
    <t>MENTAL-HEALTH-SERVICES; SHARED DECISION-MAKING; ACCULTURATION; COMMUNICATION; DISPARITIES; ETHNICITY; BELIEFS; ILLNESS</t>
  </si>
  <si>
    <t>The objective of this study was a transcultural comparison regarding illness-related causal and control attributes using a survey of healthy Germans in Germany, Spaniards in Spain and Spaniards in Germany. Each group contained 100 persons, matched according to sex, age and education. Germans showed more pronounced internal causal as well as control beliefs while Spaniards in Germany showed fatalistic attribution and Spaniards in Spain placed more emphasis on social aspects. It was possible to correctly assign over 75 percent of persons to a group depending on their characteristics in terms of causal and control attributions. Considerations of cultural and migration-related factors regarding public health appear especially promising.</t>
  </si>
  <si>
    <t>[Bermejo, Isaac] Univ Med Ctr Freiburg, Freiburg, Germany; [Kriston, Levente] Univ Med Ctr Hamburg Eppendorf, Hamburg, Germany; [Muthny, Fritz A.] Univ Munster, Munster, Germany</t>
  </si>
  <si>
    <t>Bermejo, I (corresponding author), Celenus Kliniken GmbH, Moltkestr 27, D-77654 Offenburg, Germany.</t>
  </si>
  <si>
    <t>I.bermejo@celenus-kliniken.de</t>
  </si>
  <si>
    <t>Kriston, Levente/D-1713-2013</t>
  </si>
  <si>
    <t>Kriston, Levente/0000-0003-0748-264X</t>
  </si>
  <si>
    <t>1359-1053</t>
  </si>
  <si>
    <t>J HEALTH PSYCHOL</t>
  </si>
  <si>
    <t>J. Health Psychol.</t>
  </si>
  <si>
    <t>10.1177/1359105311408749</t>
  </si>
  <si>
    <t>871NO</t>
  </si>
  <si>
    <t>WOS:000298745100008</t>
  </si>
  <si>
    <t>Tsuda, T</t>
  </si>
  <si>
    <t>Tsuda, Takeyuki</t>
  </si>
  <si>
    <t>Whatever Happened to Simultaneity? Transnational Migration Theory and Dual Engagement in Sending and Receiving Countries</t>
  </si>
  <si>
    <t>Transnational; Transborder; Immigration; Migration; Assimilation</t>
  </si>
  <si>
    <t>IMMIGRANT INCORPORATION; LOS-ANGELES; ASSIMILATION; POLITICS; CITIZENSHIP; CONCLUSION; NATION; STATE</t>
  </si>
  <si>
    <t>The transnationalism literature has focused on the transborder social networks that immigrants in the receiving country maintain with their sending countries and has not sufficiently examined how such transborder connections enable them to become simultaneously engaged in both nation-states. This paper argues that simultaneity is an important part of transnationalism that distinguishes it from long-distance nationalism. We therefore need to more extensively analyse how immigrants' transborder involvement in their home country simultaneously affects their participation in the host country. I suggest four ways in which the dynamic relationship between home- and host-country engagement can be conceived. The first is a zero-sum relationship, where increased engagement in one country leads to decreased involvement in the other. The second involves the side-by-side co-existence of sending-and receiving-country engagement without one directly influencing the other. The third is a positively reinforcing relationship, where increased engagement in one country leads to increased involvement in the other. The final option is a negatively reinforcing relationship. I illustrate these four types of transnational simultaneity with examples of migrant socioeconomic, political, cultural and identity transnationalism. Finally I discuss their implications for the long-term engagement of immigrants in both sending and receiving countries.</t>
  </si>
  <si>
    <t>Arizona State Univ, Sch Human Evolut &amp; Social Change, Tempe, AZ 85287 USA</t>
  </si>
  <si>
    <t>Tsuda, T (corresponding author), Arizona State Univ, Sch Human Evolut &amp; Social Change, POB 872402, Tempe, AZ 85287 USA.</t>
  </si>
  <si>
    <t>takeyuki.tsuda@asu.edu</t>
  </si>
  <si>
    <t>Tsuda, Takeyuki/AAH-2442-2020</t>
  </si>
  <si>
    <t>10.1080/1369183X.2012.659126</t>
  </si>
  <si>
    <t>931JS</t>
  </si>
  <si>
    <t>WOS:000303212800006</t>
  </si>
  <si>
    <t>Choudhry, K; Wallace, LM</t>
  </si>
  <si>
    <t>Choudhry, Kubra; Wallace, Louise M.</t>
  </si>
  <si>
    <t>Breast is not always best': South Asian women's experiences of infant feeding in the UK within an acculturation framework</t>
  </si>
  <si>
    <t>MATERNAL AND CHILD NUTRITION</t>
  </si>
  <si>
    <t>infant feeding; acculturation; South Asian; breastfeeding; minority ethnic groups</t>
  </si>
  <si>
    <t>CULTURE; IMMIGRATION; HISPANICS; ETHNICITY; ORIGIN; SCALE</t>
  </si>
  <si>
    <t>Acculturating to a host country has a negative impact on immigrant women's breastfeeding practices, particularly when coming from countries where breastfeeding rates are higher than Western countries. Whether this is true of those immigrating to the UK remains to be investigated. The study aimed to explore whether acculturating to the UK had detrimental effects on breastfeeding practices of South Asian women, and to provide explanations as to how acculturation may have exerted its influence.</t>
  </si>
  <si>
    <t>[Choudhry, Kubra; Wallace, Louise M.] Coventry Univ, Appl Res Ctr Hlth &amp; Lifestyle Intervent, Fac Hlth &amp; Life Sci, Coventry CV1 5FB, W Midlands, England</t>
  </si>
  <si>
    <t>Choudhry, K (corresponding author), Coventry Univ, Appl Res Ctr Hlth &amp; Lifestyle Intervent, Fac Hlth &amp; Life Sci, Whitefriars Bldg,Priory St, Coventry CV1 5FB, W Midlands, England.</t>
  </si>
  <si>
    <t>k.choudhry@coventry.ac.uk</t>
  </si>
  <si>
    <t>1740-8695</t>
  </si>
  <si>
    <t>1740-8709</t>
  </si>
  <si>
    <t>MATERN CHILD NUTR</t>
  </si>
  <si>
    <t>Matern. Child Nutr.</t>
  </si>
  <si>
    <t>10.1111/j.1740-8709.2010.00253.x</t>
  </si>
  <si>
    <t>Nutrition &amp; Dietetics; Pediatrics</t>
  </si>
  <si>
    <t>855RE</t>
  </si>
  <si>
    <t>WOS:000297581100006</t>
  </si>
  <si>
    <t>Kim, RY</t>
  </si>
  <si>
    <t>Kim, Rebecca Y.</t>
  </si>
  <si>
    <t>Religion and Ethnicity: Theoretical Connections</t>
  </si>
  <si>
    <t>RELIGIONS</t>
  </si>
  <si>
    <t>religion; ethnicity; immigration; immigrants</t>
  </si>
  <si>
    <t>SEGMENTED ASSIMILATION; SECULARIZATION; 2ND-GENERATION; IMMIGRANTS; CONVERSION; COMMUNITY; PARADIGM; CULTURE; CHINESE</t>
  </si>
  <si>
    <t>The religion literature in Sociology remains largely disconnected from the ethnicity and immigration literature despite enduring connections between religion and ethnicity. This review helps to close this gap. It shows how the dominant theories in each discipline follow a similar trajectory and examines how exploring the theoretical connections between religion and ethnicity can advance our understanding of each social phenomenon. In particular, it can illuminate why America remains so religious as well as why America's religious congregations continue to be so divided along ethnic and racial lines.</t>
  </si>
  <si>
    <t>Pepperdine Univ, Malibu, CA 90263 USA</t>
  </si>
  <si>
    <t>Kim, RY (corresponding author), Pepperdine Univ, 24255 Pacific Coast Hwy, Malibu, CA 90263 USA.</t>
  </si>
  <si>
    <t>rebecca.y.kim@pepperdine.edu</t>
  </si>
  <si>
    <t>2077-1444</t>
  </si>
  <si>
    <t>Religions</t>
  </si>
  <si>
    <t>10.3390/rel2030312</t>
  </si>
  <si>
    <t>V29EW</t>
  </si>
  <si>
    <t>WOS:000208732700006</t>
  </si>
  <si>
    <t>Van Acker, K; Vanbeselaere, N</t>
  </si>
  <si>
    <t>Van Acker, Kaat; Vanbeselaere, Norbert</t>
  </si>
  <si>
    <t>Bringing together acculturation theory and intergroup contact theory: Predictors of Flemings' expectations of Turks' acculturation behavior</t>
  </si>
  <si>
    <t>Intergroup contact; Acculturation expectations; Acculturation perceptions; Outgroup affect</t>
  </si>
  <si>
    <t>ATTITUDES; IMMIGRANTS; PREJUDICE; NETHERLANDS; INTEGRATION; PSYCHOLOGY; MINORITY; CONSEQUENCES; ORIENTATIONS; ASSIMILATION</t>
  </si>
  <si>
    <t>The present paper explores Flemish majority members' expectations concerning the acculturation of Turkish minorities. We studied two kinds of antecedents: majority members' perceptions of Turkish minorities' acculturation behavior and their experiences of intergroup contact. The possible mediating role of outgroup affect was also investigated. 247 Flemish high school students completed a survey. Data were analyzed using path analyses. Results show that positive contact experiences and perceiving that Turkish immigrants make efforts to engage in contact with the host group and/or to adopt the host culture are associated with less negative affective reactions towards Turkish migrants. Perceiving that Turkish immigrants maintain their heritage culture is associated with more negative affective reactions. Our results further revealed that increased negative affective reactions are associated with less support for culture maintenance and for contact with the host group but with a higher demand for host culture adoption. The present results also show that expectations of contact engagement and expectations of host culture adoption cannot be considered as equivalent. This implies that results from studies using Berry's conceptualization of acculturation expectations (Berry, 2001) and results from studies using Bourhis' conceptualization of acculturation expectations (Bourhis, Moise, Perreault, &amp; Senecal, 1997) are not directly comparable. Our data also clearly disconfirm the orthogonal structure of the fourfold acculturation model for majority members' acculturation expectations, suggesting that relying on the specific dimensions defining acculturation expectations may constitute a more valid approach to understand ongoing acculturation processes. (C) 2010 Elsevier Ltd. All rights reserved.</t>
  </si>
  <si>
    <t>[Van Acker, Kaat; Vanbeselaere, Norbert] Katholieke Univ Leuven, Dept Psychol, Ctr Social &amp; Cultural Psychol, B-3000 Louvain, Belgium</t>
  </si>
  <si>
    <t>Van Acker, K (corresponding author), Katholieke Univ Leuven, Dept Psychol, Ctr Social &amp; Cultural Psychol, Tiensestr 102,Bus 3727, B-3000 Louvain, Belgium.</t>
  </si>
  <si>
    <t>Kaat.VanAcker@psy.kuleuven.be; Norbert.Vanbeselaere@psy.kuleuven.be</t>
  </si>
  <si>
    <t>10.1016/j.ijintrel.2010.06.004</t>
  </si>
  <si>
    <t>776AJ</t>
  </si>
  <si>
    <t>WOS:000291506600006</t>
  </si>
  <si>
    <t>Xie, Y; Greenman, E</t>
  </si>
  <si>
    <t>Xie, Yu; Greenman, Emily</t>
  </si>
  <si>
    <t>The social context of assimilation: Testing implications of segmented assimilation theory</t>
  </si>
  <si>
    <t>Assimilation; Immigrant children; Neighborhood effects; School effects; Segmented assimilation</t>
  </si>
  <si>
    <t>ACADEMIC-ACHIEVEMENT; SCHOOL PERFORMANCE; SELF-ESTEEM; 2ND-GENERATION DECLINE; IMMIGRANT GENERATION; VIETNAMESE YOUTH; ASIAN-AMERICANS; CHILDREN; NEIGHBORHOOD; ETHNICITY</t>
  </si>
  <si>
    <t>Segmented assimilation theory has been a popular explanation for the diverse experiences of assimilation among new waves of immigrants and their children. While the theory has been interpreted in many different ways, we emphasize its implications for the important role of social context: both processes and consequences of assimilation should depend on the local social context in which immigrants are embedded. We derive empirically falsifiable hypotheses about the interaction effects between social context and assimilation on immigrant children's well-being. We then test the hypotheses using data from the National Longitudinal Study of Adolescent Health. Our empirical analyses yield two main findings. First, for immigrant adolescents living in non-poverty neighborhoods, we find assimilation to be positively associated with educational achievement and psychological well-being but also positively associated with at-risk behavior. Second, there is little empirical evidence supporting our hypotheses derived from segmented assimilation theory. We interpret these results to mean that future research would be more fruitful focusing on differential processes of assimilation rather than differential consequences of assimilation. (C) 2011 Elsevier Inc. All rights reserved.</t>
  </si>
  <si>
    <t>[Xie, Yu] Univ Michigan, Inst Social Res, Ctr Populat Studies, Ann Arbor, MI 48104 USA; [Greenman, Emily] Penn State Univ, Dept Sociol, University Pk, PA 16802 USA</t>
  </si>
  <si>
    <t>Xie, Y (corresponding author), Univ Michigan, Inst Social Res, Ctr Populat Studies, 426 Thompson St, Ann Arbor, MI 48104 USA.</t>
  </si>
  <si>
    <t>yuxie@umich.edu; ekg15@psu.edu</t>
  </si>
  <si>
    <t>EUNICE KENNEDY SHRIVER NATIONAL INSTITUTE OF CHILD HEALTH &amp; HUMAN DEVELOPMENTUnited States Department of Health &amp; Human ServicesNational Institutes of Health (NIH) - USANIH Eunice Kennedy Shriver National Institute of Child Health &amp; Human Development (NICHD) [R24HD041028] Funding Source: NIH RePORTER; EUNICE KENNEDY SHRIVER NATIONAL INSTITUTE OF CHILD HEALTH &amp;HUMAN DEVELOPMENTUnited States Department of Health &amp; Human ServicesNational Institutes of Health (NIH) - USANIH Eunice Kennedy Shriver National Institute of Child Health &amp; Human Development (NICHD) [R01HD044905] Funding Source: NIH RePORTER; NICHD NIH HHSUnited States Department of Health &amp; Human ServicesNational Institutes of Health (NIH) - USANIH Eunice Kennedy Shriver National Institute of Child Health &amp; Human Development (NICHD) [R24 HD041028, R01 HD044905, R01 HD044905-01A1] Funding Source: Medline</t>
  </si>
  <si>
    <t>10.1016/j.ssresearch.2011.01.004</t>
  </si>
  <si>
    <t>749UT</t>
  </si>
  <si>
    <t>WOS:000289497100019</t>
  </si>
  <si>
    <t>Yagmur, K</t>
  </si>
  <si>
    <t>Yagmur, Kutlay</t>
  </si>
  <si>
    <t>Does Ethnolinguistic Vitality Theory account for the actual vitality of ethnic groups? A critical evaluation.</t>
  </si>
  <si>
    <t>ethnolinguistic vitality; ethnic identity; assimilation</t>
  </si>
  <si>
    <t>Ethnolinguistic vitality theory asserts that Status, Demographic, Institutional Support and Control factors make up the vitality of ethnolinguistic groups. An assessment of a group's strengths and weaknesses in each of these dimensions provides a rough classification of ethnolinguistic groups into those having low, medium, or high vitality. Low vitality groups are most likely to go through linguistic assimilation and may not be considered a distinctive collective group. On the other hand, high vitality groups are likely to maintain their language and distinctive cultural traits in multilingual settings. Compared to other models, Ethnoliguistic Vitality Theory (EVT) and its accompanying instruments provide a broader and more inclusive framework for the investigation of language maintenance and shift. However, the empirical evidence obtained in a number of contexts point to an underestimation of the actual vitality of some minority groups. In this paper, based on the findings on ethnolinguistic vitality perceptions of Turkish immigrants in Australia, France, Germany and the Netherlands, a critical evaluation of EVT will be presented.</t>
  </si>
  <si>
    <t>Tilburg Univ, Dept Culture Studies, NL-5000 LE Tilburg, Netherlands</t>
  </si>
  <si>
    <t>Yagmur, K (corresponding author), Tilburg Univ, Dept Culture Studies, Postbus 90153, NL-5000 LE Tilburg, Netherlands.</t>
  </si>
  <si>
    <t>K.Yagmur@uvt.nl</t>
  </si>
  <si>
    <t>INFORMA HEALTHCARE</t>
  </si>
  <si>
    <t>TELEPHONE HOUSE, 69-77 PAUL STREET, LONDON EC2A 4LQ, ENGLAND</t>
  </si>
  <si>
    <t>PII 935118673</t>
  </si>
  <si>
    <t>10.1080/01434632.2010.541914</t>
  </si>
  <si>
    <t>738VX</t>
  </si>
  <si>
    <t>WOS:000288671800002</t>
  </si>
  <si>
    <t>Luedicke, MK</t>
  </si>
  <si>
    <t>Luedicke, Marius K.</t>
  </si>
  <si>
    <t>Consumer acculturation theory: (crossing) conceptual boundaries</t>
  </si>
  <si>
    <t>CONSUMPTION MARKETS &amp; CULTURE</t>
  </si>
  <si>
    <t>integration; consumer acculturation; acculturation agents; social systems; assimilation; nationality; culture; migration; immigration</t>
  </si>
  <si>
    <t>CONSUMPTION; CULTURE; IMMIGRANTS; ATTITUDES; ASSIMILATION; COMMUNITY; IDENTITY; DISCRIMINATION; CONSTRUCTION; INTEGRATION</t>
  </si>
  <si>
    <t>Consumer acculturation theorists have developed an insightful body of literature about the ways in which migrants adapt to foreign cultures via consumption. The present paper revisits 14 key studies from this field to highlight its most important contributions, critique its conceptual boundaries, and present cases of conceptual border crossings that indicate an emerging need for a broader conceptualization of the phenomenon. The paper closes by introducing a model that frames consumer acculturation as a complex system of recursive socio-cultural adaptation, and discusses its implications for future research.</t>
  </si>
  <si>
    <t>Univ Innsbruck, Dept Strateg Management Mkt &amp; Tourism, A-6020 Innsbruck, Austria</t>
  </si>
  <si>
    <t>Luedicke, MK (corresponding author), Univ Innsbruck, Dept Strateg Management Mkt &amp; Tourism, A-6020 Innsbruck, Austria.</t>
  </si>
  <si>
    <t>myself@mariusluedicke.de</t>
  </si>
  <si>
    <t>1025-3866</t>
  </si>
  <si>
    <t>1477-223X</t>
  </si>
  <si>
    <t>CONSUMP MARK CULT</t>
  </si>
  <si>
    <t>Consump. Mark. Cult.</t>
  </si>
  <si>
    <t>10.1080/10253866.2011.574824</t>
  </si>
  <si>
    <t>053LZ</t>
  </si>
  <si>
    <t>WOS:000312274400002</t>
  </si>
  <si>
    <t>Riedel, J; Wiesmann, U; Hannich, HJ</t>
  </si>
  <si>
    <t>Riedel, Jeannette; Wiesmann, Ulrich; Hannich, Hans-Joachim</t>
  </si>
  <si>
    <t>An integrative theoretical framework of acculturation and salutogenesis</t>
  </si>
  <si>
    <t>INTERNATIONAL REVIEW OF PSYCHIATRY</t>
  </si>
  <si>
    <t>SOUTHEAST-ASIAN REFUGEES; QUALITY-OF-LIFE; ANTONOVSKYS SENSE; COHERENCE SCALE; PSYCHOLOGICAL DISTRESS; RACIAL-DISCRIMINATION; SELF-ESTEEM; RESOURCES; HEALTH; ADJUSTMENT</t>
  </si>
  <si>
    <t>During the last two decades, the number of international migrants worldwide has constantly risen. In this context, cross-cultural dimensions of psychological disorders receive increased attention, especially depression, anxiety and post-traumatic stress disorders among the migrant population. In this paper we propose a theoretical framework for the understanding of migrant mental health. This framework combines elements from Berry's acculturation model and Antonovsky's salutogenic theory. The former illustrates the main factors that affect an individual's adaptation in a new cultural context. The term acculturative stress denotes unresolved problems resulting from intercultural contact that cannot be overcome easily by simply adjusting or assimilating. The latter specifies the relationship between culturally associated stress and mental health more distinctive, introducing the concepts of generalized resistance resources and sense of coherence that determine mental health outcomes of migrants during acculturative stress periods. Specifically, we provide an integrative framework of acculturation and salutogenesis that helps to integrate inconsistent findings in the migrant mental health literature. The current paper focuses on the effect of resource factors for positive mental health outcomes in the migrant population and summarises some implications for future research activities.</t>
  </si>
  <si>
    <t>[Riedel, Jeannette; Wiesmann, Ulrich; Hannich, Hans-Joachim] Univ Med Greifswald, Inst Med Psychol, Greifswald, Germany</t>
  </si>
  <si>
    <t>Riedel, J (corresponding author), Ernst Moritz Arndt Univ Greifswald, Fac Med, Inst Med Psychol, Walther Rathenau Str 48, D-17487 Greifswald, Germany.</t>
  </si>
  <si>
    <t>jriedel@uni-greifswald.de</t>
  </si>
  <si>
    <t>0954-0261</t>
  </si>
  <si>
    <t>1369-1627</t>
  </si>
  <si>
    <t>INT REV PSYCHIATR</t>
  </si>
  <si>
    <t>Int. Rev. Psych.</t>
  </si>
  <si>
    <t>10.3109/09540261.2011.637912</t>
  </si>
  <si>
    <t>880QJ</t>
  </si>
  <si>
    <t>WOS:000299421700009</t>
  </si>
  <si>
    <t>Kanukollu, SN; Mahalingam, R</t>
  </si>
  <si>
    <t>Kanukollu, Shanta N.; Mahalingam, Ramaswami</t>
  </si>
  <si>
    <t>The Idealized Cultural Identities Model on Help-Seeking and Child Sexual Abuse: A Conceptual Model for Contextualizing Perceptions and Experiences of South Asian Americans</t>
  </si>
  <si>
    <t>JOURNAL OF CHILD SEXUAL ABUSE</t>
  </si>
  <si>
    <t>model minority; social marginality; gender; child sexual abuse</t>
  </si>
  <si>
    <t>PROFESSIONAL PSYCHOLOGICAL HELP; IMMIGRANT FAMILIES; MENTAL-HEALTH; UNITED-STATES; MARGINAL MAN; ATTITUDES; GENDER; WOMEN; ACCULTURATION; MIGRATION</t>
  </si>
  <si>
    <t>In this paper, we propose an interdisciplinary framework to study perceptions of child sexual abuse and help-seeking among South Asians living in the United States. We integrate research on social marginality, intersectionality, and cultural psychology to understand how marginalized social experience accentuates South Asian immigrants' desire to construct a positive self-identity. Using model minority ideology as an example of such a construction, we highlight its role in silencing the topic of child sexual abuse within this immigrant community as well as its impact on attitudes towards professional mental health services. We contend that our framework, the idealized cultural identities model on help-seeking and child sexual abuse, provides a unique analytical model for clinicians and researchers to understand how South Asian Americans process, experience, and react to child sexual abuse.</t>
  </si>
  <si>
    <t>[Kanukollu, Shanta N.] Adler Sch Profess Psychol, Chicago, IL 60602 USA; [Mahalingam, Ramaswami] Univ Michigan, Dept Psychol, Ann Arbor, MI 48109 USA</t>
  </si>
  <si>
    <t>Kanukollu, SN (corresponding author), Adler Sch Profess Psychol, 17 N Dearborn, Chicago, IL 60602 USA.</t>
  </si>
  <si>
    <t>snishik@gmail.com</t>
  </si>
  <si>
    <t>1053-8712</t>
  </si>
  <si>
    <t>1547-0679</t>
  </si>
  <si>
    <t>J CHILD SEX ABUS</t>
  </si>
  <si>
    <t>J. Child Sex. Abus.</t>
  </si>
  <si>
    <t>PII 935345932</t>
  </si>
  <si>
    <t>10.1080/10538712.2011.556571</t>
  </si>
  <si>
    <t>Psychology, Clinical; Family Studies</t>
  </si>
  <si>
    <t>Psychology; Family Studies</t>
  </si>
  <si>
    <t>742PF</t>
  </si>
  <si>
    <t>WOS:000288956000006</t>
  </si>
  <si>
    <t>Price, ER</t>
  </si>
  <si>
    <t>Price, Edwin R.</t>
  </si>
  <si>
    <t>Dietary lipid composition and avian migratory flight performance: Development of a theoretical framework for avian fat storage</t>
  </si>
  <si>
    <t>COMPARATIVE BIOCHEMISTRY AND PHYSIOLOGY A-MOLECULAR &amp; INTEGRATIVE PHYSIOLOGY</t>
  </si>
  <si>
    <t>Exercise; Fatty acids; Selective mobilization; Phospholipids; Peroxisome proliferator; Migration; Birds</t>
  </si>
  <si>
    <t>ACID-BINDING PROTEIN; CATABOLIC ENZYME-ACTIVITIES; LONG-DISTANCE MIGRATION; ADIPOSE-TISSUE; MUSCLE PHOSPHOLIPIDS; ENERGY-METABOLISM; DEPOT FAT; SELECTIVE MOBILIZATION; SWIMMING PERFORMANCE; EXERCISE PERFORMANCE</t>
  </si>
  <si>
    <t>Birds rely substantially on fat to fuel migratory flights. The importance of the composition of those fat stores to flight performance is a field of recent interest. Here I review the evidence that dietary lipid fat composition affects exercise in birds. Seasonal changes in adipose composition and diet choice experiments have yet to provide strong evidence that fatty acid composition can affect flight performance. Direct manipulations of dietary fat, however, have been demonstrated to affect exercise performance in both avian and non-avian species. I also describe the major hypotheses for the mechanisms by which dietary fat affects exercise, focusing on the role of fatty acids as oxidative substrates and as structural components of membranes. Evidence is accumulating that fatty acids that are shorter or have more double bonds increase peak performance due to their higher transport rates en route to oxidation. Endurance and efficiency of flight may or may not be affected in similar ways. Other mechanisms requiring further investigation include membrane composition, peroxisome proliferator-activated receptors, and eicosanoid-mediated inflammation. Finally. I develop a theoretical framework for studying the composition of fat stores in migrants, focusing on the tradeoffs between fatty acid transport rates, energy storage, and assimilation during stopover refueling. (C) 2010 Elsevier Inc. All rights reserved.</t>
  </si>
  <si>
    <t>Univ Western Ontario, Dept Biol, Adv Facil Avian Res, London, ON N6A 5B7, Canada</t>
  </si>
  <si>
    <t>Price, ER (corresponding author), Univ Western Ontario, Dept Biol, Adv Facil Avian Res, 1151 Richmond St N, London, ON N6A 5B7, Canada.</t>
  </si>
  <si>
    <t>eprice3@uwo.ca</t>
  </si>
  <si>
    <t>Price, Edwin R./E-3080-2010</t>
  </si>
  <si>
    <t>Price, Edwin R./0000-0001-6042-7020</t>
  </si>
  <si>
    <t>National Science FoundationNational Science Foundation (NSF)</t>
  </si>
  <si>
    <t>I thank Chris Guglielmo, who influenced many of the ideas written here and gave comments on the manuscript. I was supported by a graduate research fellowship from the National Science Foundation during the development of the ideas leading to this manuscript.</t>
  </si>
  <si>
    <t>1095-6433</t>
  </si>
  <si>
    <t>1531-4332</t>
  </si>
  <si>
    <t>COMP BIOCHEM PHYS A</t>
  </si>
  <si>
    <t>Comp. Biochem. Physiol. A-Mol. Integr. Physiol.</t>
  </si>
  <si>
    <t>10.1016/J.cbpa.2010.05.019</t>
  </si>
  <si>
    <t>Biochemistry &amp; Molecular Biology; Physiology; Zoology</t>
  </si>
  <si>
    <t>673BH</t>
  </si>
  <si>
    <t>WOS:000283632700001</t>
  </si>
  <si>
    <t>Amelina, A</t>
  </si>
  <si>
    <t>Amelina, Anna</t>
  </si>
  <si>
    <t>Transnational migration beyond assimilation and acculturation. Transnational inclusion and hybrid cultural orders as conceptual alternatives to the assimilation and acculturation debate</t>
  </si>
  <si>
    <t>BERLINER JOURNAL FUR SOZIOLOGIE</t>
  </si>
  <si>
    <t>Transnational migration; Assimilation; Acculturation; Inclusion; Cultural interference</t>
  </si>
  <si>
    <t>Classic theories of migration describe international migration as one-way movements and investigate the cultural adjustment of migrants into a majority society. Contrary to this view, the article raises the question of new conceptual possibilities to describe migrants' assimilation and acculturation without conceptually focusing on a nation-state frame. In doing so, it makes reference to theories of transnational migration which define migration as a circular process connecting both sending and receiving contexts. This perspective enables, first, to structural assimilation as multiple simultaneous inclusions of individuals into societal institutions in different nation-state locations. Secondly, it suggests to consider acculturation as a cultural adjustment of migrants' knowledge patterns, which goes hand in hand with the maintenances, of cultural otherness.</t>
  </si>
  <si>
    <t>Univ Bielefeld, Fak Soziol, D-33615 Bielefeld, Germany</t>
  </si>
  <si>
    <t>Amelina, A (corresponding author), Univ Bielefeld, Fak Soziol, Univ Str 25, D-33615 Bielefeld, Germany.</t>
  </si>
  <si>
    <t>anna.amelina@uni-bielefeld.de</t>
  </si>
  <si>
    <t>0863-1808</t>
  </si>
  <si>
    <t>1862-2593</t>
  </si>
  <si>
    <t>BERL J SOZIOL</t>
  </si>
  <si>
    <t>Berliner J. Soz.</t>
  </si>
  <si>
    <t>10.1007/s11609-010-0123-y</t>
  </si>
  <si>
    <t>626OQ</t>
  </si>
  <si>
    <t>WOS:000279975700007</t>
  </si>
  <si>
    <t>Schwartz, SJ; Unger, JB; Zamboanga, BL; Szapocznik, J</t>
  </si>
  <si>
    <t>Schwartz, Seth J.; Unger, Jennifer B.; Zamboanga, Byron L.; Szapocznik, Jose</t>
  </si>
  <si>
    <t>Rethinking the Concept of Acculturation Implications for Theory and Research</t>
  </si>
  <si>
    <t>AMERICAN PSYCHOLOGIST</t>
  </si>
  <si>
    <t>acculturation; immigrant; cultural practices; cultural values; cultural identifications</t>
  </si>
  <si>
    <t>ETHNIC-IDENTITY; AMERICAN IDENTITY; BICULTURAL IDENTITY; AFRICAN-AMERICAN; COLLEGE-STUDENTS; ASIAN-AMERICAN; SUBSTANCE USE; IMMIGRANT; SCALE; ADOLESCENTS</t>
  </si>
  <si>
    <t>This article presents an expanded model of acculturation among international migrants and their immediate descendants. Acculturation is proposed as a multidimensional process consisting of the confluence among heritage-cultural and receiving-cultural practices, values, and identifications. The implications of this reconceptualization for the acculturation construct, as well as for its relationship to psychosocial and health outcomes, are discussed. In particular, an expanded operationalization of acculturation is needed to address the immigrant paradox, whereby international migrants with more exposure to the receiving cultural context report poorer mental and physical health outcomes. We discuss the role of ethnicity, cultural similarity, and discrimination in the acculturation process, offer an operational definition for context of reception, and call for studies on the role that context of reception plays in the acculturation process. The new perspective on acculturation presented in this article is intended to yield a fuller understanding of complex acculturation processes and their relationships to contextual and individual functioning.</t>
  </si>
  <si>
    <t>[Schwartz, Seth J.; Szapocznik, Jose] Univ Miami, Dept Epidemiol &amp; Publ Health, Leonard M Miller Sch Med, Miami, FL 33136 USA; [Unger, Jennifer B.] Claremont Grad Univ, Sch Community &amp; Global Hlth, Claremont, CA USA; [Zamboanga, Byron L.] Smith Coll, Dept Psychol, Northampton, MA 01063 USA</t>
  </si>
  <si>
    <t>Schwartz, SJ (corresponding author), Univ Miami, Dept Epidemiol &amp; Publ Health, Leonard M Miller Sch Med, 1425 NW 10th Ave, Miami, FL 33136 USA.</t>
  </si>
  <si>
    <t>NIDA NIH HHSUnited States Department of Health &amp; Human ServicesNational Institutes of Health (NIH) - USANIH National Institute on Drug Abuse (NIDA) [DA019409, R01 DA025694, DA026550, K01 DA019409] Funding Source: Medline; NATIONAL INSTITUTE ON DRUG ABUSEUnited States Department of Health &amp; Human ServicesNational Institutes of Health (NIH) - USANIH National Institute on Drug Abuse (NIDA)European Commission [K01DA019409, R01DA025694] Funding Source: NIH RePORTER</t>
  </si>
  <si>
    <t>0003-066X</t>
  </si>
  <si>
    <t>1935-990X</t>
  </si>
  <si>
    <t>AM PSYCHOL</t>
  </si>
  <si>
    <t>Am. Psychol.</t>
  </si>
  <si>
    <t>MAY-JUN</t>
  </si>
  <si>
    <t>10.1037/a0019330</t>
  </si>
  <si>
    <t>595ZZ</t>
  </si>
  <si>
    <t>WOS:000277654300001</t>
  </si>
  <si>
    <t>Ward, C; Kagitcibasi, C</t>
  </si>
  <si>
    <t>Ward, Colleen; Kagitcibasi, Cigdem</t>
  </si>
  <si>
    <t>Introduction to Acculturation Theory, Research and Application: Working with and for Communities</t>
  </si>
  <si>
    <t>Acculturation; Community; Applied research; Participatory action research; Immigrants</t>
  </si>
  <si>
    <t>The paper counters the claim that current acculturation research has very little practical utility and provides an overview of the special issue on Acculturation Theory, Research and Application: Working with and for Communities. The overview indicates that community-based research is widespread and that although it is characterized by a diversity of locations, populations and investigative methods, the studies share common objectives of empowering acculturating individuals and communities, enhancing social integration and psychological well being, and improving interpersonal and intergroup relations. (C) 2010 Elsevier Ltd. All rights reserved.</t>
  </si>
  <si>
    <t>[Ward, Colleen] Victoria Univ Wellington, Sch Psychol, Ctr Appl Cross Cultural Res, Wellington, New Zealand; [Kagitcibasi, Cigdem] Koc Univ, Turkish Acad Sci, Istanbul, Turkey</t>
  </si>
  <si>
    <t>Ward, C (corresponding author), Victoria Univ Wellington, Sch Psychol, Ctr Appl Cross Cultural Res, POB 600, Wellington, New Zealand.</t>
  </si>
  <si>
    <t>Colleen.ward@vuw.ac.nz</t>
  </si>
  <si>
    <t>Grants-in-Aid for Scientific ResearchMinistry of Education, Culture, Sports, Science and Technology, Japan (MEXT)Japan Society for the Promotion of ScienceGrants-in-Aid for Scientific Research (KAKENHI) [20520484] Funding Source: KAKEN</t>
  </si>
  <si>
    <t>10.1016/j.ijintrel.2010.02.001</t>
  </si>
  <si>
    <t>584RA</t>
  </si>
  <si>
    <t>WOS:000276768800001</t>
  </si>
  <si>
    <t>Calzada, EJ; Fernandez, Y; Cortes, DE</t>
  </si>
  <si>
    <t>Calzada, Esther J.; Fernandez, Yenny; Cortes, Dharma E.</t>
  </si>
  <si>
    <t>Incorporating the Cultural Value of Respeto Into a Framework of Latino Parenting</t>
  </si>
  <si>
    <t>Latino parenting; socialization; cultural values; respeto; preschoolers</t>
  </si>
  <si>
    <t>MEXICAN-AMERICAN FAMILIES; PUERTO-RICAN MOTHERS; RACIAL SOCIALIZATION PRACTICES; AFRICAN-AMERICAN; LOW-INCOME; TEACHING BEHAVIORS; ETHNIC-IDENTITY; CHILDREN; INTERVENTIONS; IMMIGRANT</t>
  </si>
  <si>
    <t>Latino families face multiple stressors associated with adjusting to United States mainstream culture that, along with poverty and residence in inner-city communities, may further predispose their children to risk for negative developmental outcomes. Evidence-based mental health treatments may require culturally informed modifications to best address the unique needs of the Latino population, yet few empirical studies have assessed these cultural elements. The current study examined cultural values of 48 Dominican and Mexican mothers of preschoolers through focus groups in which they described their core values as related to their parenting role. Results showed that respeto, family and religion were the most important values that mothers sought to transmit to their children. Respeto is manifested in several domains, including obedience to authority, deference. decorum, and public behavior. The authors describe the socialization messages that Latina mothers use to teach their children respeto and present a culturally derived framework of how these messages may relate to child development. The authors discuss how findings may inform the cultural adaptation of evidence-based mental health treatments such as parent training programs.</t>
  </si>
  <si>
    <t>[Calzada, Esther J.; Fernandez, Yenny] NYU, Sch Med, Ctr Child Study, New York, NY 10003 USA; [Cortes, Dharma E.] Harvard Univ, Sch Med, Cambridge, MA 02138 USA</t>
  </si>
  <si>
    <t>Calzada, EJ (corresponding author), 215 Lexington Ave,13th Floor, New York, NY 10016 USA.</t>
  </si>
  <si>
    <t>Calzada, Esther/0000-0003-0382-9212</t>
  </si>
  <si>
    <t>EUNICE KENNEDY SHRIVER NATIONAL INSTITUTE OF CHILD HEALTH &amp;HUMAN DEVELOPMENTUnited States Department of Health &amp; Human ServicesNational Institutes of Health (NIH) - USANIH Eunice Kennedy Shriver National Institute of Child Health &amp; Human Development (NICHD) [K23HD049730] Funding Source: NIH RePORTER; NICHD NIH HHSUnited States Department of Health &amp; Human ServicesNational Institutes of Health (NIH) - USANIH Eunice Kennedy Shriver National Institute of Child Health &amp; Human Development (NICHD) [K23 HD049730] Funding Source: Medline</t>
  </si>
  <si>
    <t>10.1037/a0016071</t>
  </si>
  <si>
    <t>555OP</t>
  </si>
  <si>
    <t>WOS:000274522100009</t>
  </si>
  <si>
    <t>Crul, M; Schneider, J</t>
  </si>
  <si>
    <t>Crul, Maurice; Schneider, Jens</t>
  </si>
  <si>
    <t>Comparative integration context theory: participation and belonging in new diverse European cities</t>
  </si>
  <si>
    <t>Theory; integration; diversity; second generation; TIES; immigration</t>
  </si>
  <si>
    <t>2ND-GENERATION; ASSIMILATION</t>
  </si>
  <si>
    <t>Drawing upon results from the TIES survey on the second generation in eight European countries the authors propose a new perspective on integration or assimilation. The proposed comparative integration context theory argues that participation in social organizations and belonging to local communities across European cities is strongly dependent on the integration context. Differences in integration contexts include institutional arrangements in education, the labour market, housing, religion and legislation. Differences in the social and political context are especially important for social and cultural participation and belonging. The TIES data show high degrees of local involvement in the second generation and the dwindling centrality of single ethnic belongings - a reflection of the dramatically changing ethnic and (sub)cultural landscapes in cities in Europe. The article challenges established notions of 'newcomers' and 'natives', explores the 'remaking of the mainstream' and argues for the investigation of mobility pathways for a better understanding of integration or assimilation as on-going processes.</t>
  </si>
  <si>
    <t>[Crul, Maurice; Schneider, Jens] Univ Amsterdam, NL-1012 WX Amsterdam, Netherlands</t>
  </si>
  <si>
    <t>Crul, M (corresponding author), Oudezijds Achterburgwal 237, NL-1012 DL Amsterdam, Netherlands.</t>
  </si>
  <si>
    <t>M.R.J.Crul@uva.nl; sfager@gmx.de</t>
  </si>
  <si>
    <t>Crul, Maurice/E-9165-2013</t>
  </si>
  <si>
    <t>PII 919584451</t>
  </si>
  <si>
    <t>10.1080/01419871003624068</t>
  </si>
  <si>
    <t>614CE</t>
  </si>
  <si>
    <t>WOS:000279031900007</t>
  </si>
  <si>
    <t>Mistry, J; Wu, J</t>
  </si>
  <si>
    <t>Mistry, Jayanthi; Wu, Jean</t>
  </si>
  <si>
    <t>Navigating Cultural Worlds and Negotiating Identities: A Conceptual Model</t>
  </si>
  <si>
    <t>Flexible identities; Immigration; Multiple cultural worlds</t>
  </si>
  <si>
    <t>ETHNIC-IDENTITY; ACCULTURATION; PSYCHOLOGY; YOUTH</t>
  </si>
  <si>
    <t>For children from culturally and linguistically diverse backgrounds the ability to maintain flexible identities and integrate multiple facets of self is a crucial developmental task. We present a conceptual model for the development of expertise in navigating across cultures, delineating how community characteristics interact with family and individual practices to create the conditions under which children develop expertise in navigating multiple cultural worlds and identities. Core constructs and propositions about the nature of relations are derived from a multidisciplinary review of extant scholarship. To illustrate an application of the model, we compare two waves of immigration to the US from the Indian subcontinent and derive potential hypotheses about how differences in immigration history and circumstances of settlement in the host country are associated with the processes of negotiating identities. Copyright (C) 2010 S. Karger AG, Basel</t>
  </si>
  <si>
    <t>[Mistry, Jayanthi; Wu, Jean] Tufts Univ, Eliot Pearson Dept Child Dev, Medford, MA 02155 USA</t>
  </si>
  <si>
    <t>Mistry, J (corresponding author), Tufts Univ, Eliot Pearson Dept Child Dev, 105 Coll Ave, Medford, MA 02155 USA.</t>
  </si>
  <si>
    <t>jmistry@tufts.edu</t>
  </si>
  <si>
    <t>10.1159/000268136</t>
  </si>
  <si>
    <t>565XH</t>
  </si>
  <si>
    <t>WOS:000275329300002</t>
  </si>
  <si>
    <t>Portes, A</t>
  </si>
  <si>
    <t>Portes, Alejandro</t>
  </si>
  <si>
    <t>Migration and Social Change: Some Conceptual Reflections</t>
  </si>
  <si>
    <t>Social Change; International Migration; Telluric Movements; Ethnic Enclaves; Youth Gangs</t>
  </si>
  <si>
    <t>EDUCATIONAL-ATTAINMENT; SEGMENTED ASSIMILATION; MEXICAN MIGRATION; URBAN RIOTS; 2ND-GENERATION; SYSTEMS</t>
  </si>
  <si>
    <t>Examining the multiple ways in which migration relates to social change is a daunting task. It requires, first of all, defining what social change is and, secondarily, delimiting the scope of analysis to certain types of migration and not others. The greatest dangers that I envision in this enterprise are, first, getting lost in generalities of the 'social change is ubiquitous' kind and, second, attempting to cover so much terrain as to lose sight of analytic priorities and of major, as opposed to secondary, causal linkages. I seek to avoid these dangers by first discussing the concept of social change, second identifying the types of migration to be considered, and third examining the major factors that link one to another. I conclude the paper with four theoretical and methodological considerations that may guide future work in this field.</t>
  </si>
  <si>
    <t>Princeton Univ, Dept Sociol, Princeton, NJ 08544 USA</t>
  </si>
  <si>
    <t>Portes, A (corresponding author), Princeton Univ, Dept Sociol, Wallace Hall, Princeton, NJ 08544 USA.</t>
  </si>
  <si>
    <t>red@princeton.edu</t>
  </si>
  <si>
    <t>PII 923175440</t>
  </si>
  <si>
    <t>10.1080/1369183X.2010.489370</t>
  </si>
  <si>
    <t>672AA</t>
  </si>
  <si>
    <t>WOS:000283554200002</t>
  </si>
  <si>
    <t>Faist, T</t>
  </si>
  <si>
    <t>Faist, Thomas</t>
  </si>
  <si>
    <t>Towards Transnational Studies: World Theories, Transnationalisation and Changing Institutions</t>
  </si>
  <si>
    <t>Transnationalisation; World Systems; Institutional Change; Boundaries; Social Mechanisms; Dual Citizenship</t>
  </si>
  <si>
    <t>A transnational studies perspective should be able to deal with both new social formations sui generis, such as transnational social spaces, and how 'old' national, international and local institutions acquire 'new' meanings and functions in the process of cross-border transactions. There is now a voluminous literature dealing with the emergence and above all the forms of transnational activities of migrants and the attendant consequences for the social integration of immigrants. If transnational ties and formations are consequential for social change and perhaps even social transformation, we also need to find indications about changing institutions in the national, international and local realms of transnational spaces. From this perspective we need not only to look at various transnational ties and formations across the borders of national states, but also at the repercussions for national and local institutions. In order to address this problem, the paper argues that both the concept of transnationalisationincluding transnational social spacesand world approaches, such as world systems and world polity theories, could be useful lenses to describe different aspects of transnational processes and boundaries. Second, transnational studies needs to engage both world theories and a transnational optic to ask about the social mechanisms by which transnational processes affect institutional change: path-dependency on a systemic or macro level, social closure, opportunity hoarding and brokerage on a collective or meso level, and symbolic recognition on a cognitive or micro level.</t>
  </si>
  <si>
    <t>Univ Bielefeld, COMCAD, D-33501 Bielefeld, Germany</t>
  </si>
  <si>
    <t>Faist, T (corresponding author), Univ Bielefeld, COMCAD, POB 10 01 31, D-33501 Bielefeld, Germany.</t>
  </si>
  <si>
    <t>thomas.faist@uni-bielefeld.de</t>
  </si>
  <si>
    <t>PII 923468896</t>
  </si>
  <si>
    <t>10.1080/1369183X.2010.489365</t>
  </si>
  <si>
    <t>WOS:000283554200007</t>
  </si>
  <si>
    <t>Viruell-Fuentes, EA; Schutz, AJ</t>
  </si>
  <si>
    <t>Viruell-Fuentes, Edna A.; Schutz, Amy J.</t>
  </si>
  <si>
    <t>Toward a Dynamic Conceptualization of Social Ties and Context: Implications for Understanding Immigrant and Latino Health</t>
  </si>
  <si>
    <t>AMERICAN JOURNAL OF PUBLIC HEALTH</t>
  </si>
  <si>
    <t>OLDER MEXICAN-AMERICANS; LOW-BIRTH-WEIGHT; PSYCHOLOGICAL DISTRESS; UNITED-STATES; HISPANIC PARADOX; MATERNAL SUPPORT; ETHNIC-IDENTITY; RACIAL IDENTITY; ACCULTURATION; MORTALITY</t>
  </si>
  <si>
    <t>Researchers have posited that social ties and social support may contribute to better-than-expected health outcomes among Mexican immigrants vis-a-vis their US-born counterparts. However, in our review of studies examining social ties and health by immigration-related variables among this group, we found little support for this hypothesis. To better understand the social factors that contribute to the health of Mexicans in the United States, we conducted a qualitative analysis of social relationships and social context among first and second-generation Mexican women. Our results highlight the interplay between immigration processes and social ties, draw attention to the importance of identity support and transnational social relationships, and suggest ways to reconceptualize the relationship between social contexts, social ties, and immigrant and Latino health. (Am J Public Health. 2009;99:2167-2175. doi:10.2105/AJPH.2008.158956)</t>
  </si>
  <si>
    <t>[Viruell-Fuentes, Edna A.] Univ Illinois, Latina Latino Studies Program, Champaign, IL 61820 USA; [Schutz, Amy J.] Univ Michigan, Sch Publ Hlth, Dept Hlth Behav &amp; Hlth Educ, Ann Arbor, MI 48109 USA</t>
  </si>
  <si>
    <t>Viruell-Fuentes, EA (corresponding author), Univ Illinois, Latina Latino Studies Program, 510 E Chalmers St MC-495, Champaign, IL 61820 USA.</t>
  </si>
  <si>
    <t>Social Science Research Council's International Migration Program; Andrew W. Mellon Foundation; National Science FoundationNational Science Foundation (NSF) [SES-0222495]; University of MichiganUniversity of Michigan System; Institute for Research on Women and Gender; Center for the Education of Women; Rackham Graduate School; National Institute of General Medical SciencesUnited States Department of Health &amp; Human ServicesNational Institutes of Health (NIH) - USANIH National Institute of General Medical Sciences (NIGMS); W. K. Kellogg Health Disparities Scholars Program; Harvard School of Public Health</t>
  </si>
  <si>
    <t>This research would not have been possible without the support from the Social Science Research Council's International Migration Program (with funds provided by the Andrew W. Mellon Foundation), the National Science Foundation (grant SES-0222495), the W. K. Kellogg Fellowship in Health Policy Research, and, at the University of Michigan: the Institute for Research on Women and Gender; the Center for the Education of Women; the Rackham Graduate School; and the Center for Research on Ethnicity, Culture, and Health's Promoting Ethnic Diversity in Public Health Training Program , funded by the Division of Minority Opportunities and Research of the National Institute of General Medical Sciences. Generous support was also provided by fellowships from the W. K. Kellogg Health Disparities Scholars Program and the Alonzo Yerby Postdoctoral Program at the Harvard School of Public Health.</t>
  </si>
  <si>
    <t>AMER PUBLIC HEALTH ASSOC INC</t>
  </si>
  <si>
    <t>800 I STREET, NW, WASHINGTON, DC 20001-3710 USA</t>
  </si>
  <si>
    <t>0090-0036</t>
  </si>
  <si>
    <t>1541-0048</t>
  </si>
  <si>
    <t>AM J PUBLIC HEALTH</t>
  </si>
  <si>
    <t>Am. J. Public Health</t>
  </si>
  <si>
    <t>10.2105/AJPH.2008.158956</t>
  </si>
  <si>
    <t>529GI</t>
  </si>
  <si>
    <t>WOS:000272503700012</t>
  </si>
  <si>
    <t>Dinh, TQ; Yamada, AM; Yee, BWK</t>
  </si>
  <si>
    <t>Dinh, Tam Q.; Yamada, Ann Marie; Yee, Barbara W. K.</t>
  </si>
  <si>
    <t>A CULTURALLY RELEVANT CONCEPTUALIZATION OF DEPRESSION: AN EMPIRICAL EXAMINATION OF THE FACTORIAL STRUCTURE OF THE VIETNAMESE DEPRESSION SCALE</t>
  </si>
  <si>
    <t>factor analysis; major depression screening tool; psychometrics; refugees</t>
  </si>
  <si>
    <t>PSYCHOLOGICAL DISTRESS; ASIAN-AMERICANS; CES-D; PREDICTORS; REFUGEES; SYMPTOMS; PREVALENCE; IMMIGRANTS; STRESS</t>
  </si>
  <si>
    <t>Background: Despite the high risk of depression among Vietnamese refugees, there has been insufficient attention to the psychometric properties of the most utilized scale, the Vietnamese Depression Scale (VDS: Kinzie et al., 1982). Aim: The primary aim of the study is to empirically derive the factorial structure of the VDS to support its use as a culturally responsive depression screening tool in community samples of Vietnamese adults. Method: The factorial structure, reliability, and associations of the VDS factors with recognized socio-demographic correlates were examined using data collected from interviews with a non-probability community sample of 180 Vietnamese refugee adults in the Houston area. Results: The empirically derived factorial structure of the VDS approximated the theorized conceptualization of depression introduced by the scale's originators. Three factors (depressed affect, somatic symptoms, and cultural-specific symptoms) accounted for 65% of the variance. As hypothesized, the VDS factors correlated with age and acculturation variables. Conclusion: Overall results suggest that the conceptualization of depression among this sample of Vietnamese refugees has both universal and culturally specific features. Implications for providing culturally responsive mental health services are offered.</t>
  </si>
  <si>
    <t>[Dinh, Tam Q.; Yamada, Ann Marie] Univ So Calif, Sch Social Work, Los Angeles, CA 90089 USA; [Yee, Barbara W. K.] Univ Hawaii Manoa, CTAHR, Honolulu, HI 96822 USA</t>
  </si>
  <si>
    <t>Dinh, TQ (corresponding author), Univ So Calif, Sch Social Work, Los Angeles, CA 90089 USA.</t>
  </si>
  <si>
    <t>tamdinh@usc.edu</t>
  </si>
  <si>
    <t>10.1177/0020764008091675</t>
  </si>
  <si>
    <t>511OY</t>
  </si>
  <si>
    <t>WOS:000271177000002</t>
  </si>
  <si>
    <t>Joseph, G; Burke, NJ; Tuason, N; Barker, JC; Pasick, RJ</t>
  </si>
  <si>
    <t>Joseph, Galen; Burke, Nancy J.; Tuason, Noe; Barker, Judith C.; Pasick, Rena J.</t>
  </si>
  <si>
    <t>Perceived Susceptibility to Illness and Perceived Benefits of Preventive Care: An Exploration of Behavioral Theory Constructs in a Transcultural Context</t>
  </si>
  <si>
    <t>HEALTH EDUCATION &amp; BEHAVIOR</t>
  </si>
  <si>
    <t>mammography screening; perceived benefits; perceived susceptibility; transculturation; health disparities</t>
  </si>
  <si>
    <t>AFRICAN-AMERICAN WOMEN; HEALTH BELIEF MODEL; BREAST-CANCER; PUBLIC-HEALTH; ACCULTURATION; VALIDITY; RELIABILITY; PROMOTION; RISK</t>
  </si>
  <si>
    <t>This article describes how the social context of transculturation (cultural change processes) and transmigration (migration in which relationships are Sustained across national boundaries) can directly influence use of mammography screening. The authors conducted semistructured interviews with Latino and Filipino academics and social service providers and with U.S.-born and immigrant Latinas and Filipinas to explore direct and indirect influences of social context on health behavior (Behavioral Constructs and Culture in Cancer Screening study). Iterative analyses identified themes of the transcultural domain: colonialism, immigration, discrimination, and therapeutic engagement. In this domain, the authors examine two key behavioral theory constructs, perceptions of susceptibility to illness and perceptions of benefits of preventive medical care. The findings raise concerns about interventions to promote mammography screening primarily based on provision of scientific information. The authors conclude that social context affects behavior directly rather than exclusively through beliefs as behavioral theory implies and that understanding contextual influences, such as transculturation, points to different forms of intervention.</t>
  </si>
  <si>
    <t>[Joseph, Galen; Burke, Nancy J.; Barker, Judith C.] Univ Calif San Francisco, Dept Anthropol Hist &amp; Social Med, San Francisco, CA 94143 USA; [Burke, Nancy J.; Tuason, Noe; Pasick, Rena J.] Univ Calif San Francisco, Helen Diller Family Comprehens Canc Ctr, San Francisco, CA 94143 USA</t>
  </si>
  <si>
    <t>Joseph, G (corresponding author), Univ Calif San Francisco, Dept Anthropol Hist &amp; Social Med, Box 0981, San Francisco, CA 94143 USA.</t>
  </si>
  <si>
    <t>gjoseph@cc.ucsf.edu</t>
  </si>
  <si>
    <t>Joseph, Galen/0000-0001-9179-7075</t>
  </si>
  <si>
    <t>NATIONAL CANCER INSTITUTEUnited States Department of Health &amp; Human ServicesNational Institutes of Health (NIH) - USANIH National Cancer Institute (NCI) [R01CA081816] Funding Source: NIH RePORTER; NCI NIH HHSUnited States Department of Health &amp; Human ServicesNational Institutes of Health (NIH) - USANIH National Cancer Institute (NCI) [R01CA81816, R01 CA081816-04S2, R01 CA081816] Funding Source: Medline; PHS HHSUnited States Department of Health &amp; Human ServicesUnited States Public Health Service [HHSN261200900383P] Funding Source: Medline</t>
  </si>
  <si>
    <t>1090-1981</t>
  </si>
  <si>
    <t>HEALTH EDUC BEHAV</t>
  </si>
  <si>
    <t>Health Educ. Behav.</t>
  </si>
  <si>
    <t>71S</t>
  </si>
  <si>
    <t>90S</t>
  </si>
  <si>
    <t>10.1177/1090198109338915</t>
  </si>
  <si>
    <t>516ZJ</t>
  </si>
  <si>
    <t>WOS:000271581900006</t>
  </si>
  <si>
    <t>Diehl, C; Koenig, M</t>
  </si>
  <si>
    <t>Diehl, Claudia; Koenig, Matthias</t>
  </si>
  <si>
    <t>Religiosity of First and Second Generation Turkish Migrants: A Phenomenon and Some Attempts at a Theoretical Explanation</t>
  </si>
  <si>
    <t>ZEITSCHRIFT FUR SOZIOLOGIE</t>
  </si>
  <si>
    <t>SYMBOLIC ETHNICITY; MUSLIM MIGRANTS; EUROPE; ISLAM; ASSIMILATION; INTEGRATION; FRANCE</t>
  </si>
  <si>
    <t>Intergenerational stability of the religiosity of Turkish migrants is surprisingly high. In this article, several theoretical explanations for the maintenance of religiosity from generation to generation are presented and tested empirically against data from the German Generations- and Gender Surveys. We can show that classical versions of assimilation theories, concepts of symbolic religiosity, of religiosity as a compensation for a lack of social status, or of a high intergenerational stability of values in general cannot fully explain this phenomenon. Religiosity does not decline between the first and the second generation, nor does it become more symbolic in character. Furthermore, empirical evidence yields only limited support for the hypothesis that high levels of individual religiosity can only be found among structurally and socially less assimilated segments of the immigrant population. The same holds true for the argument that they just reflect generally high intergenerational value stability among immigrants. Concequently, in the final section we discuss the role of contextual factors in explaining intergenerational stability in migrants' religiosity such as an increasing diversity of the religious Islamic field or the salience religion as a symbolic boundary marker between natives and migrants.</t>
  </si>
  <si>
    <t>[Diehl, Claudia; Koenig, Matthias] Univ Gottingen, Inst Soziol, D-37073 Gottingen, Germany</t>
  </si>
  <si>
    <t>Diehl, C (corresponding author), Univ Gottingen, Inst Soziol, Pl Gottinger Sieben 3, D-37073 Gottingen, Germany.</t>
  </si>
  <si>
    <t>cdiehl@gwdg.de; mkoenig@uni-goettingen.de</t>
  </si>
  <si>
    <t>WALTER DE GRUYTER GMBH</t>
  </si>
  <si>
    <t>BERLIN</t>
  </si>
  <si>
    <t>GENTHINER STRASSE 13, D-10785 BERLIN, GERMANY</t>
  </si>
  <si>
    <t>0340-1804</t>
  </si>
  <si>
    <t>2366-0325</t>
  </si>
  <si>
    <t>Z SOZIOL</t>
  </si>
  <si>
    <t>Z. Soziol.</t>
  </si>
  <si>
    <t>488NY</t>
  </si>
  <si>
    <t>WOS:000269357800003</t>
  </si>
  <si>
    <t>Johnson, MA; Marchi, KS</t>
  </si>
  <si>
    <t>Johnson, Michelle A.; Marchi, Kristen S.</t>
  </si>
  <si>
    <t>Segmented assimilation theory and perinatal health disparities among women of Mexican descent</t>
  </si>
  <si>
    <t>USA; Segmented assimilation theory; Infant low birth weight; Mexican American; Health disparities; Neighborhoods; Acculturation; Maternal and child health; Social capital</t>
  </si>
  <si>
    <t>LOW-BIRTH-WEIGHT; UNITED-STATES; FAMILY SUPPORT; HHANES 1982-84; ACCULTURATION; AMERICANS; PARADOX; CALIFORNIA; ETHNICITY; PREGNANCY</t>
  </si>
  <si>
    <t>A higher prevalence of infant low birth weight (&lt;2500 g) has been observed among more acculturated mothers of Mexican descent living in the U.S. when compared to their less acculturated counterparts. Tests of the acculturation hypothesis have established that disparities in certain risks for low birth weight exist between subgroups of women of Mexican-origin. However, disparities observed by neighborhood of residence have yet to be explained. Most tests of the acculturation hypothesis assume a classical path of assimilation, whereby Mexican American health is expected to deteriorate with time spent residing in the U.S. and across the generations. The theory of segmented assimilation suggests that alternative paths are possible depending upon individual characteristics and the context of the neighborhood into which immigrant families and their children reside. This study tested the theory of segmented assimilation as a framework for examining the geographic, cultural, and socioeconomic underpinnings of population differences in infant low birth weight among women of Mexican descent in California using the 2000 U.S. Census and population-based data from the Maternal and Infant Health Assessment (1999-2005) (n = 6442). Little support was found for the theory's hypotheses. Rather, increased odds for infant low birth weight were observed for English speakers residing in Latino immigrant neighborhoods when compared to English speakers in other neighborhoods, an effect attenuated for Spanish speakers. Elevated odds of low birth weight were also observed among English speakers residing in Latino immigrant neighborhoods when compared to Spanish speakers in the same neighborhoods. Findings suggest the transfer of health-specific social capital in ethnic neighborhoods may depend upon sociocultural consonance between individuals and neighborhood residents. The authors call for additional research that sheds light on the sociocultural dynamics of maternal and infant health at multiple levels. (C) 2009 Elsevier Ltd. All rights reserved.</t>
  </si>
  <si>
    <t>[Johnson, Michelle A.] Univ Calif Los Angeles, Sch Publ Affairs, Dept Social Welf, Los Angeles, CA 90095 USA; [Marchi, Kristen S.] UCSF Ctr Social Dispar Hlth, San Francisco, CA USA</t>
  </si>
  <si>
    <t>Johnson, MA (corresponding author), Univ Calif Los Angeles, Sch Publ Affairs, Dept Social Welf, 3250 Publ Policy Bldg,Box 951656, Los Angeles, CA 90095 USA.</t>
  </si>
  <si>
    <t>maj@ucla.edu</t>
  </si>
  <si>
    <t>10.1016/j.socscimed.2009.04.008</t>
  </si>
  <si>
    <t>471HK</t>
  </si>
  <si>
    <t>WOS:000268046400015</t>
  </si>
  <si>
    <t>Piedra, LM; Engstrom, DW</t>
  </si>
  <si>
    <t>Piedra, Lissette M.; Engstrom, David W.</t>
  </si>
  <si>
    <t>Segmented Assimilation Theory and the Life Model: An Integrated Approach to Understanding Immigrants and Their Children</t>
  </si>
  <si>
    <t>SOCIAL WORK</t>
  </si>
  <si>
    <t>acculturation; assimilation; immigrants; life model; second generation</t>
  </si>
  <si>
    <t>SOCIAL-WORK-PRACTICE; 2ND-GENERATION; FAMILIES</t>
  </si>
  <si>
    <t>The life model offers social workers a promising framework to use in assisting immigrant families. However, the complexities of adaptation to a new country may make it difficult for social workers to operate from a purely ecological approach. The authors use segmented assimilation theory to better account for the specificities of the immigrant experience. They argue that by adding concepts from segmented assimilation theory to the life model, social workers can better understand the environmental stressors that increase the vulnerabilities of immigrants to the potentially harsh experience of adapting to a new country. With these concepts, social workers who work with immigrant families will be better positioned to achieve their central goal: enhancing person and environment fit.</t>
  </si>
  <si>
    <t>[Piedra, Lissette M.] Univ Illinois, Sch Social Work, Urbana, IL 61801 USA; [Engstrom, David W.] San Diego State Univ, Sch Social Work, San Diego, CA 92182 USA</t>
  </si>
  <si>
    <t>Piedra, LM (corresponding author), Univ Illinois, Sch Social Work, 1010 Nevada St, Urbana, IL 61801 USA.</t>
  </si>
  <si>
    <t>lmpiedra@illinois.edu</t>
  </si>
  <si>
    <t>NATL ASSOC SOCIAL WORKERS</t>
  </si>
  <si>
    <t>750 FIRST ST, NE, STE 700, WASHINGTON, DC 20002-4241 USA</t>
  </si>
  <si>
    <t>0037-8046</t>
  </si>
  <si>
    <t>SOC WORK</t>
  </si>
  <si>
    <t>Soc. Work</t>
  </si>
  <si>
    <t>10.1093/sw/54.3.270</t>
  </si>
  <si>
    <t>455FI</t>
  </si>
  <si>
    <t>WOS:000266743100009</t>
  </si>
  <si>
    <t>Kalogrides, D</t>
  </si>
  <si>
    <t>Kalogrides, Demetra</t>
  </si>
  <si>
    <t>GENERATIONAL STATUS AND ACADEMIC ACHIEVEMENT AMONG LATINO HIGH SCHOOL STUDENTS: EVALUATING THE SEGMENTED ASSIMILATION THEORY</t>
  </si>
  <si>
    <t>SOCIOLOGICAL PERSPECTIVES</t>
  </si>
  <si>
    <t>education; achievement; Latinos; segmented assimilation</t>
  </si>
  <si>
    <t>EDUCATIONAL-ATTAINMENT; MEXICAN; 2ND-GENERATION; PERFORMANCE; ADOLESCENTS; WHITE</t>
  </si>
  <si>
    <t>In this study, the author evaluates some of the key assertions of the segmented assimilation theory by examining the generational pattern of achievement among Latino high school students. Segmented assimilation theory posits that the outcomes of immigrants will not necessarily improve monotonically across generations, especially in disadvantaged contexts, and that maintaining familial and ethnic ties can have a protective effect on immigrant students. The author tests these ideas by examining variation in the generational pattern of achievement in low-income schools among Latino high school students. The author finds that changes in achievement across generations generally follow a pattern of classical assimilation with small, though not statistically significant, improvements in achievement from the first to the second generation and from the second to the third generation in both poor and nonpoor schools. Contrary to hypotheses derived from segmented assimilation theory, the author finds no evidence of downward assimilation across generations among Latinos attending low-income schools.</t>
  </si>
  <si>
    <t>[Kalogrides, Demetra] Stanford Univ, Sch Educ, Inst Res Educ Policy &amp; Practice, Stanford, CA 94305 USA</t>
  </si>
  <si>
    <t>Kalogrides, D (corresponding author), CERAS Bldg,520 Galvez Mall Dr, Stanford, CA 94305 USA.</t>
  </si>
  <si>
    <t>dkalo@stanford.edu</t>
  </si>
  <si>
    <t>0731-1214</t>
  </si>
  <si>
    <t>1533-8673</t>
  </si>
  <si>
    <t>SOCIOL PERSPECT</t>
  </si>
  <si>
    <t>Sociol. Perspect.</t>
  </si>
  <si>
    <t>10.1525/sop.2009.52.2.159</t>
  </si>
  <si>
    <t>451BD</t>
  </si>
  <si>
    <t>WOS:000266444800003</t>
  </si>
  <si>
    <t>Martin, SS</t>
  </si>
  <si>
    <t>Martin, Shadi Sahami</t>
  </si>
  <si>
    <t>Illness of the Mind or Illness of the Spirit? Mental Health-Related Conceptualization and Practices of Older Iranian Immigrants</t>
  </si>
  <si>
    <t>HEALTH &amp; SOCIAL WORK</t>
  </si>
  <si>
    <t>culturally appropriate care; health disparities; holistic health care; mental health and spirituality; Middle Eastern immigrants</t>
  </si>
  <si>
    <t>UNITED-STATES; CULTURAL COMPETENCE; CARE; ACCULTURATION; AMERICANS; MIGRANTS; REFUGEES; LIFE</t>
  </si>
  <si>
    <t>The Purpose of this qualitative phenomenological study was to explore whether the way mental health is conceptualized by older Iranian immigrants call influence their mental health-related practices. In-depth interviews were conducted with 15 Iranians who had immigrated to the United States after the age of 50. The findings from this study revealed that the older Iranian immigrants were reluctant to seek mental health care services in the United States. This resistance was largely attributed to the cultural differences in mental health conceptualizition (language, definitions,and terminology) and lack of trust in the effectiveness of psychotropic medications. The findings of this study have implications for health and social service professionals who provide services to older immigrants, refugees, and minority populations whose mental health conceptualization may not be consistent with the biomedical model.</t>
  </si>
  <si>
    <t>Univ Alabama, Tuscaloosa, AL 35487 USA</t>
  </si>
  <si>
    <t>Martin, SS (corresponding author), Univ Alabama, 220 Little Hall,Box 870314, Tuscaloosa, AL 35487 USA.</t>
  </si>
  <si>
    <t>shadismartin@gmail.com</t>
  </si>
  <si>
    <t>0360-7283</t>
  </si>
  <si>
    <t>HEALTH SOC WORK</t>
  </si>
  <si>
    <t>Health Soc. Work</t>
  </si>
  <si>
    <t>10.1093/hsw/34.2.117</t>
  </si>
  <si>
    <t>434OV</t>
  </si>
  <si>
    <t>WOS:000265284900005</t>
  </si>
  <si>
    <t>Weinreich, P</t>
  </si>
  <si>
    <t>Weinreich, Peter</t>
  </si>
  <si>
    <t>'Enculturation', not 'acculturation': Conceptualising and assessing identity processes in migrant communities</t>
  </si>
  <si>
    <t>Acculturation; Enculturation; Ethnic identity; Primordialism; Identity Structure Analysis; Ethnic identification</t>
  </si>
  <si>
    <t>Following a critique of Berry's model of 'acculturation strategies', the paper considers the relationship between heritage culture and ethnic identity. Analysis of processes of development, maintenance and redefinition of identity in contexts of alternative cultural norms contends with the assumption of conscious choice or strategy towards mainstream and heritage cultures. From the perspective of identity issues, enculturation of cultural elements rather than acculturation is often the more significant process. Going beyond critique to consider issues of the persistence of ethnic identity and processes of cultural reformulation, brings attention to the origins of primordialist sentiment within ethnic identity and the possibilities for generating situationalist perspectives. Reference to empirical investigations using Identity Structure Analysis (introduced as a conceptual framework for explicating complex identity processes) provides evidence for different identity processes and structures according to socio-historical context and the greater malleability of situationalists compared with primordialists in their empathetic identifications with alternative cultural groups. (c) 2009 Elsevier Ltd. All rights reserved.</t>
  </si>
  <si>
    <t>Univ Ulster, Sch Psychol, Coleraine BT52 1SA, Londonderry, North Ireland</t>
  </si>
  <si>
    <t>Weinreich, P (corresponding author), Univ Ulster, Sch Psychol, Coleraine BT52 1SA, Londonderry, North Ireland.</t>
  </si>
  <si>
    <t>p.weinreich@ntlworld.com</t>
  </si>
  <si>
    <t>10.1016/j.ijintrel.2008.12.006</t>
  </si>
  <si>
    <t>453XS</t>
  </si>
  <si>
    <t>WOS:000266646800004</t>
  </si>
  <si>
    <t>Bhatia, S; Ram, A</t>
  </si>
  <si>
    <t>Bhatia, Sunil; Ram, Anjali</t>
  </si>
  <si>
    <t>Theorizing identity in transnational and diaspora cultures: A critical approach to acculturation</t>
  </si>
  <si>
    <t>Diaspora; Acculturation; Migration; Identity</t>
  </si>
  <si>
    <t>This paper examines the various ways in which the concept of diaspora has important implications for rethinking traditional notions of acculturation in Psychology. In this paper, we argue that the idea of a fixed, invariant, and apolitical notion of acculturation dominates much of Psychology, and as such it needs to be revised and reexamined in light of transnational migration and global movements. Drawing on our previous and current scholarship on acculturation and identity [Bhatia, S., &amp; Ram, A. (2001). Rethinking acculturation in relation to diasporic cultures and postcolonial identities. Human Development, 44, 1-17; Bhatia, S., &amp; Ram, A. (2004). Culture, hybridity and the dialogical self: Cases from the South-Asian diaspora. Mind, Culture, and Activity, 11(3), 224-241; Bhatia, S. (2007a). American Karma: Race, culture, and identity and the Indian diaspora. New York, NY: New York University Press; Bhatia, S. (2008). Rethinking culture and identity in psychology: Towards a transnational cultural psychology. Journal of Theoretical and Philosophical Psychology, 28, 301-322], we provide a counterargument to models of acculturation that claim that all immigrants undergo a universal psychological process of acculturation and adaptation. More specifically, we show how members from the Indian diaspora reexamined their acculturation status after the events of 9/11. We use interdisciplinary research to critically examine the role of race in the acculturation process. In addition, we provide a new analytical framework to understand the larger structural forces that shape the acculturation and assimilation process of transnational and diasporic migrants. (c) 2009 Elsevier Ltd. All rights reserved.</t>
  </si>
  <si>
    <t>[Bhatia, Sunil] Connecticut Coll, New London, CT 06320 USA; [Ram, Anjali] Roger Williams Univ, Bristol, RI 02809 USA</t>
  </si>
  <si>
    <t>Bhatia, S (corresponding author), Connecticut Coll, Box 5474,270 Mohegan Ave, New London, CT 06320 USA.</t>
  </si>
  <si>
    <t>sunil.bhatia@conncoll.edu</t>
  </si>
  <si>
    <t>10.1016/j.ijintrel.2008.12.009</t>
  </si>
  <si>
    <t>WOS:000266646800005</t>
  </si>
  <si>
    <t>Warikoo, N; Carter, P</t>
  </si>
  <si>
    <t>Warikoo, Natasha; Carter, Prudence</t>
  </si>
  <si>
    <t>Cultural Explanations for Racial and Ethnic Stratification in Academic Achievement: A Call for a New and Improved Theory</t>
  </si>
  <si>
    <t>REVIEW OF EDUCATIONAL RESEARCH</t>
  </si>
  <si>
    <t>cultural analysis; race; immigration/immigrants; identity; minorities; urban education</t>
  </si>
  <si>
    <t>SEGMENTED ASSIMILATION; AFRICAN-AMERICAN; SCHOOL PERFORMANCE; ASIAN-AMERICANS; MODEL MINORITY; ACTING WHITE; 2ND-GENERATION; IDENTITY; SUCCESS; STUDENTS</t>
  </si>
  <si>
    <t>In this article we assess the literature on cultural explanations for ethno-racial differences in K-12 schooling and academic performance. Some cultural arguments problematically define certain ethno-racial identities and cultures as subtractive from the goal of academic mobility while defining the ethnic cultures and identities of others as additive and oriented toward this goal. We review two prevailing schools of thought that compare immigrant and native minority, students: cultural-ecological theory and segmented assimilation theory Second, we examine empirical research that highlights the complexity of culture, focusing on four domains: (a) the school's cultural environment; (b) variation in identities and cultural practices within ethnic and racial groups; (c) the multidimensional nature of culture and its variable impact on students; and (d) the intersections of race, ethnicity, class, and gender This literature-when synthesized-suggests that a coherent theory of culture's impact on ethnic and racial differences in schooling outcomes must unpack the multiple influences of identity and context more deliberately than previous literature has done. Finally, we call for studies that employ comparative research across groups and understand race and ethnicity contextually, not as mere dummy variables, thereby equipping researchers with the tools to better explain how culture influences schooling and achievement.</t>
  </si>
  <si>
    <t>[Warikoo, Natasha] Harvard Univ, Grad Sch Educ, Cambridge, MA 02138 USA; [Carter, Prudence] Stanford Univ, Sch Educ, Stanford, CA 94305 USA; [Carter, Prudence] Stanford Univ, Dept Sociol, Stanford, CA 94305 USA</t>
  </si>
  <si>
    <t>Warikoo, N (corresponding author), Harvard Univ, Grad Sch Educ, 13 Appian Way, Cambridge, MA 02138 USA.</t>
  </si>
  <si>
    <t>natasha_warikoo@gse.harvard.edu; plcarter@stanford.edu</t>
  </si>
  <si>
    <t>0034-6543</t>
  </si>
  <si>
    <t>1935-1046</t>
  </si>
  <si>
    <t>REV EDUC RES</t>
  </si>
  <si>
    <t>Rev. Educ. Res.</t>
  </si>
  <si>
    <t>10.3102/0034654308326162</t>
  </si>
  <si>
    <t>411YQ</t>
  </si>
  <si>
    <t>WOS:000263690800011</t>
  </si>
  <si>
    <t>Portes, A; Fernandez-Kelly, P; Haller, W</t>
  </si>
  <si>
    <t>Portes, Alejandro; Fernandez-Kelly, Patricia; Haller, William</t>
  </si>
  <si>
    <t>The Adaptation of the Immigrant Second Generation in America: A Theoretical Overview and Recent Evidence</t>
  </si>
  <si>
    <t>Segmented Assimilation; Selective Acculturation; Significant Others; Cultural Capital; Second Generation</t>
  </si>
  <si>
    <t>SEGMENTED-ASSIMILATION; IDENTITY; CHILDREN; MOBILITY</t>
  </si>
  <si>
    <t>This paper summarises a research programme on the new immigrant second generation initiated in the early 1990s and completed in 2006. The four field waves of the Children of Immigrants Longitudinal Study (CILS) are described and the main theoretical models emerging from it are presented and graphically summarised. After considering critical views of this theory, we present the most recent results from this longitudinal research programme in the form of quantitative models predicting downward assimilation in early adulthood and qualitative interviews identifying ways for the disadvantaged children of immigrants to escape it. Quantitative results strongly support the predicted effects of exogenous variables identified by segmented assimilation theory and identify the intervening factors during adolescence that mediate their influence on adult outcomes. Qualitative evidence gathered during the last stage of the study points to three factors that can lead to exceptional educational achievement among disadvantaged youths, and which indicate the positive influence of selective acculturation. Finally, the implications of these findings for theory and policy are discussed.</t>
  </si>
  <si>
    <t>[Fernandez-Kelly, Patricia] Princeton Univ, Dept Sociol, Princeton, NJ 08544 USA; [Haller, William] Clemson Univ, Coll Business &amp; Behav Sci, Dept Sociol &amp; Anthropol, Clemson, SC 29634 USA</t>
  </si>
  <si>
    <t>Portes, A (corresponding author), Princeton Univ, Dept Sociol, 106 Wallace Hall, Princeton, NJ 08544 USA.</t>
  </si>
  <si>
    <t>aportes@princeton.edu; mpfk@princeton.edu; whaller@clemson.edu</t>
  </si>
  <si>
    <t>Haller, William/A-7883-2009</t>
  </si>
  <si>
    <t>Haller, William/0000-0001-8167-9235</t>
  </si>
  <si>
    <t>NICHD NIH HHSUnited States Department of Health &amp; Human ServicesNational Institutes of Health (NIH) - USANIH Eunice Kennedy Shriver National Institute of Child Health &amp; Human Development (NICHD) [R24 HD047879] Funding Source: Medline; EUNICE KENNEDY SHRIVER NATIONAL INSTITUTE OF CHILD HEALTH &amp; HUMAN DEVELOPMENTUnited States Department of Health &amp; Human ServicesNational Institutes of Health (NIH) - USANIH Eunice Kennedy Shriver National Institute of Child Health &amp; Human Development (NICHD) [R24HD047879] Funding Source: NIH RePORTER</t>
  </si>
  <si>
    <t>10.1080/13691830903006127</t>
  </si>
  <si>
    <t>517XO</t>
  </si>
  <si>
    <t>WOS:000271652500002</t>
  </si>
  <si>
    <t>Kroneberg, C</t>
  </si>
  <si>
    <t>Kroneberg, Clemens</t>
  </si>
  <si>
    <t>Ethnic Communities and School Performance among the New Second Generation in the United States: Testing the Theory of Segmented Assimilation</t>
  </si>
  <si>
    <t>immigrant second generation; segmented assimilation; ethnic communities; modes of incorporation</t>
  </si>
  <si>
    <t>IMMIGRANT INCORPORATION; EDUCATIONAL-ATTAINMENT; CHILDREN; ACHIEVEMENT; EXPLANATION; EMPLOYMENT; MOBILITY; CONTEXT; SEARCH; YOUTH</t>
  </si>
  <si>
    <t>This article examines the theory of segmented assimilation, which traces the divergent adaptation of immigrant children in the post-1969 wave to the nature of reception by U. S. society, access to social capital through ethnic communities, and exposure to oppositional cultures of marginalized domestic minorities. The article provides a test of those arguments in the area of school performance. Based on data from the Children of Immigrants Longitudinal Study, indicators of community-based social capital are shown to account for considerable interethnic differences in school performance. The results challenge notions that ethnic communities are generally supportive of the second generation's school performance, while contact with oppositional cultures of domestic minorities is the main cause of lower than average achievement. They support a conditional view of ethnic communities: the extent to which immigrant families' insertion into ethnic communities can support the school performance of their children depends on the communities' socioeconomic profile and level of aspirations.</t>
  </si>
  <si>
    <t>Univ Mannheim, Chair Sociol &amp; Methodol Sci, D-6800 Mannheim 1, Germany</t>
  </si>
  <si>
    <t>Kroneberg, C (corresponding author), Univ Mannheim, Chair Sociol &amp; Methodol Sci, D-6800 Mannheim 1, Germany.</t>
  </si>
  <si>
    <t>Kroneberg, Clemens/A-9554-2013</t>
  </si>
  <si>
    <t>Kroneberg, Clemens/0000-0001-8838-1087</t>
  </si>
  <si>
    <t>10.1177/0002716208322714</t>
  </si>
  <si>
    <t>360KZ</t>
  </si>
  <si>
    <t>WOS:000260057700007</t>
  </si>
  <si>
    <t>Ross, V; Chan, E</t>
  </si>
  <si>
    <t>Ross, Vicki; Chan, Elaine</t>
  </si>
  <si>
    <t>Multicultural education: Raj's story using a curricular conceptual lens of the particular</t>
  </si>
  <si>
    <t>TEACHING AND TEACHER EDUCATION</t>
  </si>
  <si>
    <t>teacher education (learning to teach in inner city schools with diverse populations-LTICS); multicultural education (respecting ethnic and cultural heritage-REACH); curriculum; narrative inquiry</t>
  </si>
  <si>
    <t>SCHOOL PORTFOLIO DEVELOPMENT; TEACHER KNOWLEDGE; COMMUNITY-SCHOOL; EXPERIENCES; REFORM</t>
  </si>
  <si>
    <t>In this study, we employ a curricular conceptual lens of the particular to explore the experience of multicultural education from the perspective of an immigrant student, Raj. Using a school-based narrative inquiry approach, we learn about Raj's experiences at the intersections of immigration and settlement, adaptation and assimilation, English-language acquisition, unemployment, poverty, family violence, and family relocation. We employ Dewey's [(1938). Experience and education. New York: Simon &amp; Schuster] theory of experience. Connelly and Clandinin's [(1988). Teachers as curriculum planners: Narratives of experience. New York: Teachers College Press, Columbia] understanding of curriculum as experience, and Schwab's [(1969). The practical: A language for curriculum. School Review, 78, 1-23] theory of the particular as theoretical frameworks upon which to examine and analyze interactions and events. (C) 2008 Elsevier Ltd. All rights reserved.</t>
  </si>
  <si>
    <t>[Ross, Vicki] No Arizona Univ, Coll Educ, Dept Teaching &amp; Learning, Flagstaff, AZ 86011 USA; [Chan, Elaine] Univ Nebraska, Coll Educ &amp; Human Sci, Dept Teaching Learning &amp; Teacher Educ, Lincoln, NE 68588 USA</t>
  </si>
  <si>
    <t>Ross, V (corresponding author), No Arizona Univ, Coll Educ, Dept Teaching &amp; Learning, Off 207J,Educ Bldg,POB 5774, Flagstaff, AZ 86011 USA.</t>
  </si>
  <si>
    <t>vicki.ross@nau.edu; echan2@unl.edu</t>
  </si>
  <si>
    <t>Oliveira, Aline L/D-2475-2011</t>
  </si>
  <si>
    <t>0742-051X</t>
  </si>
  <si>
    <t>TEACH TEACH EDUC</t>
  </si>
  <si>
    <t>Teach. Teach. Educ.</t>
  </si>
  <si>
    <t>10.1016/j.tate.2008.03.003</t>
  </si>
  <si>
    <t>347FF</t>
  </si>
  <si>
    <t>WOS:000259125300002</t>
  </si>
  <si>
    <t>Allen, CT</t>
  </si>
  <si>
    <t>Allen, Chizuko T.</t>
  </si>
  <si>
    <t>Early Migrations, Conquests, and Common Ancestry: Theorizing Japanese Origins in Relation with Korea</t>
  </si>
  <si>
    <t>SUNGKYUN JOURNAL OF EAST ASIAN STUDIES</t>
  </si>
  <si>
    <t>colonialism; common ancestry; conquest; migration; nationalism</t>
  </si>
  <si>
    <t>HISTORY</t>
  </si>
  <si>
    <t>By the early part of the twentieth century, Japanese scholars employing Western academic methods postulated significant waves of migrants from Korea to Japan in early times and contemplated their conquest of the native population in the process of state formation. Coupled with the existing conservative assertion that the ancient Japanese had subjugated Korea, the theory of migrations constituted Nissen dosoron, the argument that the Japanese and Korean peoples shared common ancestry, which in turn helped justify the Japanese colonial annexation and assimilation of Korea from 1910 to 1945. After the contention of early Japanese hegemony lost its persuasion after WWII, the theory of migrations developed into the horse-rider theory that hypothesized an invasion of Japan by peninsular warriors in the fourth century. The notion of Korea's supremacy inherent but repressed in the colonial theories is now exploited by Korean scholars who write on early Korea and Japan from nationalist perspectives.</t>
  </si>
  <si>
    <t>Univ Hawaii Manoa, Honolulu, HI 96822 USA</t>
  </si>
  <si>
    <t>Allen, CT (corresponding author), Univ Hawaii Manoa, Honolulu, HI 96822 USA.</t>
  </si>
  <si>
    <t>Colquhoun, Irene/AAC-4457-2021</t>
  </si>
  <si>
    <t>ACAD EAST ASIAN STUD, SUNGKYUNKWAN UNIVERSITY</t>
  </si>
  <si>
    <t>JONGNO-GU</t>
  </si>
  <si>
    <t>53 MYEONGNYUN-DONG 3-GA, JONGNO-GU, SEOUL 110-745, SOUTH KOREA</t>
  </si>
  <si>
    <t>1598-2661</t>
  </si>
  <si>
    <t>SUNGKYUN J EAST ASIA</t>
  </si>
  <si>
    <t>Sungkyun J. East Asian Stud.</t>
  </si>
  <si>
    <t>Asian Studies</t>
  </si>
  <si>
    <t>544CR</t>
  </si>
  <si>
    <t>WOS:000273630600006</t>
  </si>
  <si>
    <t>A multilevel research framework for the analyses of attitudes toward immigrants</t>
  </si>
  <si>
    <t>5th Biennial Conference of the International-Academy-for-Intercultural-Research</t>
  </si>
  <si>
    <t>JUL, 2007</t>
  </si>
  <si>
    <t>Groningen, NETHERLANDS</t>
  </si>
  <si>
    <t>Int Acad Intercultural Res</t>
  </si>
  <si>
    <t>multilevel; framework; immigrants; attitudes; intergroup; personality; values; culture; acculturation; multiculturalism</t>
  </si>
  <si>
    <t>PREJUDICE; ACCULTURATION; VALUES; ORIENTATIONS; XENOPHOBIA; MAJORITY; CONTACT; DILEMMA; THREAT; SCALE</t>
  </si>
  <si>
    <t>Traditional research in acculturation and adjustment has mostly been done from a sojourner's or immigrant's perspective. The current research, however, centers on the recipient nationals' attitudes toward immigrants and multiculturalism. Three distinctive frameworks to examine host nationals' perceptions are proposed based on (1) intergroup relations, (2) individual level differences, and (3) cultural level differences. Five studies were conducted in line with the three frameworks using attitudes toward immigrants as the common dependent measure. Based on the intergroup framework, Studies I and 2 examined the influence of intergroup contact, national pride, perceived permeability, fairness, intergroup threat, and host community acculturation strategies. Results showed that decreased contact and increased threat predicted less favorable perception toward immigrants (Study 1); respondents who espoused a need for immigrant assimilation and exclusionism, and those who espoused a less individualistic perception toward migration expressed more negative immigrant attitudes (Study 2). In the second framework on individual differences, the influence of personal enduring dispositions on immigrant attitudes was examined. The independent variables included social dominance orientation, self-esteem, individualism-collectivism, national pride, and Schwartz's personal values. Low self-esteem and individualism, and high social dominance predicted less favorable attitudes toward immigrants. Furthermore, high social dominance predicted less favorable perceptions but only among host nationals who also rated high on individualism (Study 3). Regarding personal values orientation, respondents who placed greater emphasis on security and achievement motivation expressed more negative attitudes, but endorsement of the stimulation value type predicted more favorable perceptions (Study 4). In the third and final framework, effects of cultural differences on immigrant attitudes were examined (Study 5). Secondary data from the Eurobarometer [Eurobarometer, 2000. Attitudes towards minority groups in the European Union: A special analysis of the Eurobarometer 2000 opinion poll on behalf of the European Monitoring Centre on Racism and Xenophobia. Eurobarometer Opinion Poll. Retrieved September 1, 2003 from http://europa.eu.int/comm//public_opinion/index_en.htm] and Hofstede's cultural typologies were used. Masculinity was associated with reduced multicultural optimism and support for policies that promote social co-existence; uncertainty avoidance, collectivism, and power distance were related to weaker support for multicultural policies. Overall, two broad dimensions of acculturation experience emerged from the research, the first one is based on an 'invasion' perspective and the second one reflects an 'enrichment' experience. (D 2007 Elsevier Ltd. All rights reserved.</t>
  </si>
  <si>
    <t>[Leong, Chan-Hoong] Victoria Univ Wellington, Wellington, New Zealand</t>
  </si>
  <si>
    <t>Leong, CH (corresponding author), Natl Univ Singapore, Asia Res Inst, 469 Bukit Timah Rd,Tower Block 10-01, Singapore 259770, Singapore.</t>
  </si>
  <si>
    <t>chanhoong@email.com</t>
  </si>
  <si>
    <t>10.1016/j.ijintrel.2007.10.002</t>
  </si>
  <si>
    <t>296YR</t>
  </si>
  <si>
    <t>WOS:000255582400004</t>
  </si>
  <si>
    <t>Ryan, D; Dooley, B; Benson, C</t>
  </si>
  <si>
    <t>Ryan, Dermot; Dooley, Barbara; Benson, Ciaran</t>
  </si>
  <si>
    <t>Theoretical perspectives on post-migration adaptation and psychological well-being among refugees: Towards a resource-based model</t>
  </si>
  <si>
    <t>JOURNAL OF REFUGEE STUDIES</t>
  </si>
  <si>
    <t>refugees; psychological well-being; post-migration adaptation; stress theory; resources</t>
  </si>
  <si>
    <t>STRESS; TRAUMA; ACCULTURATION; EXPERIENCES; DEPRESSION; PARADIGMS</t>
  </si>
  <si>
    <t>Research on the psychological well-being of refugees has focused on deficiencies within individuals either in terms of psychiatric symptoms or feelings of distress. To achieve a more holistic view of the life experiences of refugees, we need to look at the limitations of our current theoretical models. This article critically examines some of the major theoretical approaches that have guided research on the psychological well-being of refugees: the medical model, the psychosocial stress model and Berry's (1997) 'acculturation framework'. It goes on to examine Hobfoll's (2001) Conservation of Resources stress theory, a model which has important implications for refugee research. Drawing upon the models reviewed, the last section outlines a conceptual framework for adaptation among refugees. At the heart of it lies the concept of resources. However, resources must be understood in terms of the individual's needs, personal goals and the demands he or she encounters. Each of these concepts must be examined in the context of the pre-migration, flight and post-migration phases. The additional concept of constraints on the use of or access to resources is particularly relevant to the post-migration phase. Such a conceptual toolkit could prove especially useful in going beyond quantitative data to present the human stories of refugees. It could also sensitize researchers to the impact of host societies on the well-being of refugees.</t>
  </si>
  <si>
    <t>[Ryan, Dermot; Dooley, Barbara; Benson, Ciaran] Univ Coll Dublin, Sch Psychol, Dublin 4, Ireland</t>
  </si>
  <si>
    <t>Ryan, D (corresponding author), Univ Coll Dublin, Sch Psychol, Newman Bldg, Dublin 4, Ireland.</t>
  </si>
  <si>
    <t>dermot.ryan@ucd.ie</t>
  </si>
  <si>
    <t>Dooley, Barbara/A-3037-2013</t>
  </si>
  <si>
    <t>Dooley, Barbara/0000-0002-2139-8316</t>
  </si>
  <si>
    <t>0951-6328</t>
  </si>
  <si>
    <t>J REFUG STUD</t>
  </si>
  <si>
    <t>J. Refug. Stud.</t>
  </si>
  <si>
    <t>10.1093/jrs/fem047</t>
  </si>
  <si>
    <t>289HW</t>
  </si>
  <si>
    <t>WOS:000255046600001</t>
  </si>
  <si>
    <t>Greenman, E; Xie, Y</t>
  </si>
  <si>
    <t>Greenman, Emily; Xie, Yu</t>
  </si>
  <si>
    <t>Is assimilation theory dead? The effect of assimilation on adolescent well-being</t>
  </si>
  <si>
    <t>immigrants; adolescents; youths; assimilation; ethnicity</t>
  </si>
  <si>
    <t>SEGMENTED-ASSIMILATION; 2ND-GENERATION DECLINE; IMMIGRANT CHILDREN; SELF-ESTEEM; AMERICAN; CHILDBEARING; DETERMINANTS; GENERATION; ETHNICITY; YOUTH</t>
  </si>
  <si>
    <t>The relationship between assimilation and the well-being of immigrant children has been the focus of debate in the recent sociological literature. Much of this work has questioned whether classical theories of immigrant adaptation, which assumed assimilation to be an integral part of the process of upward mobility for immigrants, are still applicable to today's immigrant children. This study reevaluates the applicability of classical assimilation theory with a comprehensive empirical assessment of the relationship between assimilation and the well-being of Hispanic and Asian immigrant adolescents. Using Add Health data, we examine the effect of different aspects of assimilation on educational achievement, psychological well-being, and at-risk behaviors. We find that the effect of assimilation varies greatly depending on the ethnic group and outcome under consideration, but that it is generally related to both greater academic achievement and more at-risk behavior. We conclude that assimilation theory is still relevant, but suggest an interpretation that emphasizes a process of decreasing differences between groups rather than either detrimental or beneficial effects of assimilation. (c) 2007 Elsevier Inc. All rights reserved.</t>
  </si>
  <si>
    <t>[Greenman, Emily] Penn State Univ, Dept Sociol, University Pk, PA 16802 USA; [Xie, Yu] Univ Michigan, Inst Social Res, Ctr Populat Studies, Ann Arbor, MI 48106 USA</t>
  </si>
  <si>
    <t>Xie, Y (corresponding author), Penn State Univ, Dept Sociol, 211 Oswald Tower, University Pk, PA 16802 USA.</t>
  </si>
  <si>
    <t>yuxie@umich.edu</t>
  </si>
  <si>
    <t>EUNICE KENNEDY SHRIVER NATIONAL INSTITUTE OF CHILD HEALTH &amp; HUMAN DEVELOPMENTUnited States Department of Health &amp; Human ServicesNational Institutes of Health (NIH) - USANIH Eunice Kennedy Shriver National Institute of Child Health &amp; Human Development (NICHD) [R24HD041028] Funding Source: NIH RePORTER; EUNICE KENNEDY SHRIVER NATIONAL INSTITUTE OF CHILD HEALTH &amp;HUMAN DEVELOPMENTUnited States Department of Health &amp; Human ServicesNational Institutes of Health (NIH) - USANIH Eunice Kennedy Shriver National Institute of Child Health &amp; Human Development (NICHD) [R01HD044905] Funding Source: NIH RePORTER; NICHD NIH HHSUnited States Department of Health &amp; Human ServicesNational Institutes of Health (NIH) - USANIH Eunice Kennedy Shriver National Institute of Child Health &amp; Human Development (NICHD) [R01 HD044905-02, R01 HD044905, R24 HD041028, R01 HD044905-01A1, R01 HD044905-03] Funding Source: Medline</t>
  </si>
  <si>
    <t>10.1016/j.ssresearch.2007.07.003</t>
  </si>
  <si>
    <t>281JP</t>
  </si>
  <si>
    <t>WOS:000254493000008</t>
  </si>
  <si>
    <t>Cheung-Blunden, VL; Juang, LP</t>
  </si>
  <si>
    <t>Cheung-Blunden, Violet L.; Juang, Linda P.</t>
  </si>
  <si>
    <t>Expanding acculturation theory: Are acculturation models and the adaptiveness of acculturation strategies generalizable in a colonial context?</t>
  </si>
  <si>
    <t>INTERNATIONAL JOURNAL OF BEHAVIORAL DEVELOPMENT</t>
  </si>
  <si>
    <t>acculturation model; adolescent adjustment; bicultural context; Hong Kong Chinese; immigrant and colonial settings</t>
  </si>
  <si>
    <t>ADOLESCENT PROBLEM BEHAVIOR; CHILD-REARING PRACTICES; AMERICAN ADOLESCENTS; CHINESE ADOLESCENTS; IMMIGRANT CHINESE; FAMILY OBLIGATION; SELF-ESTEEM; ATTITUDES; IDENTITY; SCHOOL</t>
  </si>
  <si>
    <t>Most acculturation research has been conducted in immigrant settings. The present study examined the generalizability of acculturation models and the adaptiveness of acculturation strategies in another bicultural environment - a colonial setting. The sample included 138 girls (M = 13.8 years) and their parents from Hong Kong, a former British colony. Results verified that both Chinese and western acculturation occurred on individual psychological levels and that the bidimensional model was a suitable acculturation framework. Using hierarchical multiple regression, results suggested that acculturation towards Chinese (majority) culture was related to better adaptation in terms of higher academic achievement and positive family dynamics (parental nurturance and closer family relationships). Acculturation towards western (minority) culture was related to poorer adaptation in terms of engaging in greater misconduct and negative family interactions (larger intergenerational value discrepancies and family conflicts). Thus, acculturation towards the majority culture held adaptive implications, whereas acculturation towards the minority culture held maladaptive implications. Consideration of the bicultural composition (e. g., status, prestige, strength of cultural networks of each culture) should be incorporated into acculturation theory to better understand adjustment implications across a wide range of contexts.</t>
  </si>
  <si>
    <t>[Cheung-Blunden, Violet L.] Univ Calif Berkeley, Dept Psychol, Berkeley, CA 94720 USA; [Juang, Linda P.] San Francisco State Univ, San Francisco, CA USA</t>
  </si>
  <si>
    <t>Cheung-Blunden, VL (corresponding author), Univ Calif Berkeley, Dept Psychol, G55 Tolman Hall, Berkeley, CA 94720 USA.</t>
  </si>
  <si>
    <t>violet_c@berkeley.edu</t>
  </si>
  <si>
    <t>Cheung-Blunden, Violet/0000-0003-2706-025X</t>
  </si>
  <si>
    <t>0165-0254</t>
  </si>
  <si>
    <t>1464-0651</t>
  </si>
  <si>
    <t>INT J BEHAV DEV</t>
  </si>
  <si>
    <t>Int. J. Behav. Dev.</t>
  </si>
  <si>
    <t>10.1177/0165025407084048</t>
  </si>
  <si>
    <t>246IB</t>
  </si>
  <si>
    <t>WOS:000251999600003</t>
  </si>
  <si>
    <t>Silberman, R; Fournier, I</t>
  </si>
  <si>
    <t>Silberman, Roxane; Fournier, Irene</t>
  </si>
  <si>
    <t>Second generations on the job market in France: A persistent ethnic penalty - A contribution to segmented assimilation theory</t>
  </si>
  <si>
    <t>REVUE FRANCAISE DE SOCIOLOGIE</t>
  </si>
  <si>
    <t>2ND-GENERATION; EDUCATION; HANDICAP; SCHOOL; GIRLS</t>
  </si>
  <si>
    <t>How consistent over time is the ethnic penalty regarding access to the labor market in France? We address this issue considering two cohorts of young people who left school in the last decade of the twentieth century. Our results show that, with educational qualifications kept constant, the penalty remains basically the same over the years for young people of North African origin -who were already experiencing difficulties in the 1980s- in spite of relatively favorable labor market conditions and regardless of the ongoing educational expansion. Two other groups were also subjected to a significant penalty: young people of sub-Saharan African origin and, to a lesser degree, young people of Southeast Asian origin. Over this period, while the improvement of economic conditions benefited most degree-holders, high numbers of young people of North African immigrant origin remained stuck in lower educational positions. The group was overtaken by young people of Portuguese origin, who seem to have gained access to higher educational levels through the extension of vocational education to the lower tertiary level. Such facts would seem to support the idea of statistical discrimination, a mechanism based on a given group's average characteristics. However, the boundary line between this and more overtly racist discrimination remains indistinct. In any case, the strong feeling of being discriminated against expressed by young people of North African and black African origins, as well as their pessimistic view of the future, reveals a sharp cleavage within French society -a statement that does not hold, however, for young people of Turkish origin. These pessimistic perceptions may also work to amplify a negative dynamic over the longer term, as shown by longitudinal data available on the second cohort. Our results lead to revisiting the segmented assimilation theory as elaborated in the American context, referring to a form of racism specific to American society; i.e., racism against the black population of slave descent.</t>
  </si>
  <si>
    <t>[Silberman, Roxane; Fournier, Irene] Ecole Normale Super, CNRS, EHESS, Ctr Maurice Halbwachs, F-75014 Paris, France</t>
  </si>
  <si>
    <t>Silberman, R (corresponding author), Ecole Normale Super, CNRS, EHESS, Ctr Maurice Halbwachs, Campus Jourdan 48,Blvd Jourdan, F-75014 Paris, France.</t>
  </si>
  <si>
    <t>Roxane.silberman@ens.fr</t>
  </si>
  <si>
    <t>EDITIONS OPHRYS</t>
  </si>
  <si>
    <t>GAP CEDEX</t>
  </si>
  <si>
    <t>BP 87, 05003 GAP CEDEX, FRANCE</t>
  </si>
  <si>
    <t>0035-2969</t>
  </si>
  <si>
    <t>REV FR SOCIOL</t>
  </si>
  <si>
    <t>Rev. Fr. Sociol.</t>
  </si>
  <si>
    <t>S</t>
  </si>
  <si>
    <t>10.3917/rfs.495.0045</t>
  </si>
  <si>
    <t>333ET</t>
  </si>
  <si>
    <t>WOS:000258136300002</t>
  </si>
  <si>
    <t>Pachucki, MA; Pendergrass, S; Lamont, M</t>
  </si>
  <si>
    <t>Pachucki, Mark A.; Pendergrass, Sabrina; Lamont, Michele</t>
  </si>
  <si>
    <t>Boundary processes: Recent theoretical developments and new contributions</t>
  </si>
  <si>
    <t>POETICS</t>
  </si>
  <si>
    <t>GENDER; IDENTITY; AMERICAN; ASSIMILATION; CATEGORIES; CULTURE; RACE; CONSTRUCTION; CONTEXT; MUSIC</t>
  </si>
  <si>
    <t>This paper takes stock of the most recent scholarship on symbolic boundaries and how these interact with social boundaries-more durable and institutionalized social differences. Our primary goal is to raise awareness of a growing body of empirical work, and to highlight key mechanisms which they address, among them: the strategic management of collective identities, cultural classification, the construction of authenticity, moral boundary maintenance, and genre-crossing. We introduce the articles included in this issue and discuss how ethno-racial boundaries intersect with class, immigration, and nationhood. We also describe new work on aesthetic boundaries, as well as recent efforts pertaining to gender, sexuality, the workplace, and religion. We close with a discussion of promising research on health, risk, and policy. We hope to demonstrate some of the intellectual rewards of interdisciplinary engagement, and encourage others to more systematically contribute to analyzing fundamental boundary processes. (c) 2007 Elsevier B.V. All rights reserved.</t>
  </si>
  <si>
    <t>[Pachucki, Mark A.; Pendergrass, Sabrina] Harvard Univ, Dept Sociol, Cambridge, MA 02138 USA</t>
  </si>
  <si>
    <t>Pachucki, MA (corresponding author), 568 William James Hall,33 Kirkland St, Cambridge, MA 02138 USA.</t>
  </si>
  <si>
    <t>pachucki@wjh.harvard.edu; pendergr@fas.harvard.edu; mlamont@wjh.harvard.edu</t>
  </si>
  <si>
    <t>lamont, michele/J-2098-2012</t>
  </si>
  <si>
    <t>lamont, michele/0000-0002-0221-0402; Pachucki, Mark/0000-0002-7855-2433</t>
  </si>
  <si>
    <t>ELSEVIER</t>
  </si>
  <si>
    <t>RADARWEG 29, 1043 NX AMSTERDAM, NETHERLANDS</t>
  </si>
  <si>
    <t>0304-422X</t>
  </si>
  <si>
    <t>1872-7514</t>
  </si>
  <si>
    <t>Poetics</t>
  </si>
  <si>
    <t>10.1016/j.poetic.2007.10.001</t>
  </si>
  <si>
    <t>Literature; Sociology</t>
  </si>
  <si>
    <t>266DY</t>
  </si>
  <si>
    <t>WOS:000253413000001</t>
  </si>
  <si>
    <t>Perez, CM</t>
  </si>
  <si>
    <t>Perez, Cristobal Mendoza</t>
  </si>
  <si>
    <t>The border space in the articulation of transnational social spaces: theoretical reflection and empirical analysis</t>
  </si>
  <si>
    <t>PAPELES DE POBLACION</t>
  </si>
  <si>
    <t>assimilation; Mexico-USA border; internal migration; international migration; transnationalism</t>
  </si>
  <si>
    <t>The debate on place and space is to be explored in the literature of migrations. From a traditional perspective, international migrations are understood in bipolar terms, from a point of departure and a second of arrival, and through frameworks of adaptation/integration/assimilation. The transnational approach for the study of migration which constitutes a challenge for rigid traditional perspectives does not take into account practically any geographical reference. According to this view, migrations occur within social and cultural spaces without a territorial basis. In this context, this article explores the role of the border space (i.e. the Mexico northern border cities) in the construction of transnational social spaces, from the analysis of EMIF (Survey on Migration to the Northern Border).</t>
  </si>
  <si>
    <t>Univ Autonoma Metropolitana Iztapalapa, Mexico City, DF, Mexico</t>
  </si>
  <si>
    <t>Perez, CM (corresponding author), Univ Autonoma Metropolitana Iztapalapa, Mexico City, DF, Mexico.</t>
  </si>
  <si>
    <t>cristobalmendozaperez@yahoo.com.mx</t>
  </si>
  <si>
    <t>UNIV AUTONOMA ESTADO MEXICO</t>
  </si>
  <si>
    <t>TOLUCA</t>
  </si>
  <si>
    <t>CIUDAD UNIVERSITARIA, TOLUCA, CP 50100, MEXICO</t>
  </si>
  <si>
    <t>1405-7425</t>
  </si>
  <si>
    <t>PAPELES POBLAC</t>
  </si>
  <si>
    <t>Papeles Poblac.</t>
  </si>
  <si>
    <t>JUL-SEP</t>
  </si>
  <si>
    <t>272EY</t>
  </si>
  <si>
    <t>WOS:000253843900006</t>
  </si>
  <si>
    <t>Dustmann, C; Weiss, Y</t>
  </si>
  <si>
    <t>Dustmann, Christian; Weiss, Yoram</t>
  </si>
  <si>
    <t>Return migration: Theory and empirical evidence from the UK</t>
  </si>
  <si>
    <t>BRITISH JOURNAL OF INDUSTRIAL RELATIONS</t>
  </si>
  <si>
    <t>FOREIGN-BORN; UNITED-STATES; IMMIGRANTS; EARNINGS; ASSIMILATION; PERFORMANCE; EMIGRATION; DURATION; COHORT</t>
  </si>
  <si>
    <t>In this article, we discuss forms of migration that are non-permanent. We focus on temporary migrations where the decision to return is taken by the immigrant. These migrations are likely to be frequent, and we provide some evidence for the UK. We then develop a simple model that rationalizes the decision of a migrant to return to his/her home country, despite a persistently higher wage in the host country. We consider three motives for a temporary migration: (i) differences in relative prices between host and home country, (ii) complementarities between consumption and the location where consumption takes place, and (iii) the possibility of accumulating human capital abroad, which enhances the immigrant's earnings potential back home. For the last return motive, we discuss extensions that allow for immigrant heterogeneity, and develop implications for selective in- and out-migration.</t>
  </si>
  <si>
    <t>UCL, London WC1E 6BT, England; Tel Aviv Univ, IL-69978 Tel Aviv, Israel</t>
  </si>
  <si>
    <t>Dustmann, C (corresponding author), UCL, London WC1E 6BT, England.</t>
  </si>
  <si>
    <t>Economic and Social Research CouncilUK Research &amp; Innovation (UKRI)Economic &amp; Social Research Council (ESRC) [RES-000-23-0332] Funding Source: researchfish</t>
  </si>
  <si>
    <t>WILEY-BLACKWELL</t>
  </si>
  <si>
    <t>MALDEN</t>
  </si>
  <si>
    <t>COMMERCE PLACE, 350 MAIN ST, MALDEN 02148, MA USA</t>
  </si>
  <si>
    <t>0007-1080</t>
  </si>
  <si>
    <t>BRIT J IND RELAT</t>
  </si>
  <si>
    <t>Br. J. Ind. Relat.</t>
  </si>
  <si>
    <t>10.1111/j.1467-8543.2007.00613.x</t>
  </si>
  <si>
    <t>Industrial Relations &amp; Labor</t>
  </si>
  <si>
    <t>178SS</t>
  </si>
  <si>
    <t>WOS:000247241000002</t>
  </si>
  <si>
    <t>Migration, development, and segmented assimilation: A conceptual review of the evidence</t>
  </si>
  <si>
    <t>Conference on NAFTA and Beyond</t>
  </si>
  <si>
    <t>DEC 02-03, 2005</t>
  </si>
  <si>
    <t>Princeton Univ, Princeton, NJ</t>
  </si>
  <si>
    <t>Princeton Univ</t>
  </si>
  <si>
    <t>migration; downward mobility; segmented assimilation; remittances</t>
  </si>
  <si>
    <t>DETERMINANTS; CHILDREN; TRANSNATIONALISM; 2ND-GENERATION; CONVERGENCIES</t>
  </si>
  <si>
    <t>This article first gives attention to the ongoing debate about the role of remittances on development. The author presents evidence showing that monetary transfers can induce economic vitality but also expand inequalities in countries of origin. Second, the author examines a phenomenon given little attention until now: the extent to which policies aimed at curtailing unauthorized immigration to the United States are promoting instead the permanent immigration and settlement of vulnerable workers and their families, thus increasing the likelihood that some of their children will respond to hostility and limited opportunity through downward assimilation. When deported, those youngsters transfer deviant styles of life learned abroad to their home communities. International migration has thus become a key element in the study of development.</t>
  </si>
  <si>
    <t>Princeton Univ, Ctr Migrat &amp; Dev, Princeton, NJ 08544 USA</t>
  </si>
  <si>
    <t>Portes, A (corresponding author), Princeton Univ, Ctr Migrat &amp; Dev, Princeton, NJ 08544 USA.</t>
  </si>
  <si>
    <t>10.1177/0002716206296779</t>
  </si>
  <si>
    <t>141GD</t>
  </si>
  <si>
    <t>WOS:000244565900004</t>
  </si>
  <si>
    <t>Hwang, WC</t>
  </si>
  <si>
    <t>Hwang, Wei-Chin</t>
  </si>
  <si>
    <t>Acculturative family distancing: Theory, research, and clinical practice</t>
  </si>
  <si>
    <t>PSYCHOTHERAPY</t>
  </si>
  <si>
    <t>family; psychotherapy; culture; acculturation; Asian American</t>
  </si>
  <si>
    <t>AMERICAN-COLLEGE-STUDENTS; NON-IMMIGRANT FAMILIES; ASIAN-AMERICAN; CHINESE-AMERICANS; CULTURAL COMPETENCE; PROBLEM BEHAVIORS; ETHNIC-IDENTITY; ADOLESCENTS; CONFLICT; INTERVENTION</t>
  </si>
  <si>
    <t>Despite the rapidly growing immigrant population settling in the United States, our knowledge of acculturative processes and their impact on immigrant families remains quite limited. This article describes a theoretical construct called Acculturative Family Distancing (AFD), the distancing that occurs between immigrant parents and children that is a result of immigration, cultural differences, and differing rates of acculturation. AFD occurs along two dimensions: communication and cultural values. Breakdowns in communication and incongruent cultural values between immigrant parents and children are hypothesized to increase over time and place families at risk for mental illness and family dysfunction. Clinical illustrations of AFD's impact on immigrant Asian families are provided and recommendations for dealing with AFD are presented.</t>
  </si>
  <si>
    <t>Claremont Mckenna Coll, Dept Psychol, Claremont, CA 91711 USA</t>
  </si>
  <si>
    <t>Hwang, WC (corresponding author), Claremont Mckenna Coll, Dept Psychol, 850 Columbia Ave, Claremont, CA 91711 USA.</t>
  </si>
  <si>
    <t>whwang@cmc.edu</t>
  </si>
  <si>
    <t>AMER PSYCHOLOGICAL ASSOC, DIV PSYCHOTHERAPY</t>
  </si>
  <si>
    <t>CORAL GABLES</t>
  </si>
  <si>
    <t>1390 SOUTH DIXIE HIGHWAY, STE 2222, CORAL GABLES, FL 33146-2946 USA</t>
  </si>
  <si>
    <t>0033-3204</t>
  </si>
  <si>
    <t>Psychotherapy</t>
  </si>
  <si>
    <t>WIN</t>
  </si>
  <si>
    <t>10.1037/0033-3204.43.4.397</t>
  </si>
  <si>
    <t>123GA</t>
  </si>
  <si>
    <t>WOS:000243283200004</t>
  </si>
  <si>
    <t>Second generations on the labor market in France : an enduring ethnic penalty. Contribution to segmented assimilation theory</t>
  </si>
  <si>
    <t>French</t>
  </si>
  <si>
    <t>2ND-GENERATION; EDUCATION</t>
  </si>
  <si>
    <t>This article examines the strength over time of the ethnic penalty in hiring in France for two cohorts of young people who left school in the last decade of the twentieth century. The results show that for equal educational degrees, the penalty affecting the Maghrebin group, who were already in difficulty in the 1980s despite a temporary fall in unemployment and continued democratizing of the school system, did not change substantially. The penalty was also significant for two other groups : young people of sub-Saharan African origin and, to a lesser degree, young people of Southeast Asian origin. During this period the improving economic context was more favorable to degree-holding applicants than others, while children of Maghrebin immigrants were still numerically more likely to have low qualifications. Young people of Portuguese origin, who seem to have advanced upon expansion of vocational specialization programs into higher education, pulled ahead of the Maghrebin group and they are from now ahead. This may strengthen the hypothesis of &lt;&lt; statistical discrimination &gt;&gt;, a mechanism based on a group's average characteristics. The borderline between statistical discrimination and more overtly racist discrimination remains unclear, however. The strong feeling of being discriminated against that is expressed by young people whose parents immigrated from North Africa or Black Africa, together with their pessimistic vision of the future, are indications of a serious split running through French society, though this does not affect the Turkish group. These perceptions may also work to accentuate a negative long-term dynamic, as shown by available longitudinal data on the second cohort. The results compel a rereading of the &lt;&lt; segmented assimilation &gt;&gt; theory. as developed in an American context in reference to racism toward a black population - descendants of slaves - specific to American society.</t>
  </si>
  <si>
    <t>CNRS, ENS, Ctr Maurice Halbwachs, EHESS, F-75014 Paris, France</t>
  </si>
  <si>
    <t>Silberman, R (corresponding author), CNRS, ENS, Ctr Maurice Halbwachs, EHESS, Campus Jourdan,48 Blvd Jourdan, F-75014 Paris, France.</t>
  </si>
  <si>
    <t>APR-JUN</t>
  </si>
  <si>
    <t>10.3917/rfs.472.0243</t>
  </si>
  <si>
    <t>062FI</t>
  </si>
  <si>
    <t>WOS:000238929600001</t>
  </si>
  <si>
    <t>Schwartz, SJ; Montgomery, MJ; Briones, E</t>
  </si>
  <si>
    <t>The role of identity in acculturation among immigrant people: Theoretical propositions, empirical questions, and applied recommendations</t>
  </si>
  <si>
    <t>acculturation; cultural identity; immigrant; personal identity; social identity</t>
  </si>
  <si>
    <t>UNITED-STATES; INDIVIDUALISM-COLLECTIVISM; CULTURAL-DIFFERENCES; SOCIAL-PSYCHOLOGY; AFRICAN-AMERICAN; ETHNIC-IDENTITY; ADOLESCENTS; IDENTIFICATION; MINORITY; YOUTH</t>
  </si>
  <si>
    <t>The present paper advances theoretical propositions regarding the relationship between acculturation and identity. The most central thesis argued is that acculturation represents changes in cultural identity and that personal identity has the potential to 'anchor' immigrant people during their transition to a new society. The article emphasizes the experiences of nonwhite, non-Western immigrant people moving to Western nations. The article also calls for research on heretofore unexplored aspects of the relationship of acculturation to personal and social identity. Ideas are proposed for interventions to promote cultural identity change and personal identity coherence. Copyright (c) 2006 S. Karger AG, Basel.</t>
  </si>
  <si>
    <t>Univ Miami, Ctr Studies Family, Leonard M Miller Sch Med, Coral Gables, FL 33124 USA; Florida Int Univ, Miami, FL 33199 USA</t>
  </si>
  <si>
    <t>Schwartz, SJ (corresponding author), Univ Miami, Sch Med, Dept Psychiat &amp; Behav Sci, 1425 NW 10th Ave,2nd Floor, Miami, FL 33136 USA.</t>
  </si>
  <si>
    <t>Schwartz, Seth/A-3166-2008</t>
  </si>
  <si>
    <t>10.1159/000090300</t>
  </si>
  <si>
    <t>015WQ</t>
  </si>
  <si>
    <t>WOS:000235582400001</t>
  </si>
  <si>
    <t>Cote, JE</t>
  </si>
  <si>
    <t>Acculturation and identity: The role of individualization theory</t>
  </si>
  <si>
    <t>acculturation; identity capital; immigrants; individualization</t>
  </si>
  <si>
    <t>Univ Western Ontario, Dept Sociol, London, ON N6A 5C2, Canada</t>
  </si>
  <si>
    <t>Cote, JE (corresponding author), Univ Western Ontario, Dept Sociol, London, ON N6A 5C2, Canada.</t>
  </si>
  <si>
    <t>cote@uwo.ca</t>
  </si>
  <si>
    <t>Cote, James/0000-0001-6400-6872</t>
  </si>
  <si>
    <t>10.1159/000090301</t>
  </si>
  <si>
    <t>WOS:000235582400002</t>
  </si>
  <si>
    <t>Nielsen, AL; Lee, MT; Martinez, R</t>
  </si>
  <si>
    <t>Integrating race, place and motive in social disorganization theory: Lessons from a comparison of black and Latino homicide types in two immigrant destination cities</t>
  </si>
  <si>
    <t>CRIMINOLOGY</t>
  </si>
  <si>
    <t>56th Annual Meeting of the American-Society-of-Criminology</t>
  </si>
  <si>
    <t>NOV 17-19, 2004</t>
  </si>
  <si>
    <t>Nashville, TN</t>
  </si>
  <si>
    <t>Amer Soc Criminol</t>
  </si>
  <si>
    <t>homicide; homicide motives; race/ethnic differences; immigration; Latinos; communities</t>
  </si>
  <si>
    <t>SEGMENTED ASSIMILATION; RACIAL INVARIANCE; VIOLENCE; CONTEXT; RATES; POVERTY; MIAMI</t>
  </si>
  <si>
    <t>In this paper, we examine and compare the impact of social disorganization, including recent immigration, and other predictors on community counts of black and Latino motive-specific homicides in Miami and San Diego. Homicides for 1985 to 1995 are disaggregated into escalation, intimate, robbery and drug-related motives. Negative binomial regression models with corrections for spatial autocorrelation demonstrate that there are similarities and differences in effects of social disorganization and other predictors by motive-specific outcomes, as well as for outcomes across ethnic groups within cities and within ethnic groups across cities. Recent immigration is negatively or not associated with most outcomes. Overall, the study shows the importance of disaggregating homicide data by race/ethnicity and motive and demonstrates that predictions based on existing theories are qualified on local conditions.</t>
  </si>
  <si>
    <t>Univ Miami, Dept Sociol, Coral Gables, FL 33124 USA; Univ Akron, Akron, OH 44325 USA; Florida Int Univ, Miami, FL 33199 USA</t>
  </si>
  <si>
    <t>Nielsen, AL (corresponding author), Univ Miami, Dept Sociol, POB 248162, Coral Gables, FL 33124 USA.</t>
  </si>
  <si>
    <t>nielsen@miami.edu</t>
  </si>
  <si>
    <t>0011-1384</t>
  </si>
  <si>
    <t>1745-9125</t>
  </si>
  <si>
    <t>Criminololgy</t>
  </si>
  <si>
    <t>10.1111/j.0011-1348.2005.00025.x</t>
  </si>
  <si>
    <t>958ZA</t>
  </si>
  <si>
    <t>WOS:000231485500010</t>
  </si>
  <si>
    <t>Wang, W</t>
  </si>
  <si>
    <t>Ideological orientation and the PRC academic migration: A theoretical and longitudinal analysis</t>
  </si>
  <si>
    <t>SOCIOLOGICAL INQUIRY</t>
  </si>
  <si>
    <t>IMMIGRATION</t>
  </si>
  <si>
    <t>Since the end of the Cold War era, Western capitalist countries have experienced increased immigration of highly trained professionals from former socialist Eastern European countries and from socialist countries such as China and Cuba. In studies of the determinants of international migration, the focus has repeatedly been on demographic, economic, social network, and political explanations. This study addresses the migration of highly trained professionals from the People's Republic of China (PRC) to the United States of America (USA). Logistic regression analyses of longitudinal data collected between mid-1988 and the beginning of 1992 show that, in addition to the explanatory power of the above predictors, transvaluation-the shift emphases from the socialist collectivist and interdependent ideological orientations to individualistic, independent, and competitive ideological orientations contribute to the migration decisions of the Chinese intellectuals. The results of field interviews and longitudinal comparisons suggest that the academics who come from an oppressed bourgeois-class origin, and who experience more independent and competitive lifestyles in China, are more likely to acquire individualistic and independent ideologies than those who come from privileged and working-class origins in China. The transvaluation is thus argued as a determinant of international migration, rather than as the post facto justfication or the assimilation effect that was argued in previous migration studies. The modest erosion of the socialist collectivist and interdependent orientations among Chinese academics in the 1988 to 1992 three-and-half-year time firame further enhanced their migration decisions. The longitudinal analyses suggest that the modifications of the individual ideological orientations among the Chinese academics may have occurred betbre the migration movement, rather than after. This finding thus challenges previous research regarding the determinants of international migration.</t>
  </si>
  <si>
    <t>Calif State Univ Northridge, Northridge, CA 91330 USA</t>
  </si>
  <si>
    <t>Wang, W (corresponding author), Calif State Univ Northridge, Northridge, CA 91330 USA.</t>
  </si>
  <si>
    <t>0038-0245</t>
  </si>
  <si>
    <t>1475-682X</t>
  </si>
  <si>
    <t>SOCIOL INQ</t>
  </si>
  <si>
    <t>Sociol. Inq.</t>
  </si>
  <si>
    <t>10.1111/j.1475-682X.2005.00120.x</t>
  </si>
  <si>
    <t>913AH</t>
  </si>
  <si>
    <t>WOS:000228121600004</t>
  </si>
  <si>
    <t>Waters, MC; Jimenez, TR</t>
  </si>
  <si>
    <t>Assessing immigrant assimilation: New empirical and theoretical challenge</t>
  </si>
  <si>
    <t>ANNUAL REVIEW OF SOCIOLOGY</t>
  </si>
  <si>
    <t>Annual Review of Sociology</t>
  </si>
  <si>
    <t>Article; Book Chapter</t>
  </si>
  <si>
    <t>immigration; generation; incorporation; immigrant gateways</t>
  </si>
  <si>
    <t>UNITED-STATES; MEXICAN-AMERICANS; SUBURBS; 2ND-GENERATION; SEGREGATION; METROPOLIS; PROSPECTS</t>
  </si>
  <si>
    <t>This review examines research on the assimilation of immigrant groups. We review research on four primary benchmarks of assimilation: socioeconomic status, spatial concentration, language assimilation, and intermarriage. The existing literature shows that today's immigrants are largely assimilating into American society along each of these dimensions. This review also considers directions for future research on the assimilation of immigrant groups in new southern and midwestern gateways and how sociologists measure immigrant assimilation. We document the changing geography of immigrant settlement and review the emerging body of research in this area. We argue that examining immigrant assimilation in these new immigrant gateways is crucial for the development of theories about immigrant assimilation. We also argue that we are likely to see a protracted period of immigrant replenishment that may change the nature of assimilation. Studying this change requires sociologists to use both birth cohort and generation as temporal markers of assimilation.</t>
  </si>
  <si>
    <t>Harvard Univ, Sch Med, Dept Sociol, Cambridge, MA 02138 USA</t>
  </si>
  <si>
    <t>Waters, MC (corresponding author), Harvard Univ, Sch Med, Dept Sociol, Cambridge, MA 02138 USA.</t>
  </si>
  <si>
    <t>mcw@wjh.harvard.edu; tjimenez@wjh.harvard.edu</t>
  </si>
  <si>
    <t>Waters, Mary/K-7097-2013</t>
  </si>
  <si>
    <t>ANNUAL REVIEWS</t>
  </si>
  <si>
    <t>PALO ALTO</t>
  </si>
  <si>
    <t>4139 EL CAMINO WAY, PO BOX 10139, PALO ALTO, CA 94303-0139 USA</t>
  </si>
  <si>
    <t>0360-0572</t>
  </si>
  <si>
    <t>0-8243-2231-2</t>
  </si>
  <si>
    <t>ANNU REV SOCIOL</t>
  </si>
  <si>
    <t>Annu. Rev. Sociol.</t>
  </si>
  <si>
    <t>10.1146/annurev.soc.29.010202.100026</t>
  </si>
  <si>
    <t>959LC</t>
  </si>
  <si>
    <t>WOS:000231518200005</t>
  </si>
  <si>
    <t>Wheeler, N</t>
  </si>
  <si>
    <t>A civic trend within ethnic trasnationalism? Some insights from classical social theory and the Chinese American experience</t>
  </si>
  <si>
    <t>GLOBAL NETWORKS-A JOURNAL OF TRANSNATIONAL AFFAIRS</t>
  </si>
  <si>
    <t>27th Annual Meeting of the Social-Science-History-Association</t>
  </si>
  <si>
    <t>OCT 24-27, 2002</t>
  </si>
  <si>
    <t>St Louis, MO</t>
  </si>
  <si>
    <t>Social Sci Hist Assoc</t>
  </si>
  <si>
    <t>TRANSNATIONAL MIGRATION</t>
  </si>
  <si>
    <t>In this article I contribute to the debates on transnationalism by reconceptualizing the relationship between transnationalism and assimilation. I posit an ideal-type distinction between gemeinschaft- and gesellschaft-like transnational practices and suggest an evolving trend towards the latter. In so doing, I show how two bodies of existing work that have generally been self-contained can usefully be integrated in the study of transnationalism - namely the work of Glick Schiller, Portes and others on ethnic transnationalism and that of Keohane, Sikkink and others on civic transnationalism. In the article I treat the experience of Chinese Americans, who area pertinent case for analysis because of their longstanding migration to and presence in US society. I begin by laying a theoretical foundation, go on to trace the history of Chinese American transnationalism, present evidence of contemporary Chinese Americans' involvement in a variety of civic associations, and conclude with discussion of this visible trend towards heightened civic transnational activity.</t>
  </si>
  <si>
    <t>Univ Kansas, Amer Studies Programme, Lawrence, KS USA</t>
  </si>
  <si>
    <t>Wheeler, N (corresponding author), Univ Kansas, Amer Studies Programme, Lawrence, KS USA.</t>
  </si>
  <si>
    <t>1470-2266</t>
  </si>
  <si>
    <t>1471-0374</t>
  </si>
  <si>
    <t>GLOBAL NETW</t>
  </si>
  <si>
    <t>Glob. Netw.</t>
  </si>
  <si>
    <t>10.1111/j.1471-0374.2004.00100.x</t>
  </si>
  <si>
    <t>Anthropology; Geography; Sociology</t>
  </si>
  <si>
    <t>860OU</t>
  </si>
  <si>
    <t>WOS:000224353700004</t>
  </si>
  <si>
    <t>Portes, A; DeWind, J</t>
  </si>
  <si>
    <t>A cross-Atlantic dialogue: The progress of research and theory in the study of international migration</t>
  </si>
  <si>
    <t>SEGMENTED ASSIMILATION; IMMIGRANT; TRANSNATIONALISM; MEXICAN; STATES</t>
  </si>
  <si>
    <t>The articles included in this issue were originally presented at a conference on Conceptual and Methodological Developments in the Study of International Migration held at Princeton University in May 2003. The conference was Jointly sponsored by the Committee on International Migration of the Social Science Research Council (SSRC), the Center for Migration and Development (CMD) at Princeton, and this journal. Its purpose was to review recent innovations in this field, both in theory and empirical research, across both sides of the Atlantic. The conference was deliberately organized as a sequel to a similar event convened by the SSRC on Sanibel Island in January 1996 in order to assess the state of international migration studies within the United States from an interdisciplinary perspective. A selection of articles from that conference was published as a special issue of International Migration Review (Vol. 3 1, No. 4, Winter), and the full set of articles was published as the Handbook of International Migration: The American Experience (Hirschman, Kasinitz and DeWind, 1999).</t>
  </si>
  <si>
    <t>Princeton Univ, Princeton, NJ 08544 USA; Social Sci Res Council, New York, NY 10019 USA</t>
  </si>
  <si>
    <t>Portes, A (corresponding author), Princeton Univ, Princeton, NJ 08544 USA.</t>
  </si>
  <si>
    <t>CENTER MIGRATION STUDIES</t>
  </si>
  <si>
    <t>STATEN ISL</t>
  </si>
  <si>
    <t>209 FLAGG PLACE, STATEN ISL, NY 10304 USA</t>
  </si>
  <si>
    <t>875VZ</t>
  </si>
  <si>
    <t>WOS:000225451500001</t>
  </si>
  <si>
    <t>Levitt, P; Schiller, NG</t>
  </si>
  <si>
    <t>Conceptualizing simultaneity: A transnational social field perspective on society</t>
  </si>
  <si>
    <t>IMMIGRANT INCORPORATION; MIGRATION; MEXICAN; TRANSMIGRANT; NATIONALISM; CITIZENSHIP; STRATEGIES; CONCLUSION; BOUNDARIES; MIGRANTS</t>
  </si>
  <si>
    <t>This article explores the social theory and consequent methodology that underpins studies of transnational migration. First, we propose a social field approach to the study of migration and distinguish between ways of being and ways of belonging in that field. Second, we argue that assimilation and enduring transnational ties are neither incompatible nor binary opposites. Third, we highlight social processes and institutions that are routinely obscured by traditional migration scholarship but that become clear when we use a transnational lens. Finally, we locate our approach to migration research within a larger intellectual project, taken up by scholars of transnational processes in many fields, to rethink and reformulate the concept of society such that it is no longer automatically equated with the boundaries of a single nation-state.</t>
  </si>
  <si>
    <t>Wellesley Coll, Wellesley, MA 02181 USA; Harvard Univ, Sch Med, Cambridge, MA 02138 USA; Univ New Hampshire, Durham, NH 03824 USA; Max Planck Inst Social Anthropol, Halle An Der Saale, Germany</t>
  </si>
  <si>
    <t>Levitt, P (corresponding author), Wellesley Coll, Wellesley, MA 02181 USA.</t>
  </si>
  <si>
    <t>10.1111/j.1747-7379.2004.tb00227.x</t>
  </si>
  <si>
    <t>WOS:000225451500007</t>
  </si>
  <si>
    <t>Esser, H</t>
  </si>
  <si>
    <t>Does the new immigration require a new theory of intergenerational integration?</t>
  </si>
  <si>
    <t>ETHNIC-INEQUALITY; ASSIMILATION; SEGREGATION; LANGUAGE; GERMANY; MODEL</t>
  </si>
  <si>
    <t>Starting from discussions on the validity of the classical assimilation concept, a general model for the explanation of different structural outcomes of interethnic relations is developed. The core of the model builds on the assumption that different outcomes are the often unintended and situation-logic results of (mis-) investments in and with ethnic and non-ethnic capital. Central initial conditions of the model are group size, social and cultural distances and the availability of social capital. The model specifies the mutual relations between these three constructs. Different variants of intergenerational integration of immigrants can thus be reconstructed as special cases of a general mechanism.</t>
  </si>
  <si>
    <t>Univ Mannheim, D-6800 Mannheim 1, Germany</t>
  </si>
  <si>
    <t>Esser, H (corresponding author), Univ Mannheim, D-6800 Mannheim 1, Germany.</t>
  </si>
  <si>
    <t>WOS:000225451500011</t>
  </si>
  <si>
    <t>Wildsmith, E</t>
  </si>
  <si>
    <t>Race/ethnic differences in female headship: Exploring the assumptions of assimilation theory</t>
  </si>
  <si>
    <t>UNITED-STATES; MEXICAN-AMERICANS; FAMILIES; ORIGIN; COHABITATION; IMMIGRATION; HISPANICS; FERTILITY; PATTERNS; MARRIAGE</t>
  </si>
  <si>
    <t>Objective. This article conducts a comparative analysis of temporal and generational patterns in Mexican-American female headship compared to patterns for non-Hispanic whites and non-Hispanic blacks. These patterns are explored within two frameworks of assimilation, the more general assimilation perspective and the segmented assimilation perspective. Methods. Logistic regression analysis looking at female headship is conducted using the 1960-1990 IPUMS. Additional analyses use the 1995 CPS to look at intergenerational patterns of female headship, divorce, and nonmarital fertility among Mexican-origin women relative to other groups of women. Results. Analysis using the IPUMS finds that U.S.-born Mexican-origin women have higher levels of female headship in every year compared to white women, and this difference has actually increased over time. Additionally, analysis using the 1995 CPS finds that while levels of female headship for second-generation Mexican-origin women are no higher, levels for third-generation Mexican-origin women far surpass those of white women. The high levels of female headship and the proportion of never married women with children in the household among third-generation Mexican-American women are startling and lend more support to a segmented assimilation framework.</t>
  </si>
  <si>
    <t>Univ Texas, Populat Res Ctr, Austin, TX 78712 USA</t>
  </si>
  <si>
    <t>Wildsmith, E (corresponding author), Univ Texas, Populat Res Ctr, 1 Univ Stn G1800, Austin, TX 78712 USA.</t>
  </si>
  <si>
    <t>lizyw@prc.utexas.edu</t>
  </si>
  <si>
    <t>10.1111/j.0038-4941.2004.08501007.x</t>
  </si>
  <si>
    <t>773HU</t>
  </si>
  <si>
    <t>WOS:000188893300007</t>
  </si>
  <si>
    <t>Del Pilar, JA; Udasco, JO</t>
  </si>
  <si>
    <t>Marginality theory: The lack of construct validity</t>
  </si>
  <si>
    <t>marginality; Hispanics; construct validity; acculturation; minority and ethnic groups</t>
  </si>
  <si>
    <t>ACCULTURATIVE STRESS; OD PRACTITIONER; PERSONALITY; ADJUSTMENT; IDENTITY; CHILDREN; REFUGEES; HEALTH; FAMILY; GENDER</t>
  </si>
  <si>
    <t>The 75-year history of marginality theory is reviewed and evaluated, leading to the recommendation that the use of the marginality idea be discarded by social scientists because it lacks construct validity. A review of the literature reveals that, at present, the concept of marginality is employed in five different social science lines of investigation. These models are examined from the perspective of their contribution to the validity of the construct and are found wanting. Marginality is shown to be a concept that did not fulfill its promise of explaining the effects on people of immigration, culture clash, and other transitional situations, such as status, role, or class changes. Evidence is presented that marginality is unscientifically founded and has been applied so indiscriminately as to be useless in the social sciences.</t>
  </si>
  <si>
    <t>Univ Med &amp; Dent New Jersey, Newark, NJ 07103 USA</t>
  </si>
  <si>
    <t>10.1177/0739986303261813</t>
  </si>
  <si>
    <t>767RF</t>
  </si>
  <si>
    <t>WOS:000188465900001</t>
  </si>
  <si>
    <t>Alitolppa-Niitamo, A</t>
  </si>
  <si>
    <t>Somali youth in the context of schooling in metropolitan Helsinki: A framework for assessing variability in educational performance</t>
  </si>
  <si>
    <t>immigrants; refugees; second generation; school performance; Somalis</t>
  </si>
  <si>
    <t>RECONSIDERING ANTHROPOLOGICAL EXPLANATIONS; SEGMENTED ASSIMILATION; 2ND-GENERATION; IMMIGRANT; ETHNICITY; STUDENTS; FAILURE; ENGLAND; AGE</t>
  </si>
  <si>
    <t>This article presents a framework that emphasises the multiplicity of factors explaining the educational performance of second-generation immigrants. The framework is illustrated by an example taken from the Somali-speaking population of metropolitan Helsinki. The multivariate framework, which is probabilistic rather than deterministic, acknowledges a multitude of factors that interact in a complex manner and affect the school performance of students. Each factor may prove to be a resource or a challenge for educational performance. The various combinations of variables are claimed to produce segmentation in the acculturation paths both within and between ethnic groups. Judging from ethnographic data, many challenges are present in the case of Somali-speaking students.</t>
  </si>
  <si>
    <t>Family Federat Finland, FIN-00101 Helsinki, Finland</t>
  </si>
  <si>
    <t>Alitolppa-Niitamo, A (corresponding author), Family Federat Finland, POB 849, FIN-00101 Helsinki, Finland.</t>
  </si>
  <si>
    <t>niitamo@vaestoliitto.fi</t>
  </si>
  <si>
    <t>10.1080/1369183032000170187</t>
  </si>
  <si>
    <t>769KK</t>
  </si>
  <si>
    <t>WOS:000188649100005</t>
  </si>
  <si>
    <t>Kates, SM; Goh, C</t>
  </si>
  <si>
    <t>Brand morphing - Implications for advertising theory and practice</t>
  </si>
  <si>
    <t>JOURNAL OF ADVERTISING</t>
  </si>
  <si>
    <t>CONSUMPTION; CULTURE; MEANINGS; COMMUNICATION; ACCULTURATION; EXPLORATION; DISCOURSES; IMMIGRANTS; MARKETS; MODEL</t>
  </si>
  <si>
    <t>Contemporary cultural conditions present many challenges to academians' and practitioners' understandings of the ways consumers interpret brands and advertising. This article advances the concept of brand morphing, that is, the ways that brand meanings change among different groupings of consumers as facilitated by ad practitioners' efforts to accommodate, reinforce, and create diverse cultural meanings across different international markets. Depth interview data from a study of ad practitioners illustrate the ways that ad professionals accommodate, work with, and reinforce perceived foreign cultural differences that exist across target markets. Finally, brand morphing's usefulness and relevance to contemporary advertising theory and practice is discussed.</t>
  </si>
  <si>
    <t>Simon Fraser Univ, Burnaby, BC V5A 1S6, Canada; Monash Univ, Melbourne, Vic 3004, Australia</t>
  </si>
  <si>
    <t>Kates, SM (corresponding author), Simon Fraser Univ, Burnaby, BC V5A 1S6, Canada.</t>
  </si>
  <si>
    <t>0091-3367</t>
  </si>
  <si>
    <t>1557-7805</t>
  </si>
  <si>
    <t>J ADVERTISING</t>
  </si>
  <si>
    <t>J. Advert.</t>
  </si>
  <si>
    <t>SPR</t>
  </si>
  <si>
    <t>10.1080/00913367.2003.10639049</t>
  </si>
  <si>
    <t>Business; Communication</t>
  </si>
  <si>
    <t>Business &amp; Economics; Communication</t>
  </si>
  <si>
    <t>668LZ</t>
  </si>
  <si>
    <t>WOS:000182296600006</t>
  </si>
  <si>
    <t>Constantine, MG; Gushue, GV</t>
  </si>
  <si>
    <t>School counselors' ethnic tolerance attitudes and racism attitudes as predictors of their multicultural case conceptualization of an immigrant student</t>
  </si>
  <si>
    <t>JOURNAL OF COUNSELING AND DEVELOPMENT</t>
  </si>
  <si>
    <t>SOCIAL DESIRABILITY; SELF; COMPETENCE; ACHIEVEMENT; ADOLESCENTS; ADJUSTMENT; ACCULTURATION; FAMILIES; IDENTITY; ABILITY</t>
  </si>
  <si>
    <t>This study examined the extent to which school counselors' ethnic tolerance attitudes and racism attitudes were predictive of their multicultural case conceptualization ability (i.e., ability to conceptualize the mental health concerns of an immigrant student in light of salient cultural, information). Results revealed that, after accounting for prior multicultural counseling training, higher ethnic tolerance attitudes were associated with greater multicultural case conceptualization ability, while higher racism attitudes were related to lower multicultural case conceptualization ability. Implications of the findings are discussed.</t>
  </si>
  <si>
    <t>Columbia Univ, Teachers Coll, Dept Counseling &amp; Clin Psychol, New York, NY 10027 USA</t>
  </si>
  <si>
    <t>Constantine, MG (corresponding author), Columbia Univ, Teachers Coll, Dept Counseling &amp; Clin Psychol, 525 W 120th St,Box 92, New York, NY 10027 USA.</t>
  </si>
  <si>
    <t>AMER COUNSELING ASSOC</t>
  </si>
  <si>
    <t>ALEXANDRIA</t>
  </si>
  <si>
    <t>5999 STEVENSON AVE, ALEXANDRIA, VA 22304-3300 USA</t>
  </si>
  <si>
    <t>0748-9633</t>
  </si>
  <si>
    <t>J COUNS DEV</t>
  </si>
  <si>
    <t>J. Couns. Dev.</t>
  </si>
  <si>
    <t>10.1002/j.1556-6678.2003.tb00240.x</t>
  </si>
  <si>
    <t>676HG</t>
  </si>
  <si>
    <t>WOS:000182744800007</t>
  </si>
  <si>
    <t>Ben-Shalom, U; Horenczyk, G</t>
  </si>
  <si>
    <t>Acculturation orientations - A facet theory perspective on the bidimensional model</t>
  </si>
  <si>
    <t>JOURNAL OF CROSS-CULTURAL PSYCHOLOGY</t>
  </si>
  <si>
    <t>acculturation; facet theory; multidimensional scaling; ethnic identity; cultural identity</t>
  </si>
  <si>
    <t>RADEX STRUCTURE; ADAPTATION</t>
  </si>
  <si>
    <t>This study applies facet theory to validate Berry's bidimensional conceptualization and measurement of acculturation attitudes and its extension by Horenczyk to include acculturation expectations. Three components of facet theory (mapping sentence, confirmatory SSA [smallest space analysis], and SSA with external variables) are proposed as valuable tools for the purpose of cross-cultural validation and theory building. In total, 526 Israeli immigrants from the former Soviet Union completed questionnaires assessing own and perceived expected acculturation attitudes, as well as a questionnaire measuring the strength of their cultural identities. The bidimensional radex configuration of acculturation attitudes confirms expected distinctions (a) between integration, separation, assimilation, and marginalization types of acculturation attitudes and (b) between similarly structured own immigrants' attitudes and the expectations attributed to hosts. Moreover, the distinct placement of group identifications and sociodemographic characteristics as external variables in the bidimensional space corroborates the concurrent and discriminant validity of the acculturation model and measurement.</t>
  </si>
  <si>
    <t>Hebrew Univ Jerusalem, Sch Educ, Jerusalem, Israel</t>
  </si>
  <si>
    <t>gabriel@vms.huji.ac.il</t>
  </si>
  <si>
    <t>ben shalom, uzi/0000-0002-1988-0744</t>
  </si>
  <si>
    <t>0022-0221</t>
  </si>
  <si>
    <t>1552-5422</t>
  </si>
  <si>
    <t>J CROSS CULT PSYCHOL</t>
  </si>
  <si>
    <t>J. Cross-Cult. Psychol.</t>
  </si>
  <si>
    <t>10.1177/0022022102250249</t>
  </si>
  <si>
    <t>647JQ</t>
  </si>
  <si>
    <t>WOS:000181090000003</t>
  </si>
  <si>
    <t>Potocky-Tripodi, M</t>
  </si>
  <si>
    <t>Refugee economic adaptation: Theory, evidence, and implications for policy and practice</t>
  </si>
  <si>
    <t>JOURNAL OF SOCIAL SERVICE RESEARCH</t>
  </si>
  <si>
    <t>refugees; resettlement; economic adaptation; Hmong; Somali; Russian</t>
  </si>
  <si>
    <t>SOUTHEAST-ASIAN REFUGEES; UNITED-STATES; ADJUSTMENT; SPONSORSHIP; PREDICTORS; CUBAN</t>
  </si>
  <si>
    <t>A theoretical model of predictors of refugee economic adaptation was tested Using data from a telephone survey of a random sample of Hmong, Somali, and Russian refugees resettled ill Minneapolis -St. Paul. The Study examined the relative influence of demographic characteristics, flight-related characteristics, host-related characteristics, residency characteristics, acculturation characteristics, and adaptation stresses upon refugees' employment status and estimated earnings. Although previous Studies have extensively examined demographic and residency characteristics, the relative influence of the other factors has not been comprehensively investigated. Multivariate analyses indicated that across the different refugee groups, the model explained 34-44% of the variance in employment status and 12-26% of the variance in estimated earnings. Consistent with previous findings, demographic characteristics, in particular, education, gender, and household composition, had the largest effects oil the indicators of economic adaptation. The remaining factors had relatively small effects. The implications for refugee resettlement theory, policy, practice, and future research are discussed in light of these and previous findings. (C) 2003 by The Haworth Press, Inc. All rights reserved.</t>
  </si>
  <si>
    <t>Florida Int Univ, Sch Social Work, Miami, FL 33199 USA</t>
  </si>
  <si>
    <t>Potocky-Tripodi, M (corresponding author), Florida Int Univ, Sch Social Work, Univ Pk,ECS 460, Miami, FL 33199 USA.</t>
  </si>
  <si>
    <t>HAWORTH PRESS INC</t>
  </si>
  <si>
    <t>BINGHAMTON</t>
  </si>
  <si>
    <t>10 ALICE ST, BINGHAMTON, NY 13904-1580 USA</t>
  </si>
  <si>
    <t>0148-8376</t>
  </si>
  <si>
    <t>J SOC SERV RES</t>
  </si>
  <si>
    <t>J. Soc. Serv. Res.</t>
  </si>
  <si>
    <t>10.1300/J079v30n01_04</t>
  </si>
  <si>
    <t>755XZ</t>
  </si>
  <si>
    <t>WOS:000187437900004</t>
  </si>
  <si>
    <t>Reitz, JG</t>
  </si>
  <si>
    <t>Host societies and the reception of immigrants: Research themes, emerging theories and methodological issues</t>
  </si>
  <si>
    <t>Research on the reception and integration of immigrants now recognizes more explicitly the impact that characteristics of societies have as they play host to immigrants. This brief introduction to six papers - by Kasinitz, Mollenkopf and Waters; Boyd; Model and Lin; Borjas; Martin; and Castles - shows how they reflect a research emphasis on four interrelated features of host societies: 1) pre-existing ethnic and race relations, 2) labor markets and related institutions, 3) government policies and programs both for immigration and for broader institutional regulation, and 4) the changing nature of international boundaries, part of the process of globalization. Cultural dimensions permeate analyses of each of these four aspects. Together with others in a larger collection of 18 papers developing this theme (scheduled for publication as a book by the Centre for Comparative Immigration Studies, University of California at San Diego), the various analyses suggest elements useful in constructing a theory of immigrant reception and incorporation taking proper account of the impact of host societies.</t>
  </si>
  <si>
    <t>Univ Toronto, Toronto, ON, Canada</t>
  </si>
  <si>
    <t>Reitz, JG (corresponding author), Univ Toronto, 100 Coll St, Toronto, ON, Canada.</t>
  </si>
  <si>
    <t>637BT</t>
  </si>
  <si>
    <t>WOS:000180492300001</t>
  </si>
  <si>
    <t>Jackson, JS</t>
  </si>
  <si>
    <t>Conceptual and methodological linkages in cross-cultural groups and cross-national aging research</t>
  </si>
  <si>
    <t>REGIONAL DEMOGRAPHICS; MOVING CULTURES; FOREIGN-BORN; ACCULTURATION; IMMIGRATION; WOMEN; US</t>
  </si>
  <si>
    <t>The international growth and the expected size of older populations require effective research strategies in life-course development and aging research across the globe. New conceptual frameworks and empirical research approaches are needed that are sensitive to similarities and differences in aging related processes across national, ethnic, and cultural group boundaries. These models and research approaches should contribute to distinguishing, aging-in-place-of-origin froth aging-out-of-place-of-origin, and the influences of. such factors as nationality, culturally affected behaviors, acculturation and intra-familial processes, on intra- and cross-country comparisons of aging related phenomena. Brief examples of how these new frameworks can be applied in addressing both theoretical and practical service issues are drawn from the aging research foci of the articles in this issue.</t>
  </si>
  <si>
    <t>Univ Michigan, Inst Social Res, Ann Arbor, MI 48106 USA</t>
  </si>
  <si>
    <t>Jackson, JS (corresponding author), Univ Michigan, Inst Social Res, Ann Arbor, MI 48106 USA.</t>
  </si>
  <si>
    <t>jamessj@umich.edu</t>
  </si>
  <si>
    <t>10.1111/1540-4560.00292</t>
  </si>
  <si>
    <t>631HH</t>
  </si>
  <si>
    <t>WOS:000180161700013</t>
  </si>
  <si>
    <t>Kim, IJ; Zane, NWS; Hong, S</t>
  </si>
  <si>
    <t>Protective factor against substance use among Asian American youth: A test of the peer cluster theory</t>
  </si>
  <si>
    <t>JOURNAL OF COMMUNITY PSYCHOLOGY</t>
  </si>
  <si>
    <t>ADOLESCENT DRUG-USE; RISK-FACTORS; FAMILY-STRUCTURE; INDOCHINESE REFUGEES; ETHNIC-DIFFERENCES; ALCOHOL; ABUSE; ACCULTURATION; MODELS; PERSONALITY</t>
  </si>
  <si>
    <t>Few viable theoretical models of risk and protective factors for adolescent substance use have been empirically tested on diverse populations. The purpose of this study was twofold. First, the cross-cultural validity 4, Oetting and Beauvais' (1987) peer cluster theory was tested on a sample of Asian American youth. Second , the effect of youths' immigration experience on the relationship among the protective factors was examined. Results showed partial support for the validity of the peer cluster model for this sample. As hypothesized, the peer domain variable Was significantly related to substance use, while the family domain variable served as a Protective factor against substance use. However, the school domain variable did not have any direct or indirect effects on substance use. There were no significant differences in the path model when the sample was split according to youth immigrant status. Implications for substance use Prevention are discussed. (C) 2002 Wiley Periodicals,. Inc.</t>
  </si>
  <si>
    <t>Univ Calif Davis, Dept Human &amp; Community Dev, Davis, CA 95616 USA; Univ Calif Santa Barbara, Santa Barbara, CA 93106 USA</t>
  </si>
  <si>
    <t>Kim, IJ (corresponding author), Univ Calif Davis, Dept Human &amp; Community Dev, 1 Shields Ave, Davis, CA 95616 USA.</t>
  </si>
  <si>
    <t>Park, Irene J. K./D-1798-2010</t>
  </si>
  <si>
    <t>JOHN WILEY &amp; SONS INC</t>
  </si>
  <si>
    <t>111 RIVER ST, HOBOKEN, NJ 07030 USA</t>
  </si>
  <si>
    <t>0090-4392</t>
  </si>
  <si>
    <t>J COMMUNITY PSYCHOL</t>
  </si>
  <si>
    <t>J. Community Psychol.</t>
  </si>
  <si>
    <t>10.1002/jcop.10022</t>
  </si>
  <si>
    <t>585ZJ</t>
  </si>
  <si>
    <t>WOS:000177557200006</t>
  </si>
  <si>
    <t>Barnett, C; Mencken, FC</t>
  </si>
  <si>
    <t>Social disorganization theory and the contextual nature of crime in nonmetropolitan counties</t>
  </si>
  <si>
    <t>RURAL SOCIOLOGY</t>
  </si>
  <si>
    <t>Annual Meeting of Rural-Sociological-Society</t>
  </si>
  <si>
    <t>WASHINGTON, D.C.</t>
  </si>
  <si>
    <t>Rural Sociol Soc</t>
  </si>
  <si>
    <t>COMMUNITY ATTACHMENT; HOMICIDE RATES; UNITED-STATES; IMPACT; URBAN; DELINQUENCY; INEQUALITY; MIGRATION; POVERTY; GROWTH</t>
  </si>
  <si>
    <t>This research explores violent and property crime rates in nonmetropolitan Counties. It is argued that crime rates are lower in these counties because of higher levels of social integration. We test the hypothesis that predictors of crime front social disorganization theory exert different effects on violent and property crimes at different levels of population change in nonmetropolitan counties. We use a spatial lag regression model to predict the 1989-1991 average violent and property crime rates for these counties, taken front the Uniform Crime Reports (UCR). The results show that a factor-analyzed index of resource disadvantage (poverty rate, income inequality, unemployment, percent female-headed households) has different effects on both violent and property crime at different levels of population change in nonmetropolitan counties. Contrary to expectations, we find that resource disadvantage exerts a greater positive effect on both violent and property crimes in nonmetropolitan counties that lost population between 1980 and 1990. Implications for theory and research are discussed.</t>
  </si>
  <si>
    <t>0036-0112</t>
  </si>
  <si>
    <t>1549-0831</t>
  </si>
  <si>
    <t>RURAL SOCIOL</t>
  </si>
  <si>
    <t>Rural Sociol.</t>
  </si>
  <si>
    <t>10.1111/j.1549-0831.2002.tb00109.x</t>
  </si>
  <si>
    <t>589VG</t>
  </si>
  <si>
    <t>WOS:000177780700003</t>
  </si>
  <si>
    <t>Hyman, I; Guruge, S</t>
  </si>
  <si>
    <t>A review of theory and health promotion strategies for new immigrant women</t>
  </si>
  <si>
    <t>CANADIAN JOURNAL OF PUBLIC HEALTH-REVUE CANADIENNE DE SANTE PUBLIQUE</t>
  </si>
  <si>
    <t>AMERICAN WOMEN; UNITED-STATES; PAP SMEAR; ACCULTURATION; HISPANICS; SMOKING; CANCER</t>
  </si>
  <si>
    <t>Background: There has been little empirical research on the best ways to influence women's health behaviour, particularly among women who are recent immigrants to Canada. Methods: This paper presents information from a literature review conducted for the Ontario Women's Health Council on effective theoretical models and health promotion strategies for women. Findings: Health promotion activities for all women should address theoretical variables as well as the broader determinants of women's health. New immigrant women represent a diverse group who often face multiple cultural, linguistic and systemic barriers to adopting and maintaining healthy behaviour. Interpretation: Many theoretical constructs of potential importance to recent immigrant women have not been adequately researched. More research is also needed on the relevancy and the applicability of commonly used health promotion approaches for this group.</t>
  </si>
  <si>
    <t>Ctr Res Womens Hlth, Toronto, ON M5G 1N8, Canada; Univ Toronto, Fac Nursing, Toronto, ON, Canada</t>
  </si>
  <si>
    <t>Hyman, I (corresponding author), Ctr Res Womens Hlth, 790 Bay St,7th Floor, Toronto, ON M5G 1N8, Canada.</t>
  </si>
  <si>
    <t>ilene.hyman@swchsc.on.ca</t>
  </si>
  <si>
    <t>Guruge, Sepali/0000-0002-8459-2319</t>
  </si>
  <si>
    <t>SPRINGER INTERNATIONAL PUBLISHING AG</t>
  </si>
  <si>
    <t>CHAM</t>
  </si>
  <si>
    <t>GEWERBESTRASSE 11, CHAM, CH-6330, SWITZERLAND</t>
  </si>
  <si>
    <t>0008-4263</t>
  </si>
  <si>
    <t>1920-7476</t>
  </si>
  <si>
    <t>CAN J PUBLIC HEALTH</t>
  </si>
  <si>
    <t>Can. J. Public Health-Rev. Can. Sante Publ.</t>
  </si>
  <si>
    <t>10.1007/BF03404997</t>
  </si>
  <si>
    <t>557NA</t>
  </si>
  <si>
    <t>WOS:000175913600007</t>
  </si>
  <si>
    <t>Constant, A; Massey, DS</t>
  </si>
  <si>
    <t>Return migration by German guestworkers: Neoclassical versus new economic theories</t>
  </si>
  <si>
    <t>INTERNATIONAL MIGRATION</t>
  </si>
  <si>
    <t>COHORT QUALITY; UNITED-STATES; IMMIGRANTS; EMIGRATION; ASSIMILATION; EARNINGS</t>
  </si>
  <si>
    <t>Neoclassical economics and the new economics of labour migration posit very different motivations for international migration. The former assumes that people move abroad permanently to maximize lifetime earnings whereas the latter assumes they leave temporarily to overcome market deficiencies at home. As a result, the two models yield very different conceptualizations of return migration. We draw upon each theoretical model to derive predictions about how different variables are likely to influence the probability of return migration. We use data from the German Socio-economic Panel to test specific hypotheses derived from each model. Finding some support for both perspectives, we suggest that migrants may be heterogeneous with respect to their migratory motivations. If so, then parameters associated with the determinants of return migration in any population of international migration will reflect a blending of parameters associated with two distinct economic rationales. Equations estimated separately for remitting and non-remitting migrants lend support to this interpretation, meaning there may not be one unitary process of return migration, but several.</t>
  </si>
  <si>
    <t>Univ Penn, Ctr Populat Studies, Philadelphia, PA 19104 USA</t>
  </si>
  <si>
    <t>Constant, A (corresponding author), Univ Penn, Ctr Populat Studies, Philadelphia, PA 19104 USA.</t>
  </si>
  <si>
    <t>Constant, Amelie F./N-4457-2016</t>
  </si>
  <si>
    <t>Constant, Amelie F./0000-0002-5817-8579</t>
  </si>
  <si>
    <t>INT ORGANIZATION MIGRATION</t>
  </si>
  <si>
    <t>GENEVA 19</t>
  </si>
  <si>
    <t>PO BOX 71, CH-1211 GENEVA 19, SWITZERLAND</t>
  </si>
  <si>
    <t>0020-7985</t>
  </si>
  <si>
    <t>INT MIGR</t>
  </si>
  <si>
    <t>Int. Migr.</t>
  </si>
  <si>
    <t>10.1111/1468-2435.00204</t>
  </si>
  <si>
    <t>601WT</t>
  </si>
  <si>
    <t>WOS:000178472300002</t>
  </si>
  <si>
    <t>Liou, D; Contento, IR</t>
  </si>
  <si>
    <t>Usefulness of psychosocial theory variables in explaining fat-related dietary behavior in Chinese Americans: Association with degree of acculturation</t>
  </si>
  <si>
    <t>JOURNAL OF NUTRITION EDUCATION</t>
  </si>
  <si>
    <t>Chinese Americans; psychosocial theory; dietary fat</t>
  </si>
  <si>
    <t>SELF-EFFICACY; FOOD-CONSUMPTION; NUTRITION; ATTITUDES; POPULATIONS; KNOWLEDGE; MODEL; WOMEN; MEN</t>
  </si>
  <si>
    <t>Objective: To determine the usefulness of variables from psychosocial models of health behavior in explaining fat-related dietary behavior among a sample of Chinese Americans. Design: A survey questionnaire was administered to a convenience sample of Chinese Americans and analyzed for descriptive statistics and relationships among variables. Subjects/Settings: Participants were 600 healthy individuals, ranging from 21 to 70 years of age, living in New York City. Variables Measured: Demographic factors, degree of acculturation, food preferences, and 13 social psychological scales derived from the Theory of Planned Behavior, the Healthy Belief Model, and Social Cognitive Theory. Dependent measures assessed were intention to reduce dietary fat and behaviors related to the selection of reduced-fat diets. Statistical Analyses: Descriptive statistics, Pearsons' correlation coefficients, t-tests, one-way analysis of variance, and multiple regression analyses were used. Results: Attitude, overall health concern, and self-efficacy accounted for 58% of the variance in behavioral intention for the entire sample. Attitude, perceived barriers, and self-efficacy accounted for 19% of the variance in the prediction of dietary fat reduction behaviors. In general, a gradient was seen in the increased predictiveness of cacti regression model by degree of acculturation of the immigrants to American culture: predictiveness (R2) for behavior ranged from 15% for the least to 34%, for the most acculturated. Acculturation was significantly related to declines in the influence of habit and of social norms. These effects were not seen by length of residency. Implications: Nutrition educators should assess the degree of acculturation of groups with whom they work and recognize that the degree of acculturation impacts the relative importance of various psychosocial variables in fat reduction behaviors.</t>
  </si>
  <si>
    <t>Montclair State Univ, Dept Human Ecol, Montclair, NJ 07043 USA</t>
  </si>
  <si>
    <t>Liou, D (corresponding author), Montclair State Univ, Dept Human Ecol, Montclair, NJ 07043 USA.</t>
  </si>
  <si>
    <t>B C DECKER INC</t>
  </si>
  <si>
    <t>HAMILTON</t>
  </si>
  <si>
    <t>20 HUGHSON ST SOUTH, PO BOX 620, L C D 1, HAMILTON, ONTARIO L8N 3K7, CANADA</t>
  </si>
  <si>
    <t>0022-3182</t>
  </si>
  <si>
    <t>J NUTR EDUC</t>
  </si>
  <si>
    <t>J. Nutr. Educ.</t>
  </si>
  <si>
    <t>10.1016/S1499-4046(06)60354-0</t>
  </si>
  <si>
    <t>Education, Scientific Disciplines; Nutrition &amp; Dietetics</t>
  </si>
  <si>
    <t>Education &amp; Educational Research; Nutrition &amp; Dietetics</t>
  </si>
  <si>
    <t>503MC</t>
  </si>
  <si>
    <t>WOS:000172801400003</t>
  </si>
  <si>
    <t>Hattam, VC</t>
  </si>
  <si>
    <t>Whiteness: Theorizing race, eliding ethnicity (race and labor in America)</t>
  </si>
  <si>
    <t>INTERNATIONAL LABOR AND WORKING-CLASS HISTORY</t>
  </si>
  <si>
    <t>Arnesen too quickly dismisses recent whiteness scholarship without first taking stock of the ways in which this work has transformed the research agenda in labor history and beyond. Whiteness scholars have made three important contributions: theorizing class as identification, historicizing race, and centering the nation. After briefly elaborating on each of these contributions, I argue that this body of new research has been limited both by its inattention to the specificity of ethnic identification and by its acceptance of the standard assimilation narratives of American immigration history. Addressing these limitations points the way to some fruitful lines of new research.</t>
  </si>
  <si>
    <t>New Sch Social Res, New York, NY 10011 USA</t>
  </si>
  <si>
    <t>Hattam, VC (corresponding author), New Sch Social Res, New York, NY 10011 USA.</t>
  </si>
  <si>
    <t>0147-5479</t>
  </si>
  <si>
    <t>1471-6445</t>
  </si>
  <si>
    <t>INT LABOR WORK-CLASS</t>
  </si>
  <si>
    <t>Int. Lab. Work.-Class Hist.</t>
  </si>
  <si>
    <t>History; Industrial Relations &amp; Labor</t>
  </si>
  <si>
    <t>History; Business &amp; Economics</t>
  </si>
  <si>
    <t>492EC</t>
  </si>
  <si>
    <t>WOS:000172154600006</t>
  </si>
  <si>
    <t>Congdon, JD; Dunham, AE; Hopkins, WA; Rowe, CL; Hinton, TG</t>
  </si>
  <si>
    <t>Resource allocation-based life histories: A conceptual basis for studies of ecological toxicology</t>
  </si>
  <si>
    <t>ENVIRONMENTAL TOXICOLOGY AND CHEMISTRY</t>
  </si>
  <si>
    <t>20th Annual Meeting of the Society-of-Environmental-Toxicology-and-Chemistry</t>
  </si>
  <si>
    <t>NOV 14-20, 1999</t>
  </si>
  <si>
    <t>PHILADELPHIA, PA</t>
  </si>
  <si>
    <t>Soc Environm Toxicol &amp; Chem</t>
  </si>
  <si>
    <t>resource allocation; life history; energy budget; metabolism</t>
  </si>
  <si>
    <t>BODY ELECTRICAL-CONDUCTIVITY; STANDARD METABOLIC-RATE; SWIMMING PERFORMANCE; REPRODUCTIVE EFFORT; NATURAL-SELECTION; ENERGETICS; EXPOSURE; STRESS; COSTS; EVOLUTION</t>
  </si>
  <si>
    <t>Whereas ecological assessments of contaminants are concerned with populations and higher levels of organization, most mechanistic work in toxicology is directed at effects on individuals and their parts. We propose that studies based on individuals can be useful in ecological analysis of polluted systems when based on the concepts of resource allocation-based life history analysis. At the heart of the resource allocation approach is the concept of operative environments of individuals (i.e., environmental factors influencing birth, death, or migration). Contaminants can have strong influences on operative environments, modifying resource allocation strategies that reflect changes in energy assimilation and demands. By examining contaminant-induced responses of individuals from the perspective of changing operative environments, individual-based changes and population dynamics can be addressed in an ecologically rigorous manner.</t>
  </si>
  <si>
    <t>Univ Georgia, Savannah River Ecol Lab, Aiken, SC 29802 USA; Univ Penn, Dept Biol, Philadelphia, PA 19104 USA; Univ S Carolina, Dept Biol, Columbia, SC 29208 USA; Univ Maryland, Chesapeake Biol Lab, Ctr Environm Sci, Solomons, MD 20688 USA</t>
  </si>
  <si>
    <t>Congdon, JD (corresponding author), Univ Georgia, Savannah River Ecol Lab, PO Drawer E, Aiken, SC 29802 USA.</t>
  </si>
  <si>
    <t>congdon@srel.edu</t>
  </si>
  <si>
    <t>Rowe, Christopher/D-5271-2012</t>
  </si>
  <si>
    <t>Rowe, Christopher/0000-0001-9502-9225</t>
  </si>
  <si>
    <t>0730-7268</t>
  </si>
  <si>
    <t>1552-8618</t>
  </si>
  <si>
    <t>ENVIRON TOXICOL CHEM</t>
  </si>
  <si>
    <t>Environ. Toxicol. Chem.</t>
  </si>
  <si>
    <t>10.1002/etc.5620200811</t>
  </si>
  <si>
    <t>Environmental Sciences; Toxicology</t>
  </si>
  <si>
    <t>Environmental Sciences &amp; Ecology; Toxicology</t>
  </si>
  <si>
    <t>455JB</t>
  </si>
  <si>
    <t>WOS:000170022800011</t>
  </si>
  <si>
    <t>Yoshihama, M</t>
  </si>
  <si>
    <t>Immigrants-in-context framework: understanding the interactive influence of socio-cultural contexts</t>
  </si>
  <si>
    <t>EVALUATION AND PROGRAM PLANNING</t>
  </si>
  <si>
    <t>domestic violence; abuse; immigrants; socio-cultural context; culture; Japanese Americans</t>
  </si>
  <si>
    <t>ACCULTURATION; AMERICAN; WOMEN; HEALTH; PREVALENCE; MOBILITY; LATINA</t>
  </si>
  <si>
    <t>Research on immigrants is associated with many methodological challenges. Drawing from a recent study of domestic violence among four generations of Japanese American women, this paper elucidates approaches to address methodological challenges in research with immigrant populations. Preliminary studies in both the respondents' country of origin and the United States assisted the identification of socio-culturally rooted manifestations of partners' violence; the development of an expanded, socio-culturally relevant measure of domestic violence; and the examination of within-group variations in the perception about and coping responses to partners' violence. Based on the findings of this and other studies of immigrants, this paper proposes the Immigrants-in-Context framework to conceptualize immigrants' experiences in the context of interactive and transgenerational influences of the socio-cultural factors in the country of origin and those in the country of immigration/residence. This framework may be applicable to other research efforts aimed at understanding social issues affecting immigrant communities. (C) 2001 Elsevier Science Ltd. All rights reserved.</t>
  </si>
  <si>
    <t>Univ Michigan, Sch Social Work, Ann Arbor, MI 48109 USA</t>
  </si>
  <si>
    <t>Yoshihama, M (corresponding author), Univ Michigan, Sch Social Work, 1080 S Univ, Ann Arbor, MI 48109 USA.</t>
  </si>
  <si>
    <t>miekoy@umich.edu</t>
  </si>
  <si>
    <t>0149-7189</t>
  </si>
  <si>
    <t>1873-7870</t>
  </si>
  <si>
    <t>EVAL PROGRAM PLANN</t>
  </si>
  <si>
    <t>Eval. Program Plan.</t>
  </si>
  <si>
    <t>10.1016/S0149-7189(01)00021-0</t>
  </si>
  <si>
    <t>450AJ</t>
  </si>
  <si>
    <t>WOS:000169719100008</t>
  </si>
  <si>
    <t>Kivisto, P</t>
  </si>
  <si>
    <t>Theorizing transnational immigration: a critical review of current efforts</t>
  </si>
  <si>
    <t>transnational immigration; nation-state; assimilation; pluralism; citizenship; globalization</t>
  </si>
  <si>
    <t>INTERNATIONAL MIGRATION; ASSIMILATION; CITIZENSHIP; ETHNICITY; FUTURE; MODEL</t>
  </si>
  <si>
    <t>During the past decade, transnationalism has entered the lexicon of migration scholars. As with other terms used in the study of immigration and ethnicity, this concept suffers from ambiguity as a result of competing definitions that fail to specify the temporal and spatial parameters of the term and to adequately locate it vis-a-vis older concepts such as assimilation and cultural pluralism. This article offers a review and critique of the ways the term has come to be employed at the hands of key spokespersons that have articulated the most sustained theoretical rationales to date for transnationalism as a conceptual construct to account for new immigrant identities and communities. The conclusion of the essay offers in schematic form an alternative assessment of transnationalism that locates it as one potential subset of assimilation theory, rather than as an alternative to it.</t>
  </si>
  <si>
    <t>Augustana Coll, Dept Sociol, Rock Island, IL 61201 USA</t>
  </si>
  <si>
    <t>Kivisto, P (corresponding author), Augustana Coll, Dept Sociol, Rock Island, IL 61201 USA.</t>
  </si>
  <si>
    <t>ROUTLEDGE</t>
  </si>
  <si>
    <t>HANTS</t>
  </si>
  <si>
    <t>CUSTOMER SERVICES DEPT, RANKINE RD, BASINGSTOKE, HANTS RG24 8PR, ENGLAND</t>
  </si>
  <si>
    <t>10.1080/01419870120049789</t>
  </si>
  <si>
    <t>451GV</t>
  </si>
  <si>
    <t>WOS:000169793800002</t>
  </si>
  <si>
    <t>Nagasawa, R; Qian, ZC; Wong, P</t>
  </si>
  <si>
    <t>Theory of segmented assimilation and the adoption of marijuana use and delinquent behavior by Asian Pacific youth</t>
  </si>
  <si>
    <t>SOCIOLOGICAL QUARTERLY</t>
  </si>
  <si>
    <t>UNITED-STATES; DRINKING PATTERNS; ACCULTURATION; AMERICANS; ALCOHOL; VIETNAMESE; JAPANESE; MINORITY; RACE</t>
  </si>
  <si>
    <t>This article examines the adoption of behaviors of the teen drug and delinquent subcultures among Asian Pacific youth within the framework of the theory of segmented assimilation. Alejandro Portes and Min Zhou's theory offers a new perspective to the question: Under what conditions are youth susceptible to marijuana use and delinquent behavior? In contrast to Milton Gordon's classic one-path theory, segmented assimilation theory looks to the immigrant culture and social capital (e.g., social solidarity) as critical factors in the assimilation process. The theory suggests several different types of adaptation by immigrant youth and Asian youth born in the United States. The data from the Asian Student Drug Survey were used to analyze the patterns of marijuana use and delinquent behavior among Japanese, Chinese, Filipino, Korean, Southeast Asian, Asian Indian, and Pacific Islander youth, controlling for human capital and social capital, as well as other relevant factors. Logistic regression analysis was used to determine the factors that affect the odds of marijuana use and delinquent behavior for the seven ethnic groups in this study. The likelihood of marijuana use differed significantly among the ethnic groups. For example, Pacific Islander and Filipino youth were much more likely than Japanese youth to use marijuana. Korean, Southeast Asian, and Asian Indian youth did not differ significantly from the Japanese youth in marijuana use. Like the model that predicted marijuana use, the Chinese youth were least likely to engage in delinquent behavior, while Filipino and Pacific Islander youth were most likely. Segmented assimilation theory points to the importance of the human and social capital that serve to insulate youth from the influence of the teen drug and delinquent cultures.</t>
  </si>
  <si>
    <t>Arizona State Univ, Dept Sociol, Tempe, AZ 85287 USA; Univ Michigan, Ann Arbor, MI 48109 USA</t>
  </si>
  <si>
    <t>Nagasawa, R (corresponding author), Arizona State Univ, Dept Sociol, Tempe, AZ 85287 USA.</t>
  </si>
  <si>
    <t>UNIV CALIF PRESS</t>
  </si>
  <si>
    <t>BERKELEY</t>
  </si>
  <si>
    <t>C/O JOURNALS DIVISION, 2000 CENTER ST, STE 303, BERKELEY, CA 94704-1223 USA</t>
  </si>
  <si>
    <t>0038-0253</t>
  </si>
  <si>
    <t>SOCIOL QUART</t>
  </si>
  <si>
    <t>Sociol. Q.</t>
  </si>
  <si>
    <t>10.1111/j.1533-8525.2001.tb02405.x</t>
  </si>
  <si>
    <t>484GA</t>
  </si>
  <si>
    <t>WOS:000171680800003</t>
  </si>
  <si>
    <t>Smith, LR</t>
  </si>
  <si>
    <t>Intercultural network theory: A cross-paradigmatic approach to acculturation</t>
  </si>
  <si>
    <t>Conference on Interdisciplinary Theory and Research on Intercultural Relations</t>
  </si>
  <si>
    <t>MAR 19-21, 1998</t>
  </si>
  <si>
    <t>CA ST UNIV, FULLETON, FULLERTON, CA</t>
  </si>
  <si>
    <t>CSUF Sch Commun, Int Journal Intercultural Relat</t>
  </si>
  <si>
    <t>CA ST UNIV, FULLETON</t>
  </si>
  <si>
    <t>SOCIAL SUPPORT; CHINESE STUDENTS; UNITED-STATES; ADJUSTMENT; JAPAN; IMMIGRANTS</t>
  </si>
  <si>
    <t>The field of intercultural relations has devoted considerable attention to the idea of separate research paradigms. The distinctions between perspectives such as qualitative-quantitative, subjective-objective, functional-interpretive, etc., dominate theoretical and methodological writings. These distinctions ave important for outlining the parameters of various research programs, however, many interesting issues in the cultural adjustment process deny the dichotomization of experience and require an approach that addresses a reality that is both reliable and present while at the same lime situated and emergent. Recently our focus in the field has been trained on how we might bridge those distinct paradigms with a plausible intercultural theory. In the first portion of this article I outline three common research paradigms employed in intercultural relations. The social network perspective is then offered as a cross-paradigmatic research and theorizing approach. The conceptual history and relevant properties of social networks for intercultural research are described as part of the foundation for a theory of intercultural social networks that allows us to address the relational quality of intercultural interaction while acknowledging the stability of structural phenomena. I then propose seven assumptions and seven propositions comprising the beginning of a dynamic theory of intercultural social networks. Based upon the propositions put forward, future research avenues are suggested, I conclude that a socio-structural approach to acculturation, and the study of intercultural relations ill general, is uniquely suited to capture and reconcile situated, emergent phenomena with reliable, present phenomena and increase our understanding of inter-cultural relations. (C) 1999 Elsevier Science Ltd. All rights reserved.</t>
  </si>
  <si>
    <t>Northwestern Coll, Dept Commun Studies, St Paul, MN 55113 USA</t>
  </si>
  <si>
    <t>Smith, LR (corresponding author), Northwestern Coll, Dept Commun Studies, 300 Snelling Ave N, St Paul, MN 55113 USA.</t>
  </si>
  <si>
    <t>lrs@nwc.edu</t>
  </si>
  <si>
    <t>10.1016/S0147-1767(99)00013-9</t>
  </si>
  <si>
    <t>240NJ</t>
  </si>
  <si>
    <t>WOS:000082831800006</t>
  </si>
  <si>
    <t>Gale, N</t>
  </si>
  <si>
    <t>Residence, social mobility and practice theory: the case of Sephardic Jews of Sydney</t>
  </si>
  <si>
    <t>JOURNAL OF SOCIOLOGY</t>
  </si>
  <si>
    <t>This paper focuses on residential mobility of an ethnic group within a complex linkage between religion, ethnicity and race. It places the triangular transactional relationship between white Australian gentiles, white Ashkenazic Jews and Asian (non-white) Sephardic Jews together with the strategy of residential movement, within the conceptual framework of Bourdieu's Practice Theory. in doing so, the study highlights the unique situation of Sephardim as a fragmented minority within a larger minority (the Ashkenazic community), and within a multicultural ocean of migrants dominated by a white Angio-Celtic culture based on racial criteria. Supported by several case studies, the study shows how the practice of residential movement has changed the system, making it less rigid and more open to migrants, and how the gradually changing system has influenced the lives of the doers (Sephardic Jews). Specifically, the practice of residential movement has gradually increased diversity in the make-up of Australian residential structure. At the same time, this major social change has been accompanied by change in the make-up of the Sephardic community, involving reconstructed kinship relations and ethnic identities, particularly Sephardic acculturation into the Australianised Ashkenazi subsystem.</t>
  </si>
  <si>
    <t>Bar Ilan Univ, Dept Polit Sci, IL-52100 Ramat Gan, Israel</t>
  </si>
  <si>
    <t>Gale, N (corresponding author), Bar Ilan Univ, Dept Polit Sci, IL-52100 Ramat Gan, Israel.</t>
  </si>
  <si>
    <t>ADDISON WESLEY LONGMAN</t>
  </si>
  <si>
    <t>SOUTH MELBOURNE</t>
  </si>
  <si>
    <t>95 CONVENTRY ST, PO BOX 1024, SOUTH MELBOURNE, VIC 3205, AUSTRALIA</t>
  </si>
  <si>
    <t>0004-8690</t>
  </si>
  <si>
    <t>J SOCIOL</t>
  </si>
  <si>
    <t>J. Sociol.</t>
  </si>
  <si>
    <t>10.1177/144078339903500202</t>
  </si>
  <si>
    <t>239TK</t>
  </si>
  <si>
    <t>WOS:000082785600002</t>
  </si>
  <si>
    <t>Friis, R; Yngve, A; Persson, V</t>
  </si>
  <si>
    <t>Review of social epidemiologic research on migrants' health: findings, methodological cautions, and theoretical perspectives</t>
  </si>
  <si>
    <t>SCANDINAVIAN JOURNAL OF SOCIAL MEDICINE</t>
  </si>
  <si>
    <t>5th International Conference on Social Stress Research</t>
  </si>
  <si>
    <t>MAY 25-27, 1994</t>
  </si>
  <si>
    <t>HONOLULU, HI</t>
  </si>
  <si>
    <t>emigration and immigration; epidemiologic methods; social behavior disorders epidemiology</t>
  </si>
  <si>
    <t>CORONARY HEART-DISEASE; JAPANESE MEN; IMMIGRANTS; MIGRATION; ACCULTURATION; SWEDEN; REFUGEES; PREVALENCE; POPULATION; MORTALITY</t>
  </si>
  <si>
    <t>The phenomenon of world-wide immigration and migration has major implications for the health of the migrants in addition to its impact upon social and other service providers. Studies of migrants that utilize social epidemiologic methods fall within the traditional boundaries of descriptive and analytic approaches; this article reviews some of the studies that exemplify these approaches. It then suggests specific methodological issues and cautions pertaining to research on migrants and provides a theoretical model for organizing the diverse research studies that have been conducted. By stimulating discussion regarding social epidemiologic research on migrants' health, this model is intended to serve as a compass point for future research and needed interventions.</t>
  </si>
  <si>
    <t>Calif State Univ Long Beach, Dept Hlth Sci, Long Beach, CA 90840 USA; Karolinska Inst, Dept Med Nutr, Dept Biosci, Unit Prevent Nutr, Stockholm, Sweden</t>
  </si>
  <si>
    <t>Friis, R (corresponding author), Calif State Univ Long Beach, Dept Hlth Sci, 1250 Bellflower Blvd, Long Beach, CA 90840 USA.</t>
  </si>
  <si>
    <t>rfriis@csulb.edu</t>
  </si>
  <si>
    <t>Yngve, Agneta/0000-0002-7165-279X</t>
  </si>
  <si>
    <t>SCANDINAVIAN UNIVERSITY PRESS</t>
  </si>
  <si>
    <t>OSLO</t>
  </si>
  <si>
    <t>PO BOX 2959 TOYEN, JOURNAL DIVISION CUSTOMER SERVICE, N-0608 OSLO, NORWAY</t>
  </si>
  <si>
    <t>0300-8037</t>
  </si>
  <si>
    <t>SCAND J SOC MED</t>
  </si>
  <si>
    <t>Scand. J. Soc. Med.</t>
  </si>
  <si>
    <t>10.1177/14034948980260030601</t>
  </si>
  <si>
    <t>113YL</t>
  </si>
  <si>
    <t>WOS:000075581400003</t>
  </si>
  <si>
    <t>Singley, SG; Landale, NS</t>
  </si>
  <si>
    <t>Incorporating origin and process in migration-fertility frameworks: The case of Puerto Rican women</t>
  </si>
  <si>
    <t>SOCIAL FORCES</t>
  </si>
  <si>
    <t>UNITED-STATES; PREMARITAL CHILDBEARING; COHABITATION; MARRIAGE; ASSIMILATION; DISRUPTION; ADAPTATION; SELECTIVITY; IMMIGRANTS; PARENTHOOD</t>
  </si>
  <si>
    <t>Using life history data from both origin and destination areas, we examine the relationship between migration and fertility among Puerto Rican women. Our analysis extends previous research by including origin data; by measuring precisely the timing of migration, fertility and time-varying covariates; and by including single women in the analysis. Results reveal that single US-born nonmigrants have significantly higher rates of transition to first birth than nonmigrants in Puerto Rico, while married and cohabiting US-born nonmigrants have significantly lower rates. Selection effects for both single and married/cohabiting women indicate that migration to the US is an integral part of the family formation process. Our results highlight the need for a broadening of the traditional migration-fertility framework to encompass a wider range of family formation processes, including nonmarital fertility and union formation.</t>
  </si>
  <si>
    <t>Penn State Univ, Dept Sociol, University Pk, PA 16802 USA</t>
  </si>
  <si>
    <t>Singley, SG (corresponding author), Penn State Univ, Dept Sociol, 211 Oswald Tower, University Pk, PA 16802 USA.</t>
  </si>
  <si>
    <t>UNIV NORTH CAROLINA PRESS</t>
  </si>
  <si>
    <t>CHAPEL HILL</t>
  </si>
  <si>
    <t>BOX 2288, CHAPEL HILL, NC 27515-2288 USA</t>
  </si>
  <si>
    <t>0037-7732</t>
  </si>
  <si>
    <t>SOC FORCES</t>
  </si>
  <si>
    <t>Soc. Forces</t>
  </si>
  <si>
    <t>10.2307/3005841</t>
  </si>
  <si>
    <t>ZZ711</t>
  </si>
  <si>
    <t>WOS:000074759300010</t>
  </si>
  <si>
    <t>Cooper, CR; Denner, J</t>
  </si>
  <si>
    <t>Theories linking culture and psychology: Universal and community-specific processes</t>
  </si>
  <si>
    <t>ANNUAL REVIEW OF PSYCHOLOGY</t>
  </si>
  <si>
    <t>culture; theory; identity; education; immigration; diversity</t>
  </si>
  <si>
    <t>FAMILY RELATIONSHIPS; IDENTITY FORMATION; MINORITY CHILDREN; BLACK-STUDENTS; ADOLESCENCE; AMERICAN; SELF; ASSIMILATION; ACHIEVEMENT; TRANSITIONS</t>
  </si>
  <si>
    <t>Psychological theories and research often assume nations are culturally homogeneous and stable. But global demographic, political, and economic changes and massive immigration have sparked new scholarly end policy interest in cultural diversity and change within nations. This chapter reviews interdisciplinary advances linking culture and psychological development. These challenge and strengthen the external and ecological validity of psychological theories and their applications. Seven theoretical perspectives are reviewed: individualism-collectivism; ecological systems; cultural-ecological; social identity; ecocultural and sociocultural; structure-agency; and multiple worlds. Reviews of each theory summarize key constructs and evidence, recent advances, links between universal and community-specific research and applications, and strengths and limitations. The chapter traces complementarities across theories for the case of personal and social identity. It concludes by discussing implications for science and policy. By viewing theories as distinct yet complementary, researchers and policy makers. can forge interdisciplinary, international, and intergenerational collaborations on behalf of the culturally diverse communities of which we are a part.</t>
  </si>
  <si>
    <t>Univ Calif Santa Cruz, Dept Psychol, Santa Cruz, CA 95064 USA</t>
  </si>
  <si>
    <t>Cooper, CR (corresponding author), Univ Calif Santa Cruz, Dept Psychol, Santa Cruz, CA 95064 USA.</t>
  </si>
  <si>
    <t>ccooper@cats.ucsc.edu</t>
  </si>
  <si>
    <t>0066-4308</t>
  </si>
  <si>
    <t>ANNU REV PSYCHOL</t>
  </si>
  <si>
    <t>Annu. Rev. Psychol.</t>
  </si>
  <si>
    <t>10.1146/annurev.psych.49.1.559</t>
  </si>
  <si>
    <t>Psychology; Psychology, Multidisciplinary</t>
  </si>
  <si>
    <t>ZG851</t>
  </si>
  <si>
    <t>WOS:000073046400021</t>
  </si>
  <si>
    <t>Alba, R; Nee, V</t>
  </si>
  <si>
    <t>Rethinking assimilation theory for a new era of immigration</t>
  </si>
  <si>
    <t>UNITED-STATES; RESIDENTIAL SEGREGATION; SELF-EMPLOYMENT; ASIAN-AMERICANS; ENCLAVE ECONOMY; METROPOLITAN-AREAS; MINORITY ACCESS; LABOR-MARKET; ETHNICITY; WHITES</t>
  </si>
  <si>
    <t>Assimilation theory has been subject to intensive critique for decades. Yet no other framework has provided the social science community with as deep a corpus of cumulative findings concerning the incorporation of immigrants and their descendants. We argue that assimilation theory has not lost its utility for the study of contemporary immigration to the United States. In making our case, we review critically the canonical account of assimilation provided by Milton Gordon and others; we refer to Shibutani and Kwan's theory of ethnic stratification to suggest some directions to take in reformulating assimilation theory. We also examine some of the arguments frequently made to distinguish between the earlier mass immigration of Europeans and the immigration of the contemporary era and find them to be inconclusive. Finally, we sift through some of the evidence about the socioeconomic and residential assimilation of recent immigrant groups. Though the record is clearly mixed, we find evidence consistent with the view that assimilation is taking place, albeit unevenly.</t>
  </si>
  <si>
    <t>CORNELL UNIV,ITHACA,NY 14853</t>
  </si>
  <si>
    <t>Alba, R (corresponding author), SUNY ALBANY,ALBANY,NY 12222, USA.</t>
  </si>
  <si>
    <t>enwei, xiang/F-7452-2013; Alba, Richard/ABG-7057-2020</t>
  </si>
  <si>
    <t>209 FLAGG PLACE, STATEN ISL, NY 10304</t>
  </si>
  <si>
    <t>10.2307/2547416</t>
  </si>
  <si>
    <t>YK952</t>
  </si>
  <si>
    <t>WOS:A1997YK95200003</t>
  </si>
  <si>
    <t>DeWind, J; Kasinitz, P</t>
  </si>
  <si>
    <t>Everything old is new again? Processes and theories of immigrant incorporation</t>
  </si>
  <si>
    <t>After three decades of renewed, large-scale immigration to the United States, social scientists are increasingly turning their attention to processes of immigrant incorporation and reexamining the perspectives of social scientists who studied similar processes in the past. This essay reviews the and questions raised by the foregoing articles in this special issue International Migration Review and assesses their theoretical contributions to understanding relations between immigrants and native-born Americans in contemporary processes of incorporation.</t>
  </si>
  <si>
    <t>CUNY HUNTER COLL,NEW YORK,NY 10021</t>
  </si>
  <si>
    <t>10.2307/2547425</t>
  </si>
  <si>
    <t>WOS:A1997YK95200012</t>
  </si>
  <si>
    <t>Amodeo, M; Jones, LK</t>
  </si>
  <si>
    <t>Viewing alcohol and other drug use cross culturally: A cultural framework for clinical practice</t>
  </si>
  <si>
    <t>FAMILIES IN SOCIETY-THE JOURNAL OF CONTEMPORARY HUMAN SERVICES</t>
  </si>
  <si>
    <t>The authors present a conceptual framework for cross-cultural investigation of alcohol and other drug (AOD) issues, including attitudes, values, and behaviors. Elements include cultural views of using alcohol and other drugs, life problems, seeking help, relapse, and re covery. Acculturation, subgroup identity, and migration are critically important variables in the framework. me framework can be used to view a single culture or to compare several and can help clinicians explore clients' earliest exposure to alcohol and other drugs, family and community messages regarding AOD use, and stigma and shame. It can stimulate clinicians' thinking about culturally specific intervention methods and family and community supports for recovery.</t>
  </si>
  <si>
    <t>BOSTON UNIV,SCH SOCIAL WORK,BOSTON,MA 02215; BOSTON UNIV,REFUGEE &amp; IMMIGRANT TRAINING PROGRAM,BOSTON,MA 02215</t>
  </si>
  <si>
    <t>Amodeo, M (corresponding author), BOSTON UNIV,ALCOHOL &amp; DRUG INST POLICY TRAINING &amp; RES,BOSTON,MA 02215, USA.</t>
  </si>
  <si>
    <t>FAMILY SERVICE AMER</t>
  </si>
  <si>
    <t>MILWAUKEE</t>
  </si>
  <si>
    <t>11700 WEST LAKE PARK DRIVE, MILWAUKEE, WI 53224</t>
  </si>
  <si>
    <t>1044-3894</t>
  </si>
  <si>
    <t>FAM SOC-J CONTEMP H</t>
  </si>
  <si>
    <t>Fam. Soc.-J. Contemp. Hum. Serv.</t>
  </si>
  <si>
    <t>10.1606/1044-3894.772</t>
  </si>
  <si>
    <t>WY229</t>
  </si>
  <si>
    <t>WOS:A1997WY22900004</t>
  </si>
  <si>
    <t>Seamon, J; Adler, G</t>
  </si>
  <si>
    <t>Factors affecting immigration of adults: experimental and theoretical observations with rodents</t>
  </si>
  <si>
    <t>ACTA OECOLOGICA-INTERNATIONAL JOURNAL OF ECOLOGY</t>
  </si>
  <si>
    <t>demography; immigration; Massachusetts; Peromyscus leucopus; rodents</t>
  </si>
  <si>
    <t>OLD-GROWTH FORESTS; METAPOPULATION VIABILITY; CONSPECIFIC ATTRACTION; ISLAND COLONIZATION; VOLE CYCLES; MICE; DISPERSAL; DYNAMICS; SYSTEMS; BANK</t>
  </si>
  <si>
    <t>We examined immigration in populations of Peromyscus leucopus (white-footed mice) by 1) monitoring natural immigration at 10 sites, 2) introducing experimental immigrants into eight populations, and 3) constructing qualitative models of immigration. Density of natural immigrants covaried positively with resident density, and successful assimilation was lower at low resident and immigrant densities. Females and males did not differ in their chance of achieving residency. Year, sex, and cumber introduced were significant predictors of assimilation by individuals. Experimentally introduced individuals had no effect on densities of those mice resident before the introductions. Results obtained from studying natural immigration differed from those obtained from studying experimental immigration. Signed digraphs and time averaging were used to model the consequences of different resident-immigrant relationships and to suggest how different sources of variation may have affected assimilation and led to differences in natural and experimental immigration. Resident and immigrant densities could have been positively correlated even if residents actively inhibited immigration. Variation in immigrant density and survival rather than resident territorial activity apparently determined patterns of assimilation.</t>
  </si>
  <si>
    <t>Boston Univ, Dept Biol, Boston, MA 02215 USA; Univ Wisconsin, Dept Biol &amp; Microbiol, Oshkosh, WI 54901 USA</t>
  </si>
  <si>
    <t>Seamon, J (corresponding author), Dept Marine &amp; Wildlife Resources, POB 3730, PAGO PAGO, AS USA.</t>
  </si>
  <si>
    <t>1146-609X</t>
  </si>
  <si>
    <t>1873-6238</t>
  </si>
  <si>
    <t>ACTA OECOL</t>
  </si>
  <si>
    <t>Acta Oecol.-Int. J. Ecol.</t>
  </si>
  <si>
    <t>10.1016/S1146-609X(97)80048-3</t>
  </si>
  <si>
    <t>Ecology</t>
  </si>
  <si>
    <t>Environmental Sciences &amp; Ecology</t>
  </si>
  <si>
    <t>ZC958</t>
  </si>
  <si>
    <t>WOS:000072636300003</t>
  </si>
  <si>
    <t>Gerhardt, U; Hohenester, B</t>
  </si>
  <si>
    <t>Work and culture: The two dimensions of social integration of refugees/expellees in Germany after World War II. A theoretical-empirical essay</t>
  </si>
  <si>
    <t>SOZIALE WELT-ZEITSCHRIFT FUR SOZIALWISSENSCHAFTLICHE FORSCHUNG UND PRAXIS</t>
  </si>
  <si>
    <t>This paper argues that expellees and refugees typically had different courses of integration into the society of postwar Germany. Census data in 1971 showed that expellees had been integrated with a high proportion experiencing downward social mobility upon their re-entry into the labour market but also attaining lower scores on educational achievement, whereas refugees were more often upwardly occupationally mobile and had higher scores on educational achievement. On a theoretical level, these two types of social integration epitomize one focusing on work, and one hinging on preservation of cultural identity as it relates to the country of origin. These two types fit into two classical models: Alfred Schutz's as contrasted with Georg Simmel's conceptions of the social role of the stranger. Investigating the empirical viability of these types, survey research material is used collected by the Information Control Division Branch of the Office of Military Government of the United States for Germany between 1945 and 1948/49, and by the U.S. High Commission for Germany reaction analysis department for the early 1950s. These data document that both types of social integration of expellees/refugees were originally initiated by military government. As a conclusion, Talcott Parsons's notion of societal community is introduced as a conceptual baseline for the explanation of the integration of expellees/refugees into the Federal Republic of Germany's society after World War II.</t>
  </si>
  <si>
    <t>Univ Heidelberg, Inst Soziol, D-69117 Heidelberg, Germany</t>
  </si>
  <si>
    <t>Gerhardt, U (corresponding author), Univ Heidelberg, Inst Soziol, Sandgasse 7-9, D-69117 Heidelberg, Germany.</t>
  </si>
  <si>
    <t>VERLAG OTTO SCHWARTZ &amp; CO</t>
  </si>
  <si>
    <t>ANNASTRABE 7, D-37075 GOTTINGEN, GERMANY</t>
  </si>
  <si>
    <t>0038-6073</t>
  </si>
  <si>
    <t>SOZ WELT</t>
  </si>
  <si>
    <t>Sozial Welt-Zeit. Sozialwiss. Forsch. Praxis</t>
  </si>
  <si>
    <t>V2780</t>
  </si>
  <si>
    <t>WOS:000168701100002</t>
  </si>
  <si>
    <t>Foss, GF</t>
  </si>
  <si>
    <t>A conceptual model for studying parenting behaviors in immigrant populations</t>
  </si>
  <si>
    <t>ADVANCES IN NURSING SCIENCE</t>
  </si>
  <si>
    <t>conceptual model; cultural transition; immigrant; parenthood</t>
  </si>
  <si>
    <t>POSTTRAUMATIC-STRESS-DISORDER; SOUTHEAST-ASIAN REFUGEES; POSTPARTUM DEPRESSION; ETHNIC-IDENTITY; LIFE EVENTS; INFANT; PREDICTORS; ATTACHMENT; CHILDREN; MOTHERS</t>
  </si>
  <si>
    <t>Transition is a concept common to migration and parenthood. Immigrants leave their homeland, experience the chaos of moving, then begin life in anew country. A new parent relinquishes an identity, waits for the birth of an infant, then develops an altered identity with reconfigured relationships. Belsky's theoretical framework is modified to illustrate the determinants of parenting in immigrants who make the transition to parenthood and cultural transition simultaneously. The primary focus is on the contextual determinants of premigration, postmigration, ethnicity, and the sociopolitical environment. Possible directions for nursing practice and research are proposed.</t>
  </si>
  <si>
    <t>UNIV SAN DIEGO, SAN DIEGO, CA 92110 USA</t>
  </si>
  <si>
    <t>Foss, GF (corresponding author), POINT LOMA NAZARENE COLL, SAN DIEGO, CA 92106 USA.</t>
  </si>
  <si>
    <t>LIPPINCOTT WILLIAMS &amp; WILKINS</t>
  </si>
  <si>
    <t>TWO COMMERCE SQ, 2001 MARKET ST, PHILADELPHIA, PA 19103 USA</t>
  </si>
  <si>
    <t>0161-9268</t>
  </si>
  <si>
    <t>1550-5014</t>
  </si>
  <si>
    <t>ADV NURS SCI</t>
  </si>
  <si>
    <t>Adv. Nurs. Sci.</t>
  </si>
  <si>
    <t>10.1097/00012272-199612000-00009</t>
  </si>
  <si>
    <t>VU241</t>
  </si>
  <si>
    <t>WOS:A1996VU24100009</t>
  </si>
  <si>
    <t>Pries, L</t>
  </si>
  <si>
    <t>Transnational social spaces. A theoretical-empirical sketch based on Mexican-American labor migration</t>
  </si>
  <si>
    <t>UNITED-STATES</t>
  </si>
  <si>
    <t>During the last two or three decades international migration has changed in form and nature, and in the context of general globalization the idea of a new ''Age of Migation'' has emerged. International migration is less frequently unique and one-directional, and an approach which focuses on assimilation or on the simple formation of ethnic minorities is no longer adequate. Therefore, more recent concepts like cumulative causation, migration networks, transmigrants and transnational communities have been discussed. Based on empirical findings from a research project in progress (Mexican labor migration from the state of Puebla to New York'') and on theoretical considerations along the lines of Pierre Bourdieu's ''social spaces,'' a concept of transnational social spaces has been developed.</t>
  </si>
  <si>
    <t>Pries, L (corresponding author), MAESTRIA SOCIOL TRABAJO,APARTADO POSTAL 55-532,MEXICO CITY 09340,DF,MEXICO.</t>
  </si>
  <si>
    <t>FERDINAND ENKE VERLAG</t>
  </si>
  <si>
    <t>POSTFACH 30 03 66, D-70443 STUTTGART, GERMANY</t>
  </si>
  <si>
    <t>&amp;</t>
  </si>
  <si>
    <t>VZ458</t>
  </si>
  <si>
    <t>WOS:A1996VZ45800003</t>
  </si>
  <si>
    <t>Bankston, CL; Caldas, SJ</t>
  </si>
  <si>
    <t>Adolescents and deviance in a Vietnamese American community: A theoretical synthesis</t>
  </si>
  <si>
    <t>This article uses qualitative data from fieldwork in a Vietnamese American community to identify sources of deviant group membership among Vietnamese American adolescents. It finds that the deviant group membership of these adolescents may be accounted for by a synthesis of three of the major theoretical explanations of deviant behavior. The primary source of deviant group membership among these young people is a failure to integrate them, through their families, into their own ethnic community and into the larger American society. Three major types of families that fail to achieve these types of social integration are described. Young people who have not been socially integrated effectively engage in a process of social learning in which they acquire traits and attitudes of an age-segregated youth society They are then labeled as ''undesirables'' by the Vietnamese community, as they fail to conform to the shared expectations of Vietnamese American adults. These expectations, it is maintained, are the products of an ethnic identity created by the process of immigrant resettlement.</t>
  </si>
  <si>
    <t>UNIV SW LOUISIANA,DEPT EDUC FDN &amp; LEADERSHIP,COLL EDUC,LAFAYETTE,LA 70504</t>
  </si>
  <si>
    <t>Bankston, CL (corresponding author), UNIV SW LOUISIANA,DEPT SOCIOL &amp; ANTHROPOL,POB 40196,LAFAYETTE,LA 70504, USA.</t>
  </si>
  <si>
    <t>HEMISPHERE PUBL CORP</t>
  </si>
  <si>
    <t>BRISTOL</t>
  </si>
  <si>
    <t>1900 FROST ROAD, SUITE 101, BRISTOL, PA 19007-1598</t>
  </si>
  <si>
    <t>10.1080/01639625.1996.9968021</t>
  </si>
  <si>
    <t>UG266</t>
  </si>
  <si>
    <t>WOS:A1996UG26600002</t>
  </si>
  <si>
    <t>Huston, HR; Venkatesh, A</t>
  </si>
  <si>
    <t>Corfman, KP; Lynch, JG</t>
  </si>
  <si>
    <t>The health care consumption patterns of Asian immigrants: Grounded theory implications for consumer acculturation theory</t>
  </si>
  <si>
    <t>ADVANCES IN CONSUMER RESEARCH, VOL 23: RESEARCH FRAME SYNERGIES</t>
  </si>
  <si>
    <t>ADVANCES IN CONSUMER RESEARCH</t>
  </si>
  <si>
    <t>23rd Annual Conference of the Association-for-Consumer-Research</t>
  </si>
  <si>
    <t>OCT 19-22, 1995</t>
  </si>
  <si>
    <t>MINNEAPOLIS, MN</t>
  </si>
  <si>
    <t>Assoc Consumer Res</t>
  </si>
  <si>
    <t>Since cultural beliefs about the body, health, illness, and social norms do not suddenly disappear when immigrants arrive in a new country or culture, understanding such beliefs is important for anyone attempting to serve their health care needs. The authors of this paper use grounded theory to investigate the health care consumption patterns of recent Asian and Pacific Islander immigrants to the United States. Utilizing participant observation, focus groups, and interdisciplinary secondary data, the authors explore the sociocultural dimensions of health care consumption among such immigrants before and after migration to the United States. Unique consumption patterns are revealed which offer conceptual departures from traditional consumer acculturation theory and its notions of a linear progression towards Angle-conformity. Recommendations are made for future research on consumer acculturation, health care consumption, ethnicity as a construct in consumer research, and methodological pluralism in cross-cultural consumer research.</t>
  </si>
  <si>
    <t>Huston, HR (corresponding author), UNIV CALIF IRVINE,IRVINE,CA 92717, USA.</t>
  </si>
  <si>
    <t>ASSOC CONSUMER RESEARCH</t>
  </si>
  <si>
    <t>PROVO</t>
  </si>
  <si>
    <t>GRAD SCHOOL MANAGEMENT, BRIGHAM YOUNG UNIV, PROVO, UT 84602</t>
  </si>
  <si>
    <t>0098-9258</t>
  </si>
  <si>
    <t>0-915552-36-1</t>
  </si>
  <si>
    <t>ADV CONSUM RES</t>
  </si>
  <si>
    <t>BF97L</t>
  </si>
  <si>
    <t>WOS:A1996BF97L00095</t>
  </si>
  <si>
    <t>Falicov, CJ</t>
  </si>
  <si>
    <t>Training to think culturally: A multidimensional comparative framework</t>
  </si>
  <si>
    <t>FAMILY PROCESS</t>
  </si>
  <si>
    <t>Annual Meeting of the American-Family-Therapy-Academy</t>
  </si>
  <si>
    <t>JUN, 1993</t>
  </si>
  <si>
    <t>BALTIMORE, MD</t>
  </si>
  <si>
    <t>Amer Family Therapy Acad</t>
  </si>
  <si>
    <t>FAMILY-THERAPY</t>
  </si>
  <si>
    <t>A multidimensional, comparative training framework is designed to integrate culture with all aspects of family therapy. Culture is viewed as occurring in multiple contexts that create common ''cultural borderlands'' as well as diversity; unpredictability and possibility, as well as regularity and constraint. The framework proposes a search for basic parameters to help therapists think comparatively and pluralistically about families' cultural configurations and meanings. Further, the parameters chosen-ecological context, migration/acculturation, organization, and life cycle-are used to heighten therapists' awareness about the ''situated Knowledge'' of their own professional and personal culture. This approach recognizes the potential complexity of both the family's and the therapist's cultural location or ecological niche, and encourages curiosity in the therapeutic conversation rather than reliance on potentially stereotyping, ethnic-focused information.</t>
  </si>
  <si>
    <t>UNIV CALIF SAN DIEGO,DEPT PSYCHIAT,SAN DIEGO,CA 92103</t>
  </si>
  <si>
    <t>FAMILY PROCESS INC</t>
  </si>
  <si>
    <t>VERNON</t>
  </si>
  <si>
    <t>PO BOX 460, VERNON, NJ 07462</t>
  </si>
  <si>
    <t>0014-7370</t>
  </si>
  <si>
    <t>FAM PROCESS</t>
  </si>
  <si>
    <t>Fam. Process</t>
  </si>
  <si>
    <t>10.1111/j.1545-5300.1995.00373.x</t>
  </si>
  <si>
    <t>TX982</t>
  </si>
  <si>
    <t>WOS:A1995TX98200002</t>
  </si>
  <si>
    <t>CHANDLER, CR; TSAI, YM</t>
  </si>
  <si>
    <t>SUICIDE IN JAPAN AND IN THE WEST - EVIDENCE FOR DURKHEIM THEORY</t>
  </si>
  <si>
    <t>INTERNATIONAL JOURNAL OF COMPARATIVE SOCIOLOGY</t>
  </si>
  <si>
    <t>TIME-SERIES ANALYSIS; MARITAL DISSOLUTION; RELIGION; RATES; FAMILY</t>
  </si>
  <si>
    <t>A recent study by Mamuro Iga relies upon psychological and attitudinal survey data to argue that contemporary Japan displays high levels of altruistic, fatalistic, and anomic suicide. We try to corroborate Iga using 1980 ecological data from the 47 prefectures of Japan. Our findings are that the relationships between Japanese suicide rates and indicators of social integration-migration, percent religious, percent married, and the divorce rate-are generally reversed from similar relationships found in the West. These results are consistent with altruistic-fatalistic suicide. Per capita income is related to suicide in a way similar to that found in the West, consistent with Iga's view that the Japanese are subject to anomic suicide due to unregulated aspirations. There are substantial differences between the correlates of male and female suicide rates. Implications for theory and research are discussed.</t>
  </si>
  <si>
    <t>CHANDLER, CR (corresponding author), TEXAS TECH UNIV,DEPT SOCIOL,LUBBOCK,TX 79409, USA.</t>
  </si>
  <si>
    <t>E J BRILL</t>
  </si>
  <si>
    <t>PO BOX 9000, 2300 PA LEIDEN, NETHERLANDS</t>
  </si>
  <si>
    <t>0020-7152</t>
  </si>
  <si>
    <t>INT J COMP SOCIOL</t>
  </si>
  <si>
    <t>Int. J. Comp. Sociol.</t>
  </si>
  <si>
    <t>SEP-DEC</t>
  </si>
  <si>
    <t>10.1177/002071529303400306</t>
  </si>
  <si>
    <t>MR658</t>
  </si>
  <si>
    <t>WOS:A1993MR65800006</t>
  </si>
  <si>
    <t>PESCOSOLIDO, BA</t>
  </si>
  <si>
    <t>MIGRATION, MEDICAL-CARE PREFERENCES AND THE LAY REFERRAL SYSTEM - A NETWORK THEORY OF ROLE ASSIMILATION</t>
  </si>
  <si>
    <t>AMERICAN SOCIOLOGICAL REVIEW</t>
  </si>
  <si>
    <t>PESCOSOLIDO, BA (corresponding author), INDIANA UNIV,DEPT SOCIOL,744 BALLANTINE HALL,BLOOMINGTON,IN 47405, USA.</t>
  </si>
  <si>
    <t>AMER SOCIOLOGICAL ASSOC</t>
  </si>
  <si>
    <t>1722 N ST NW, WASHINGTON, DC 20036-2981</t>
  </si>
  <si>
    <t>0003-1224</t>
  </si>
  <si>
    <t>AM SOCIOL REV</t>
  </si>
  <si>
    <t>Am. Sociol. Rev.</t>
  </si>
  <si>
    <t>10.2307/2095585</t>
  </si>
  <si>
    <t>D7701</t>
  </si>
  <si>
    <t>WOS:A1986D770100006</t>
  </si>
  <si>
    <t>HECKMANN, F</t>
  </si>
  <si>
    <t>ASPECTS OF MIGRATION SOCIOLOGY - ASSIMILATION AND INTEGRATION OF MIGRANTS, ETHNIC-GROUPS, AND MINORITIES - AN ACTION THEORETICAL-ANALYSIS - GERMAN - ESSER,H</t>
  </si>
  <si>
    <t>Book Review</t>
  </si>
  <si>
    <t>WESTDEUTSCHER VERLAG GMBH</t>
  </si>
  <si>
    <t>POSTFACH 5829, W-6200 WIESBADEN, GERMANY</t>
  </si>
  <si>
    <t>MC783</t>
  </si>
  <si>
    <t>WOS:A1981MC78300021</t>
  </si>
  <si>
    <t>Author</t>
  </si>
  <si>
    <t>Journal Title</t>
  </si>
  <si>
    <t>First Page</t>
  </si>
  <si>
    <t>Page Count</t>
  </si>
  <si>
    <t>Accession Number</t>
  </si>
  <si>
    <t>Doctype</t>
  </si>
  <si>
    <t>Subjects</t>
  </si>
  <si>
    <t>Keywords</t>
  </si>
  <si>
    <t>PLink</t>
  </si>
  <si>
    <t>A comparison of conceptual models of depression and anxiety in Chinese Americans and European Americans and the role of culture.</t>
  </si>
  <si>
    <t>Ferri, Lucia Victoria</t>
  </si>
  <si>
    <t>Dissertation Abstracts International: Section B: The Sciences and Engineering</t>
  </si>
  <si>
    <t>7-B</t>
  </si>
  <si>
    <t>2012-99020-351</t>
  </si>
  <si>
    <t>ProQuest Information &amp; Learning</t>
  </si>
  <si>
    <t>Dissertation</t>
  </si>
  <si>
    <t>Anxiety; Cross Cultural Differences; Major Depression; Chinese Cultural Groups; Adulthood (18 yrs &amp; older)</t>
  </si>
  <si>
    <t>The underutilization and poor engagement of Chinese American populations in professional mental health services within the United States has been well documented (Akutsu, Snowden, &amp; Organista, 1996; Bui &amp; Takeuchi, 1992; Ying &amp; Hu, 1994). Though a number of barriers toward professional treatment of this minority population have been considered, a significant barrier, namely the unique conceptualization of mental distress within this ethnic population and its divergence from mainstream American models of illness, has rarely been explored in depth. Further, though conceptual models and beliefs about depression in different ethnic groups have been addressed, the literature on conceptual models of anxiety is scarce. This investigation explored and compared conceptual models of anxiety and depression as well as treatment preferences in a largely immigrant, adult Chinese American sample and an adult European American sample in the United States. This study further explored the relationships between the cultural variables of individualism and collectivism, acculturation, and conceptual models of depression and anxiety. Results from this study did not support hypotheses that Chinese Americans would endorse more collectivistic values than European Americans, finding only that European Americans endorsed independent self-construal values to a greater degree than Chinese Americans. Conceptual models were found to differ between ethnic groups with European American participants endorsing biopsychiatic models of depression and anxiety significantly more than Chinese American participants, though both groups were found to demonstrate mixed models including biological, situational, and psychological causes for distress. Though European Americans were found to prefer psychotherapy as treatment more than Chinese Americans, medication and lay referral treatment preferences were not found to be different between groups in quantitative analyses. Qualitative analyses, however, revealed some of the stigma attitudes in Chinese Americans regarding professional mental health treatment. Results suggested that higher American acculturation significantly correlated with chemical biological causal models and psychological models of mental health distress. However, results did not support the hypothesis that cultural values such as individualism/collectivism or independent/interdependent self construal would be better predictors of conceputal model than ethnic group background. American acculturation also was not found to moderate the relationship between ethnicity and conceptual model of distress. (PsycINFO Database Record (c) 2016 APA, all rights reserved)</t>
  </si>
  <si>
    <t>http://search.ebscohost.com.proxy-ub.rug.nl/login.aspx?direct=true&amp;db=psyh&amp;AN=2012-99020-351&amp;site=ehost-live&amp;scope=site</t>
  </si>
  <si>
    <t>A conceptual framework for understanding Latino immigrant’s ambiguous loss of homeland.</t>
  </si>
  <si>
    <t>Hispanic Journal of Behavioral Sciences</t>
  </si>
  <si>
    <t>2018-22409-002</t>
  </si>
  <si>
    <t>Sage Publications</t>
  </si>
  <si>
    <t>Journal Article</t>
  </si>
  <si>
    <t>Acculturation; Immigration; Refugees; Homesickness; Latinos/Latinas; Nostalgia; Adulthood (18 yrs &amp; older); Male; Female</t>
  </si>
  <si>
    <t>Understanding the complex psychological processes that underlie post-migration experiences can assist those settling into a new land. We propose a conceptual framework that examines two distinct emotional experiences—ambiguous loss of homeland (ALH) and relative satisfaction (RS) between the country of origin (CO) and the host country. This framework emerges from interviews with 55 Spanish-speaking immigrants to the United States and results in four quadrants: (1) 'pulled there' (feels loss of homeland strongly and prefers CO to the United States); (2) 'neither here nor there' (does not feel loss of homeland strongly, however, prefers CO to the United States); (3) 'mostly here' (does not feel loss of homeland strongly and prefers the United States); and (4) 'here but pulled there' (feels loss of homeland strongly, however, prefers the United States). The conceptual framework of ALH and RS contributes to the immigration literature and is not exclusive to Latinos, but to the growing global immigrant and refugee population. (PsycINFO Database Record (c) 2020 APA, all rights reserved)</t>
  </si>
  <si>
    <t>http://search.ebscohost.com.proxy-ub.rug.nl/login.aspx?direct=true&amp;db=psyh&amp;AN=2018-22409-002&amp;site=ehost-live&amp;scope=site</t>
  </si>
  <si>
    <t>A conceptual model for studying parenting behaviors in immigrant populations.</t>
  </si>
  <si>
    <t>Foss, Gwendolyn F.</t>
  </si>
  <si>
    <t>Advances in Nursing Science</t>
  </si>
  <si>
    <t>1997-02321-005</t>
  </si>
  <si>
    <t>Lippincott Williams &amp; Wilkins</t>
  </si>
  <si>
    <t>Acculturation; Immigration; Models; Parent Child Relations; Parental Characteristics; Parents; Adulthood (18 yrs &amp; older)</t>
  </si>
  <si>
    <t>Modified the theoretical framework of parenting behavior and predictive determinants developed by J. Belsky (see record 71- 17961) to illustrate the determinants of parenting in immigrants who make the transition to parenthood and cultural transition simultaneously. Belsky did not address economic issues, family adversity, or stressful life events. The primary focus is on the contextual determinants of premigration, postmigration, ethnicity, and the sociopolitical environment. Possible directions for nursing practice and research are proposed. (PsycINFO Database Record (c) 2016 APA, all rights reserved)</t>
  </si>
  <si>
    <t>http://search.ebscohost.com.proxy-ub.rug.nl/login.aspx?direct=true&amp;db=psyh&amp;AN=1997-02321-005&amp;site=ehost-live&amp;scope=site</t>
  </si>
  <si>
    <t>A critical review and development of a conceptual model of exclusion from social relations for older people.</t>
  </si>
  <si>
    <t>Burholt, Vanessa; Winter, Bethan; Aartsen, Marja; Constantinou, Costas; Dahlberg, Lena; Feliciano, Villar; De Jong Gierveld, Jenny; Van Regenmortel, Sofie; Waldegrave, Charles</t>
  </si>
  <si>
    <t>European Journal of Ageing</t>
  </si>
  <si>
    <t>2019-10214-001</t>
  </si>
  <si>
    <t>10.1007/s10433-019-00506-0</t>
  </si>
  <si>
    <t>Springer</t>
  </si>
  <si>
    <t>Aging; Economic Development; Social Acceptance; Social Integration; Social Interaction; Adulthood (18 yrs &amp; older); Aged (65 yrs &amp; older)</t>
  </si>
  <si>
    <t>Social exclusion is complex and dynamic, and it leads to the non-realization of social, economic, political or cultural rights or participation within a society. This critical review takes stock of the literature on exclusion of social relations. Social relations are defined as comprising social resources, social connections and social networks. An evidence review group undertook a critical review which integrates, interprets and synthesizes information across studies to develop a conceptual model of exclusion from social relations. The resulting model is a subjective interpretation of the literature and is intended to be the starting point for further evaluations. The conceptual model identifies individual risks for exclusion from social relations (personal attributes, biological and neurological risk, retirement, socio-economic status, exclusion from material resources and migration). It incorporates the evaluation of social relations, and the influence of psychosocial resources and socio-emotional processes, sociocultural, social-structural, environmental and policy contextual influences on exclusion from social relations. It includes distal outcomes of exclusion from social relations, that is, individual well-being, health and functioning, social opportunities and social cohesion. The dynamic relationships between elements of the model are also reported. We conclude that the model provides a subjective interpretation of the data and an excellent starting point for further phases of conceptual development and systematic evaluation(s). Future research needs to consider the use of sophisticated analytical tools and an interdisciplinary approach in order to understand the underlying biological and ecopsychosocial associations that contribute to individual and dynamic differences in the experience of exclusion from social relations. (PsycINFO Database Record (c) 2020 APA, all rights reserved)</t>
  </si>
  <si>
    <t>http://search.ebscohost.com.proxy-ub.rug.nl/login.aspx?direct=true&amp;db=psyh&amp;AN=2019-10214-001&amp;site=ehost-live&amp;scope=site</t>
  </si>
  <si>
    <t>A culturally relevant conceptualization of depression: An empirical examination of the factorial structure of the Vietnamese Depression Scale.</t>
  </si>
  <si>
    <t>International Journal of Social Psychiatry</t>
  </si>
  <si>
    <t>2009-20721-002</t>
  </si>
  <si>
    <t>Concept Formation; Major Depression; Psychometrics; Rating Scales; Refugees; Psychosocial Factors; Risk Factors; Sociocultural Factors; Test Reliability; Adulthood (18 yrs &amp; older); Young Adulthood (18-29 yrs); Thirties (30-39 yrs); Middle Age (40-64 yrs); Aged (65 yrs &amp; older); Very Old (85 yrs &amp; older); Male; Female</t>
  </si>
  <si>
    <t>Background: Despite the high risk of depression among Vietnamese refugees, there has been insufficient attention to the psychometric properties of the most utilized scale, the Vietnamese Depression Scale (VDS: Kinzie et al., 1982). Aim: The primary aim of the study is to empirically derive the factorial structure of the VDS to support its use as a culturally responsive depression screening tool in community samples of Vietnamese adults. Method: The factorial structure, reliability, and associations of the VDS factors with recognized socio-demographic correlates were examined using data collected from interviews with a non-probability community sample of 180 Vietnamese refugee adults in the Houston area. Results: The empirically derived factorial structure of the VDS approximated the theorized conceptualization of depression introduced by the scale’s originators. Three factors (depressed affect, somatic symptoms, and cultural-specific symptoms) accounted for 65% of the variance. As hypothesized, the VDS factors correlated with age and acculturation variables. Conclusion: Overall results suggest that the conceptualization of depression among this sample of Vietnamese refugees has both universal and culturally specific features. Implications for providing culturally responsive mental health services are offered. (PsycINFO Database Record (c) 2016 APA, all rights reserved)</t>
  </si>
  <si>
    <t>http://search.ebscohost.com.proxy-ub.rug.nl/login.aspx?direct=true&amp;db=psyh&amp;AN=2009-20721-002&amp;site=ehost-live&amp;scope=site</t>
  </si>
  <si>
    <t>A family beliefs framework for socially and culturally specific preventive interventions with refugee youths and families.</t>
  </si>
  <si>
    <t>Weine, Stevan; Feetham, Suzanne; Kulauzovic, Yasmina; Knafl, Kathleen; Besic, Sanela; Klebic, Alma; Mujagic, Aida; Muzurovic, Jasmina; Spahovic, Dzemila; Pavkovic, Ivan</t>
  </si>
  <si>
    <t>American Journal of Orthopsychiatry</t>
  </si>
  <si>
    <t>2006-03377-001</t>
  </si>
  <si>
    <t>10.1037/0002-9432.76.1.1</t>
  </si>
  <si>
    <t>Educational Publishing Foundation</t>
  </si>
  <si>
    <t>Cultural Sensitivity; Family; Intervention; Refugees; Values; Grounded Theory; Childhood (birth-12 yrs); Adulthood (18 yrs &amp; older); Male; Female</t>
  </si>
  <si>
    <t>To assist in designing socially and culturally specific preventive interventions for refugee youths and families, this study identified the processes by which refugee families adapt and apply family beliefs concerning youths. A grounded-theory model constructed with ATLAS/ti for Windows and named the family beliefs framework describes (a) family beliefs concerning refugee youths, (b) contextual factors interacting with these family beliefs, (c) adaptation of family beliefs concerning refugee youths, and (d) the interplay of adapting family beliefs and behaviors concerning refugee youths. Preventive interventions for refugee youths and families would be more socially and culturally specific if they addressed the specific processes of adapting family beliefs experienced by refugee youths and their families amid transitions and traumas. (PsycINFO Database Record (c) 2016 APA, all rights reserved)</t>
  </si>
  <si>
    <t>http://search.ebscohost.com.proxy-ub.rug.nl/login.aspx?direct=true&amp;db=psyh&amp;AN=2006-03377-001&amp;site=ehost-live&amp;scope=site</t>
  </si>
  <si>
    <t>A framework for clinical practice with sexual and gender minority asylum seekers.</t>
  </si>
  <si>
    <t>Alessi, Edward J.; Kahn, Sarilee</t>
  </si>
  <si>
    <t>Psychology of Sexual Orientation and Gender Diversity</t>
  </si>
  <si>
    <t>2017-45094-001</t>
  </si>
  <si>
    <t>10.1037/sgd0000244</t>
  </si>
  <si>
    <t>Refugees; Resilience (Psychological); Sexual Orientation; Asylum Seeking; Complex PTSD; Acculturation; Bisexuality; Clinical Practice; Lesbianism; Male Homosexuality; Minority Groups; Stress; Transgender</t>
  </si>
  <si>
    <t>In many countries around the world, sexual and gender minority individuals experience gross human rights violations and therefore must conceal their identities to survive. Without adequate protections, these individuals are forced to flee to countries such as the United States and Canada. By the time sexual and gender minority asylum seekers (SGMAS) arrive in these countries, they may suffer from depression, posttraumatic stress disorder, and complex trauma. SGMAS may struggle with these mental health problems while also attempting to navigate the difficulties of migration (e.g., locating housing and employment, filing an asylum claim). The extant literature on refugee and sexual and gender minority populations, however, may not provide adequate guidance to therapists who assist SGMAS. Therefore, this article presents a framework for clinical practice with SGMAS. This framework is informed by research on complex trauma, minority stress, acculturation/integration, and resilience. The 3 components of the framework are establishing safety and stability in treatment and in the environment, developing skills for managing the asylum claims process, and providing strategies for dealing with the challenges of resettlement. These components are intended to help clients to heal from trauma, handle the demands of acculturation, and cope with minority stress. (PsycINFO Database Record (c) 2017 APA, all rights reserved)</t>
  </si>
  <si>
    <t>http://search.ebscohost.com.proxy-ub.rug.nl/login.aspx?direct=true&amp;db=psyh&amp;AN=2017-45094-001&amp;site=ehost-live&amp;scope=site</t>
  </si>
  <si>
    <t>A multilevel framework exploring domestic violence against immigrant Indian and Pakistani women in the United States.</t>
  </si>
  <si>
    <t>Adam, Najma M.; Schewe, Paul A.</t>
  </si>
  <si>
    <t>Journal of Muslim Mental Health</t>
  </si>
  <si>
    <t>2007-15084-002</t>
  </si>
  <si>
    <t>10.1080/15564900701238468</t>
  </si>
  <si>
    <t>Taylor &amp; Francis</t>
  </si>
  <si>
    <t>Acculturation; Domestic Violence; Immigration; South Asian Cultural Groups; Employment Status; Marital Status; Patriarchy; Victimization; Adulthood (18 yrs &amp; older); Young Adulthood (18-29 yrs); Thirties (30-39 yrs); Female</t>
  </si>
  <si>
    <t>The purpose of this study was to gather preliminary data about the experience of domestic violence from the perspective of immigrant Indian and Pakistani women residing in the United States. Using hierarchical linear regression, we explored the association between individual-, familial-, and cultural-level variables and the experience of domestic violence as assessed by the four aggression subscales of the Revised Conflict Tactics Scale. Our sample consisted of 78 women who were Indian, residents of Illinois, between 18 and 35 years old, college educated, and employed. Most of the women were married. Results showed a 77% prevalence rate and a 71% incidence rate for the experience of domestic violence for the women in our sample. Results of the hierarchical linear regression analysis indicated that level of education, employment status, domestic violence among immediate and extended family members, and cultural belief in male domination were significantly associated with domestic violence. (PsycINFO Database Record (c) 2016 APA, all rights reserved)</t>
  </si>
  <si>
    <t>http://search.ebscohost.com.proxy-ub.rug.nl/login.aspx?direct=true&amp;db=psyh&amp;AN=2007-15084-002&amp;site=ehost-live&amp;scope=site</t>
  </si>
  <si>
    <t>A multilevel research framework for the analyses of attitudes toward immigrants.</t>
  </si>
  <si>
    <t>International Journal of Intercultural Relations</t>
  </si>
  <si>
    <t>2008-04414-004</t>
  </si>
  <si>
    <t>Elsevier Science</t>
  </si>
  <si>
    <t>Acculturation; Adjustment; Cross Cultural Differences; Immigration; Attitudes; Adulthood (18 yrs &amp; older); Male; Female</t>
  </si>
  <si>
    <t>Traditional research in acculturation and adjustment has mostly been done from a sojourner's or immigrant's perspective. The current research, however, centers on the recipient nationals' attitudes toward immigrants and multiculturalism. Three distinctive frameworks to examine host nationals' perceptions are proposed based on (1) intergroup relations, (2) individual level differences, and (3) cultural level differences. Five studies were conducted in line with the three frameworks using attitudes toward immigrants as the common dependent measure. Based on the intergroup framework, Studies 1 and 2 examined the influence of intergroup contact, national pride, perceived permeability, fairness, intergroup threat, and host community acculturation strategies. Results showed that decreased contact and increased threat predicted less favorable perception toward immigrants (Study 1); respondents who espoused a need for immigrant assimilation and exclusionism, and those who espoused a less individualistic perception toward migration expressed more negative immigrant attitudes (Study 2). In the second framework on individual differences, the influence of personal enduring dispositions on immigrant attitudes was examined. The independent variables included social dominance orientation, self-esteem, individualism-collectivism, national pride, and Schwartz's personal values. Low self-esteem and individualism, and high social dominance predicted less favorable attitudes toward immigrants. Furthermore, high social dominance predicted less favorable perceptions but only among host nationals who also rated high on individualism (Study 3). Regarding personal values orientation, respondents who placed greater emphasis on security and achievement motivation expressed more negative attitudes, but endorsement of the stimulation value type predicted more favorable perceptions (Study 4). In the third and final framework, effects of cultural differences on immigrant attitudes were examined (Study 5). Secondary data from the Eurobarometer [Eurobarometer, 2000. Attitudes towards minority groups in the European Union: A special analysis of the Eurobarometer 2000 opinion poll on behalf of the European Monitoring Centre on Racism and Xenophobia. Eurobarometer Opinion Poll. Retrieved September 1, 2003 from http://europa.eu.int/comm/public_opinion/index_en.htm] and Hofstede's cultural typologies were used. Masculinity was associated with reduced multicultural optimism and support for policies that promote social co-existence; uncertainty avoidance, collectivism, and power distance were related to weaker support for multicultural policies. Overall, two broad dimensions of acculturation experience emerged from the research, the first one is based on an 'invasion' perspective and the second one reflects an 'enrichment' experience. (PsycINFO Database Record (c) 2016 APA, all rights reserved)</t>
  </si>
  <si>
    <t>http://search.ebscohost.com.proxy-ub.rug.nl/login.aspx?direct=true&amp;db=psyh&amp;AN=2008-04414-004&amp;site=ehost-live&amp;scope=site</t>
  </si>
  <si>
    <t>A multi-level research framework for the analyses of attitudes toward immigrants.</t>
  </si>
  <si>
    <t>5-B</t>
  </si>
  <si>
    <t>2006-99022-159</t>
  </si>
  <si>
    <t>Cross Cultural Differences; Immigration; Individual Differences; Racial and Ethnic Attitudes; Multiculturalism; Intergenerational Relations; Social Adjustment</t>
  </si>
  <si>
    <t>Contemporary research on acculturation tended to focus on the sojourners' or immigrants' perspectives on adaptation. The current dissertation however, centers on recipient nationals' attitudes toward immigrants and perceptions of multiculturalism. Three distinctive frameworks to study host nationals' perceptions are adopted; they include: (1) intergroup relations, (2) individual differences, and (3) cultural differences. Five separate studies were done based on the three frameworks using attitudes toward Chinese immigrants as the dependent measure in all except the final study. Based on the intergroup framework, Study 1 and 2 examined the influence of intergroup contact, national pride, perceived permeability, fairness, threat and host community acculturation strategies. Results showed that decreased contact and increased threat predicted less favorable perception towards immigrants (Study 1); respondents who espoused a need for immigrant assimilation and exclusionism, and those who adopted a less individualistic perception towards migration tended to express a more negative attitude (Study 2). Based on an individual differences framework, Study 3 and 4 examined the influence of social dominance orientation, self-esteem, individualism-collectivism, national pride and personal values. Increased self-esteem and collectivism predicted more favorable attitudes toward immigrants, and increased social dominance orientation predicted less favourable perceptions among host nationals who rated high on individualism (Study 3); respondents who placed greater emphases on security and achievement motivation have expressed more negative attitudes, but endorsement of stimulation value predicted more favourable perceptions (Study 4). In the final study, cultural differences were adopted as correlates of attitudes. Secondary data from the Eurobarometer (2000) and Schwartz's and Hofstede's typologies of cultural differences were used. Based on Schwartz's model, increased mastery was associated with less multicultural optimism; increased egalitarian commitment was linked to lesser support for policies that promote co-existence; and increased harmony was related to less demand for cultural assimilation. Based on Hofstede's model, increased masculinity was associated with less multicultural optimism and lower demand for cultural assimilation; and increased uncertainty avoidance was related to decreased multicultural optimism. Overall, two broad dimensions of acculturation experience have emerged from the research, first one is based on an 'invasion' perspective and the second one reflects an 'enrichment' experience. (PsycINFO Database Record (c) 2016 APA, all rights reserved)</t>
  </si>
  <si>
    <t>http://search.ebscohost.com.proxy-ub.rug.nl/login.aspx?direct=true&amp;db=psyh&amp;AN=2006-99022-159&amp;site=ehost-live&amp;scope=site</t>
  </si>
  <si>
    <t>A multi-study analysis of conceptual and measurement issues related to health research on acculturation in Latinos.</t>
  </si>
  <si>
    <t>Andrews, Arthur R. III; Bridges, Ana J.; Gomez, Debbie</t>
  </si>
  <si>
    <t>Journal of Transcultural Nursing</t>
  </si>
  <si>
    <t>2013-08044-003</t>
  </si>
  <si>
    <t>Acculturation; Health Behavior; Immigration; Measurement; Analysis; Latinos/Latinas; Childhood (birth-12 yrs); School Age (6-12 yrs); Adolescence (13-17 yrs); Adulthood (18 yrs &amp; older); Male; Female</t>
  </si>
  <si>
    <t>Purpose: The aims of the study were to evaluate the orthogonality of acculturation for Latinos. Design: Regression analyses were used to examine acculturation in two Latino samples (N = 77; N = 40). In a third study (N = 673), confirmatory factor analyses compared unidimensional and bidimensional models. Method: Acculturation was assessed with the ARSMA-II (Studies 1 and 2), and language proficiency items from the Children of Immigrants Longitudinal Study (Study 3). Results: In Studies 1 and 2, the bidimensional model accounted for slightly more variance (R² Study 1 = .11; R² Study 2 = .21) than the unidimensional model (R² Study 1 = .10; R² Study 2 = .19). In Study 3, the bidimensional model evidenced better fit (Akaike information criterion = 167.36) than the unidimensional model (Akaike information criterion = 1204.92). Discussion/Conclusions: Acculturation is multidimensional. Implications for Practice: Care providers should examine acculturation as a bidimensional construct. (PsycINFO Database Record (c) 2016 APA, all rights reserved)</t>
  </si>
  <si>
    <t>http://search.ebscohost.com.proxy-ub.rug.nl/login.aspx?direct=true&amp;db=psyh&amp;AN=2013-08044-003&amp;site=ehost-live&amp;scope=site</t>
  </si>
  <si>
    <t>A new conceptualization of intercultural adjustment and the goals of training.</t>
  </si>
  <si>
    <t>Grove, Cornelius L.; Torbiörn, Ingemar</t>
  </si>
  <si>
    <t>1986-19704-001</t>
  </si>
  <si>
    <t>10.1016/0147-1767(85)90008-2</t>
  </si>
  <si>
    <t>Pergamon Press</t>
  </si>
  <si>
    <t>Culture Shock; Education; Immigration; Psychodynamics; Social Adjustment; Acculturation; Behavior Modification; Cognitive Mediation; Communication Skills Training; Models; Social Skills Training</t>
  </si>
  <si>
    <t>Three psychological constructs—applicability of behavior, clarity of the mental frame of reference, and level of mere adequacy—are used to reconceptualize the process of adjustment to a highly unfamiliar environment. A model is presented that goes beyond the symptom level to understand intercultural adjustment from the perspective of cognitive and motivational psychology. Four stages of adjustment are outlined, and Stage II, which is characterized by culture shock, is explained in detail. Positive intercultural-training goals related to the 3 psychological constructs are specified, followed by a detailed discussion of practical implications. Particular attention is paid to reducing the severity and shortening the duration of Stage II. The importance of beginning training before a sojourner's experience and continuing it during the sojourn is stressed. (French &amp; Spanish abstracts) (20 ref) (PsycINFO Database Record (c) 2016 APA, all rights reserved)</t>
  </si>
  <si>
    <t>http://search.ebscohost.com.proxy-ub.rug.nl/login.aspx?direct=true&amp;db=psyh&amp;AN=1986-19704-001&amp;site=ehost-live&amp;scope=site</t>
  </si>
  <si>
    <t>A qualitative grounded theory study of the immigrant jewish women's ethnic identity experience in san antonio, texas.</t>
  </si>
  <si>
    <t>Placeres Nawrocik, Maribel Elisheva</t>
  </si>
  <si>
    <t>Dissertation Abstracts International Section A: Humanities and Social Sciences</t>
  </si>
  <si>
    <t>4-A(E)</t>
  </si>
  <si>
    <t>2014-99190-563</t>
  </si>
  <si>
    <t>Ethnic Identity; Immigration; Grounded Theory; Human Females; Qualitative Methods; Frame of Reference; Latinos/Latinas</t>
  </si>
  <si>
    <t>In the last twenty years, there has been a significant increase of Jewish Latin Americans immigrating to the United States. However, this population has been completely ignored in the psychological literature. This study explored the Jewish ethnic identity of Jewish Latin American women living in the city of San Antonio, Texas only because of it's proximity to the border between Latin America and the United States. The age requirements for this population were between 25 and 89 years of age. This study used a qualitative method of inquiry with a grounded theory approach. The grounded theory established, as a result of this methodology, presented a very unique definition of the Jewish Latin American ethnic identity. The findings surrounding the uniqueness of this Jewish ethnic identity opens the possibility to extend this research to the national level in the United States as a valuable source within the field of psychology in terms of providing a frame of reference for identification, adjustment, assimilation, acculturation, education, political and societal understanding, predictability, changing stereotyping; all important factors for facilitating counseling and implications for clinical treatments as well as providing important information for the fields of anthropology, sociology, and multicultural studies. (PsycINFO Database Record (c) 2019 APA, all rights reserved)</t>
  </si>
  <si>
    <t>http://search.ebscohost.com.proxy-ub.rug.nl/login.aspx?direct=true&amp;db=psyh&amp;AN=2014-99190-563&amp;site=ehost-live&amp;scope=site</t>
  </si>
  <si>
    <t>A research paradigm shift in acculturation research: From a psychopathological perspective to a resilience framework.</t>
  </si>
  <si>
    <t>Pan, Jia-Yan</t>
  </si>
  <si>
    <t>Acculturation: Psychology, processes and global perspectives.</t>
  </si>
  <si>
    <t>2015-27971-014</t>
  </si>
  <si>
    <t>Nova Science Publishers</t>
  </si>
  <si>
    <t>Chapter</t>
  </si>
  <si>
    <t>Acculturation; Cross Cultural Differences; Experimentation; Psychopathology; Resilience (Psychological)</t>
  </si>
  <si>
    <t>Acculturation research in the past decades has been largely dominated by a psychopathological perspective, which narrowly focused on cross-cultural adaptation problems and their negative impact on mental health of various groups of migrant. Guided by the resilience framework, this paper identifies a significant paradigm shift in acculturation research from emphasizing negative impact of migration experience on mental health to highlighting positive adaptation outcomes in cross-cultural adjustment and their contributing factors. Two directions for future acculturation research are proposed to follow this research paradigm shift: (1) to identify the positive adaptation outcomes in me process of acculturation; and (2) to identify significant protective factors and to investigate the protective mechanisms of how these factors work to promote positive adaptation outcomes in the context of acculturation. (PsycInfo Database Record (c) 2020 APA, all rights reserved)</t>
  </si>
  <si>
    <t>http://search.ebscohost.com.proxy-ub.rug.nl/login.aspx?direct=true&amp;db=psyh&amp;AN=2015-27971-014&amp;site=ehost-live&amp;scope=site</t>
  </si>
  <si>
    <t>A theoretical framework for understanding ethnic socialization among international adoptees.</t>
  </si>
  <si>
    <t>Mohanty, Jayashree; Newhill, Christina</t>
  </si>
  <si>
    <t>Families in Society</t>
  </si>
  <si>
    <t>2008-16629-005</t>
  </si>
  <si>
    <t>10.1606/1044-3894.3817</t>
  </si>
  <si>
    <t>Alliance for Children &amp; Families</t>
  </si>
  <si>
    <t>Adoptees; Ethnic Identity; Psychosocial Development; Socialization; Theories</t>
  </si>
  <si>
    <t>Although the number of U.S. families who choose international adoption has grown dramatically over the past decade, concern remains about separating such children from their racial/ethnic/cultural groups of origin. Existing literature has primarily focused on African American or immigrant children's ethnic socialization experiences with little attention given to ethnic socialization of international adoptees. This paper describes a theoretical framework for understanding ethnic socialization among international adoptees and examines the applicability of existing models for understanding developmental and psychosocial outcomes for adopted minority children. Implications for practice, policy, and research are discussed. (PsycINFO Database Record (c) 2018 APA, all rights reserved)</t>
  </si>
  <si>
    <t>http://search.ebscohost.com.proxy-ub.rug.nl/login.aspx?direct=true&amp;db=psyh&amp;AN=2008-16629-005&amp;site=ehost-live&amp;scope=site</t>
  </si>
  <si>
    <t>A theoretical model for the application of Gestalt theory to immigrant absorption in Israel.</t>
  </si>
  <si>
    <t>Serok, Shraga</t>
  </si>
  <si>
    <t>Journal of Psychology &amp; Judaism</t>
  </si>
  <si>
    <t>1986-24280-001</t>
  </si>
  <si>
    <t>Gestalt Psychology; Immigration</t>
  </si>
  <si>
    <t>Reviews the primary concepts relating to migration and absorption and discusses the unique influences of the state of Israel on its immigration process. In keeping with the Israeli government's shift from policies of assimilation to those of integration of the various immigrant ethnic groupings, a theoretical approach is presented that proposes to facilitate the social integration process. Based on the principles of gestalt theory, this approach assumes that a total configuration is created from the individual elements and emphasizes the clarity of this image against its background. It is suggested that, while the model relates specifically to Israel, it can be applied equally in all countries faced with the problems of integrating new immigrants. (24 ref) (PsycINFO Database Record (c) 2016 APA, all rights reserved)</t>
  </si>
  <si>
    <t>http://search.ebscohost.com.proxy-ub.rug.nl/login.aspx?direct=true&amp;db=psyh&amp;AN=1986-24280-001&amp;site=ehost-live&amp;scope=site</t>
  </si>
  <si>
    <t>Acculturation and adaptation: A general framework.</t>
  </si>
  <si>
    <t>Berry, John W.</t>
  </si>
  <si>
    <t>Mental health of immigrants and refugees.</t>
  </si>
  <si>
    <t>1991-97078-004</t>
  </si>
  <si>
    <t>Hogg Foundation for Mental Health</t>
  </si>
  <si>
    <t>Acculturation; Adaptation; Human Migration; Immigration; Mental Health; Psychosocial Factors; Refugees; Stress</t>
  </si>
  <si>
    <t>begin with an overview, from the perspective of cross-cultural psychology, of the factors that may govern the relationship between acculturation and mental health in immigrant and refugee populations / a general description of the processes of acculturation and adaptation will be given first, followed by a review of what the general literature tells us about how individuals and groups can achieve a successful outcome / general principles will be applied to the special situation of immigrants and refugees the concepts of acculturation and adaptation will be employed to describe and analyze this overall chain of events from initial contact to the eventual mental health consequences for the individual / acculturative stress (PsycInfo Database Record (c) 2020 APA, all rights reserved)</t>
  </si>
  <si>
    <t>http://search.ebscohost.com.proxy-ub.rug.nl/login.aspx?direct=true&amp;db=psyh&amp;AN=1991-97078-004&amp;site=ehost-live&amp;scope=site</t>
  </si>
  <si>
    <t>Acculturation and enculturation: A review of theory and research.</t>
  </si>
  <si>
    <t>Kim, Bryan S. K.; Alamilla, Saul G.</t>
  </si>
  <si>
    <t>Social issues in living color: Challenges and solutions from the perspective of ethnic minority psychology: Societal and global issues., Vol. 2.</t>
  </si>
  <si>
    <t>2017-11807-002</t>
  </si>
  <si>
    <t>Praeger/ABC-CLIO</t>
  </si>
  <si>
    <t>Acculturation; Cross Cultural Differences; Diversity; Minority Groups; Psychological Theories; Society</t>
  </si>
  <si>
    <t>The United States has seen an unprecedented rate of racial diversification during the last three decades, which has resulted in significant increases in the percentages of non-European Americans. One of the consequences of this significant immigrant population increase, and specifically non-European immigration, is that these individuals often experience a change process from the cultural norms that they were socialized into to new and vastly different cultural norms that characterize the U.S. society. One construct that has been quite popular in attempting to explain this cultural change process is called acculturation. The purpose of this chapter is to explore psychological theories related to acculturation and a closely related construct (enculturation), measurement of these constructs, and research findings bearing on the relations between these constructs and psychological experiences among racial minorities. (PsycINFO Database Record (c) 2017 APA, all rights reserved)</t>
  </si>
  <si>
    <t>http://search.ebscohost.com.proxy-ub.rug.nl/login.aspx?direct=true&amp;db=psyh&amp;AN=2017-11807-002&amp;site=ehost-live&amp;scope=site</t>
  </si>
  <si>
    <t>Acculturation and health: Theory and research.</t>
  </si>
  <si>
    <t>Berry, J. W.</t>
  </si>
  <si>
    <t>Cultural clinical psychology: Theory, research, and practice.</t>
  </si>
  <si>
    <t>1998-07553-002</t>
  </si>
  <si>
    <t>Oxford University Press</t>
  </si>
  <si>
    <t>Acculturation; Cross Cultural Psychology</t>
  </si>
  <si>
    <t>Presents a set of ideas and a selection of research findings that will allow clinicians to better understand and provide services to people of diverse cultural origins who now live together in plural societies. The orientation to these materials is provided from the perspective of cross-cultural psychology, whose central aim has been to demonstrate the influence of cultural factors on the development and display of individual human behavior. In focusing on how people who have developed in one cultural context manage to adapt to new contexts that result from migration, researchers employ the concept of acculturation in 2 ways: first, to refer to the cultural changes resulting from these group encounters; 2nd, the concept of psychological acculturation is used to refer to the psychological changes and eventual outcomes that occur as a result of individuals experiencing acculturation that is underway in their group. (PsycINFO Database Record (c) 2019 APA, all rights reserved)</t>
  </si>
  <si>
    <t>http://search.ebscohost.com.proxy-ub.rug.nl/login.aspx?direct=true&amp;db=psyh&amp;AN=1998-07553-002&amp;site=ehost-live&amp;scope=site</t>
  </si>
  <si>
    <t>Acculturation and help-seeking behavior in consultation: A sociocultural framework for mental health service.</t>
  </si>
  <si>
    <t>Journal of Educational &amp; Psychological Consultation</t>
  </si>
  <si>
    <t>2017-34898-003</t>
  </si>
  <si>
    <t>Acculturation; Cross Cultural Treatment; Help Seeking Behavior; Mental Health Services; Professional Consultation</t>
  </si>
  <si>
    <t>Many immigrant and ethnic minority families demonstrate reluctance to pursue or utilize mental health services in community-based and clinical settings, which often leads to poorer quality of care for children and greater likelihood of early termination. Cultural variations in help-seeking behavior and acculturation are likely to influence consultation participation and process for mental health services. Thus, examining sociocultural context of the consultants, consultees, and clients is critical to the success of multicultural consultation and outcomes. The purpose of the article is to (a) address processes and barriers when engaging in multicultural consultation in community-based and clinical settings, (b) outline the sociocultural context in relation to parent help-seeking behavior, and (c) discuss the effect of acculturation and related sociocultural factors in the participation and process of consultation. (PsycINFO Database Record (c) 2017 APA, all rights reserved)</t>
  </si>
  <si>
    <t>http://search.ebscohost.com.proxy-ub.rug.nl/login.aspx?direct=true&amp;db=psyh&amp;AN=2017-34898-003&amp;site=ehost-live&amp;scope=site</t>
  </si>
  <si>
    <t>Acculturation and Identity: The Role of Individualization Theory.</t>
  </si>
  <si>
    <t>Côté, James E.</t>
  </si>
  <si>
    <t>Human Development</t>
  </si>
  <si>
    <t>2006-03287-002</t>
  </si>
  <si>
    <t>Karger</t>
  </si>
  <si>
    <t>Comment/Reply</t>
  </si>
  <si>
    <t>Acculturation; Ethnic Identity; Immigration; Self-Concept; Social Identity; Cultural Identity</t>
  </si>
  <si>
    <t>Comments on an article by Seth J. Schwartz, Marilyn J. Montgomery and Ervin Briones (see record [rid]2006-03287-001[/rid]). Schwartz et al. begin the process of developing a model with which to understand the acculturation of immigrants within the context of identity theory. To further the development of this model, in this commentary I will lay stress on the point that acculturation among immigrant people can be seen as a special form of the individualization of the life course. In their approach to acculturation among non-white, non-Western immigrants moving to Western nations, the authors argue that identity theory is essential in understanding the adjustments made as part of the acculturation process. The acculturation process is, in their view, an individual one, with each new member both adopting new beliefs and values from the receiving culture and retaining beliefs and values from the culture of origin. Although no empirical work has yet been undertaken extending the identity capital model to how immigrants specifically accrue and exchange identity capital resources, it does provide a theoretical starting point in an area that is without theoretical foundations, as noted by Schwartz, Montgomery and Briones in this issue, and alerts us to factors that can specifically advantage or disadvantage those with different backgrounds and personal characteristics. (PsycInfo Database Record (c) 2020 APA, all rights reserved)</t>
  </si>
  <si>
    <t>http://search.ebscohost.com.proxy-ub.rug.nl/login.aspx?direct=true&amp;db=psyh&amp;AN=2006-03287-002&amp;site=ehost-live&amp;scope=site</t>
  </si>
  <si>
    <t>Acculturation and millennial migration: A cultural congruence framework.</t>
  </si>
  <si>
    <t>Robinson, Alexandra</t>
  </si>
  <si>
    <t>Canadian Journal of Counselling and Psychotherapy</t>
  </si>
  <si>
    <t>2019-50084-002</t>
  </si>
  <si>
    <t>Canadian Counselling and Psychotherapy Association</t>
  </si>
  <si>
    <t>Acculturation; Culture (Anthropological); Human Migration; Models; Ethnic Values</t>
  </si>
  <si>
    <t>As the world becomes more interconnected the impact of migration and acculturation have become an increasingly relevant topic. This article provides a review of the dominant theories of acculturation, a critique of these theories, and suggested revisions to current models that reflect the millennial context of migration. A revised perspective, the Cultural Congruency Framework, is proposed. A key premise of the framework is that individuals contextually engage in strategies to align their values, beliefs, and behaviours to experience cultural congruence. Suggestions are provided for implementing this framework in the context of counselling psychology. (PsycInfo Database Record (c) 2021 APA, all rights reserved)</t>
  </si>
  <si>
    <t>http://search.ebscohost.com.proxy-ub.rug.nl/login.aspx?direct=true&amp;db=psyh&amp;AN=2019-50084-002&amp;site=ehost-live&amp;scope=site</t>
  </si>
  <si>
    <t>Acculturation and psychological adjustment of Vietnamese refugees: An ecological acculturation framework.</t>
  </si>
  <si>
    <t>American Journal of Community Psychology</t>
  </si>
  <si>
    <t>2015-46519-001</t>
  </si>
  <si>
    <t>Acculturation; Emotional Adjustment; Refugees; Vietnamese Cultural Groups; Structural Equation Modeling; Adulthood (18 yrs &amp; older); Young Adulthood (18-29 yrs); Thirties (30-39 yrs); Middle Age (40-64 yrs); Aged (65 yrs &amp; older); Male; Female</t>
  </si>
  <si>
    <t>Acculturation to the culture of the host society as well as to one’s heritage culture have been shown to impact immigrants’ adjustment during the years following resettlement. While acculturation has been identified as an important factor in adjustment of Vietnamese immigrants (Birman and Tran in Am J Orthopsychiatr 78(1):109–120. doi: 10.1037/0002-9432.78.1.109 , 2008), no clear pattern of findings has emerged and too few studies have employed an ecological approach. The purpose of this paper is to contextualize the study of acculturation and adjustment by taking an ecological approach to exploring these relationships across several life domains, using a bilinear scale, and examining mediators of these relationships for adult Vietnamese refugees (N = 203) in the United States. We call this approach the Ecological Acculturation Framework (EAF). Results of a structural equation model (SEM) showed that job satisfaction fully mediated the relationship between American acculturation and psychological distress, demonstrating that this relationship was specific to an occupational domain. However, while Vietnamese acculturation predicted co-ethnic social support satisfaction, it did not predict reduced psychological distress. Implications for a life domains approach, including domain specificity, are discussed. (PsycINFO Database Record (c) 2017 APA, all rights reserved)</t>
  </si>
  <si>
    <t>http://search.ebscohost.com.proxy-ub.rug.nl/login.aspx?direct=true&amp;db=psyh&amp;AN=2015-46519-001&amp;site=ehost-live&amp;scope=site</t>
  </si>
  <si>
    <t>Acculturation and sociocultural factors in children’s mental health services: Applying multicultural consultation frameworks.</t>
  </si>
  <si>
    <t>2017-34898-001</t>
  </si>
  <si>
    <t>Acculturation; Mental Health Services; Sociocultural Factors</t>
  </si>
  <si>
    <t>The article presents an introduction to the Journal of Educational &amp; Psychological Consultation. As immigrants and ethnic minority children and families continue to navigate through the U.S. educational and mental health systems, mental health providers are obligated to engage in cultural responsiveness and provide these children and families with equitable access to these services. However, there is still more work that needs to be done for immigrants across the lifespan to remediate any negative effects stemming from acculturative stress, prejudice and discrimination, or educational or language barriers that they frequently experience as they transition into mainstream society. The authors also understand that there is diversity across immigrant and other acculturating subgroups that must be considered and explored further as we expand our cultural knowledge base. The authors hope that this special issue will prompt meaningful discussion and develop future scholarship pertaining to consultation in order to increase our understanding and better serve the educational and social-emotional needs of children and their families. (PsycINFO Database Record (c) 2017 APA, all rights reserved)</t>
  </si>
  <si>
    <t>http://search.ebscohost.com.proxy-ub.rug.nl/login.aspx?direct=true&amp;db=psyh&amp;AN=2017-34898-001&amp;site=ehost-live&amp;scope=site</t>
  </si>
  <si>
    <t>Acculturation experiences of latina immigrants in suffolk county, new york: A grounded theory study.</t>
  </si>
  <si>
    <t>Wood, Jennifer</t>
  </si>
  <si>
    <t>12-A(E)</t>
  </si>
  <si>
    <t>2015-99110-359</t>
  </si>
  <si>
    <t>Acculturation; Grounded Theory; Human Females; Immigration; Latinos/Latinas</t>
  </si>
  <si>
    <t>This study examines the process of acculturation for female Latina immigrants in Suffolk County, New York. Thirty in-depth audiotaped interviews were conducted with adult women who were born in Mexico, El Salvador, or Ecuador and a theoretical model for acculturation was constructed using grounded theory methodology. The model reflects the lived experiences and perceptions of the participants. It also provides a number of factors involved in the acculturative process and attainment of acculturative goals for the participants. Social, psychological, cultural, and environmental supports and barriers are presented that impact the acculturative process. Findings suggest that the level of acculturation attained resulted from decisions made by the participants and their perceptions of their own autonomy and empowerment. Implications are provided for social work theory, practice, research, and public policy. (PsycINFO Database Record (c) 2016 APA, all rights reserved)</t>
  </si>
  <si>
    <t>http://search.ebscohost.com.proxy-ub.rug.nl/login.aspx?direct=true&amp;db=psyh&amp;AN=2015-99110-359&amp;site=ehost-live&amp;scope=site</t>
  </si>
  <si>
    <t>Acculturation in preventive health for immigrants: A systematic review on influenza vaccination programs in a socio-ecological framework.</t>
  </si>
  <si>
    <t>Canadian Psychology/Psychologie canadienne</t>
  </si>
  <si>
    <t>2016-51980-012</t>
  </si>
  <si>
    <t>Acculturation; Health Care Services; Immigration; Immunization; Prevention; Preventive Health Services</t>
  </si>
  <si>
    <t>Engaging immigrants in preventive health care programs, such as vaccination, constitutes a challenge. Existing programs tend to conflate issues related to immigrant status with ethnic or racial minorities. These programs also tend to ignore that acculturation and cultural discourse in health may vary depending on the immigrant subgroup and the host community’s social environment. This paper addresses the gap in the literature by proposing a conceptual framework that uses a socioecological perspective to outline acculturation and cultural factors in immigrants’ preventive health behaviours. To this end, we synthesized the literature on acculturation and cultural perspectives on preventive health among immigrants. We used a case study on influenza vaccination among Chinese immigrants to illustrate the importance of targeting and tailoring approaches to specific immigrant subgroups. We performed a critical examination of 10 existing influenza vaccination programs adapted for immigrants and ethnic minorities to outline their cultural sensitivity in surface- and deep- structure components. Finally, we proposed a conceptual framework integrating the acculturation factors, cultural elements, and cultural anatomy of the reviewed programs with application to Chinese immigrants as a demonstration of cultural sensitivity. The discussion includes limitations, recommendations, and future directions resulting from this framework to help inform cultural adaptation of preventive health programs for immigrants. (PsycInfo Database Record (c) 2020 APA, all rights reserved)</t>
  </si>
  <si>
    <t>http://search.ebscohost.com.proxy-ub.rug.nl/login.aspx?direct=true&amp;db=psyh&amp;AN=2016-51980-012&amp;site=ehost-live&amp;scope=site</t>
  </si>
  <si>
    <t>Acculturation orientations: A facet theory perspective on the bidimensional model.</t>
  </si>
  <si>
    <t>Ben-Shalom, Uzi; Horenczyk, Gabriel</t>
  </si>
  <si>
    <t>Journal of Cross-Cultural Psychology</t>
  </si>
  <si>
    <t>2003-02007-005</t>
  </si>
  <si>
    <t>Acculturation; Ethnic Identity; Immigration; Racial and Ethnic Attitudes; Statistical Analysis; Expectations; Models; Theories; Cultural Identity; Adulthood (18 yrs &amp; older); Male; Female</t>
  </si>
  <si>
    <t>Applied facet theory to validate J. W. Berry's bidimensional conceptualization and measurement of acculturation attitudes and its extension by G. Horenczyk to include acculturation expectations. Three components of facet theory (mapping sentence, confirmatory SSA [smallest space analysis], and SSA with external variables) are proposed as valuable tools for the purpose of cross-cultural validation and theory building. In total, 526 Israeli immigrants from the former Soviet Union completed questionnaires assessing own and 'perceived expected' acculturation attitudes, as well as a questionnaire measuring the strength of their cultural identities. The bidimensional 'radex' configuration of acculturation attitudes confirms expected distinctions (a) between integration, separation, assimilation, and marginalization types of acculturation attitudes and (b) between similarly structured own immigrants' attitudes and the expectations attributed to hosts. Moreover, the distinct placement of group identifications and sociodemographic characteristics as external variables in the bidimensional space corroborates the concurrent and discriminant validity of the acculturation model and measurement. A table of questionnaire items is appended. (PsycInfo Database Record (c) 2020 APA, all rights reserved)</t>
  </si>
  <si>
    <t>http://search.ebscohost.com.proxy-ub.rug.nl/login.aspx?direct=true&amp;db=psyh&amp;AN=2003-02007-005&amp;site=ehost-live&amp;scope=site</t>
  </si>
  <si>
    <t>Acculturation theory.</t>
  </si>
  <si>
    <t>Ea, Emerson E.</t>
  </si>
  <si>
    <t>Theories guiding nursing research and practice: Making nursing knowledge development explicit.</t>
  </si>
  <si>
    <t>2014-24759-014</t>
  </si>
  <si>
    <t>Springer Publishing Company</t>
  </si>
  <si>
    <t>Acculturation; Globalization; Immigration; Theories; Health Disparities</t>
  </si>
  <si>
    <t>The concept of acculturation is a frequently described and explored variable in studies about immigration, globalization, immigrant health, and health disparities. As the world becomes more interconnected and as global migration intensifies, there is a need to examine the process of how individuals and groups integrate into a different culture. Acculturation is a challenging concept to define and conceptualize. Many theories and conceptual frameworks have attempted to explain how this procedure occurs and how it influences personal, work-, and health-related outcomes. Berry's (1980, 1997, 2003) conceptual framework on acculturation is frequently used in exploring this multidimensional idea because it provides a comprehensive model to capture this elusive phenomenon. (PsycINFO Database Record (c) 2020 APA, all rights reserved)</t>
  </si>
  <si>
    <t>http://search.ebscohost.com.proxy-ub.rug.nl/login.aspx?direct=true&amp;db=psyh&amp;AN=2014-24759-014&amp;site=ehost-live&amp;scope=site</t>
  </si>
  <si>
    <t>Acculturation, coping, and integration success of international skilled migrants: An integrative review and multilevel framework.</t>
  </si>
  <si>
    <t>Hajro, Aida; Stahl, Günter K.; Clegg, Callen C.; Lazarova, Mila B.</t>
  </si>
  <si>
    <t>Human Resource Management Journal</t>
  </si>
  <si>
    <t>2019-11374-001</t>
  </si>
  <si>
    <t>Wiley-Blackwell Publishing Ltd.</t>
  </si>
  <si>
    <t>Acculturation; Coping Behavior; Human Migration; Human Resource Management; Employee Skills; Social Integration; Adulthood (18 yrs &amp; older)</t>
  </si>
  <si>
    <t>In this article, we review the limited but growing body of research on international skilled migrants and examine to what extent knowledge generated in adjacent research streams—specifically, work on assigned and self‐initiated expatriates—can be meaningfully applied to aid our understanding of the challenges, coping strategies, and acculturation dynamics of skilled migrants. We develop a framework that explains how variables and processes at multiple levels (individual, organisational, and societal) influence migrant acculturation and coping and result in integration‐related outcomes in the domains of personal/family life and workplace/career. We discuss directions for future research and implications for practice. (PsycINFO Database Record (c) 2020 APA, all rights reserved)</t>
  </si>
  <si>
    <t>http://search.ebscohost.com.proxy-ub.rug.nl/login.aspx?direct=true&amp;db=psyh&amp;AN=2019-11374-001&amp;site=ehost-live&amp;scope=site</t>
  </si>
  <si>
    <t>Acculturation: Conceptual background and core components.</t>
  </si>
  <si>
    <t>Sam, David L.</t>
  </si>
  <si>
    <t>The Cambridge handbook of acculturation psychology.</t>
  </si>
  <si>
    <t>2006-12832-002</t>
  </si>
  <si>
    <t>10.1017/CBO9780511489891.005</t>
  </si>
  <si>
    <t>Cambridge University Press</t>
  </si>
  <si>
    <t>Acculturation; Social Sciences; Theory Formulation</t>
  </si>
  <si>
    <t>Although acculturation is now a term commonly used in discussions around immigrants and refugees, the term, its meaning and operationalization within the social sciences still remain elusive. The elusive nature of the concept has, no doubt, limited the scientific exchange of information and meaningful discussion around research findings and theory development. The goal of this chapter is to clarify the concept's definition, its use in the social sciences and the implications of both for research and theory development. As an introduction to the concept in a comprehensive handbook, the main emphasis of the chapter will be to give a broad overview. A more detailed coverage of the various aspects of the concept can be found in other chapters in this Handbook, and in particular elsewhere in Part I. This chapter will first give a brief historical background to the concept as a means to understanding the (mis-)use of the concept. Subsequently the 'building blocks' of the concept will be examined to highlight its scope for research and theory development. In addition, related concepts will be defined. (PsycInfo Database Record (c) 2020 APA, all rights reserved)</t>
  </si>
  <si>
    <t>http://search.ebscohost.com.proxy-ub.rug.nl/login.aspx?direct=true&amp;db=psyh&amp;AN=2006-12832-002&amp;site=ehost-live&amp;scope=site</t>
  </si>
  <si>
    <t>Acculturative family distancing: Psychometric analysis with the extended two-tier item response theory.</t>
  </si>
  <si>
    <t>Psychological Assessment</t>
  </si>
  <si>
    <t>2014-05055-001</t>
  </si>
  <si>
    <t>American Psychological Association</t>
  </si>
  <si>
    <t>Acculturation; Cross Cultural Differences; Family; Immigration; Psychometrics; Item Analysis (Statistical); Item Response Theory; Questionnaires; Adolescence (13-17 yrs); Adulthood (18 yrs &amp; older); Young Adulthood (18-29 yrs); Male; Female</t>
  </si>
  <si>
    <t>The Acculturative Family Distancing (AFD) rating questionnaire measures the distancing that occurs between immigrant parents and their children, which is caused by breakdowns in communication and cultural value differences. The items included in the AFD questionnaire are indicators for more proximal and problem-focused aspects of the acculturation gap. In this study, a psychometric analysis is performed on the data gathered with the AFD instrument. One hundred twenty-three Chinese American families (112 mothers, 85 fathers, and 120 children for a total of 317) completed the questionnaire. In addition, the specifications for an extended 2-tier item factor analysis model within a Bayesian multidimensional item response theory framework are provided to psychometrically analyze the AFD data. Results suggest that the original 2 dimensions of Communication Difficulties and Cultural Values Incongruency can be further refined into 4 clinically relevant dimensions (i.e., Verbal Communication Difficulties, Nonverbal Communication Difficulties, General Cultural Values Incongruency, and Family Values Incongruency). Moreover, reducing the number of items can improve AFD estimates and reduce assessment burden. (PsycINFO Database Record (c) 2016 APA, all rights reserved)</t>
  </si>
  <si>
    <t>http://search.ebscohost.com.proxy-ub.rug.nl/login.aspx?direct=true&amp;db=psyh&amp;AN=2014-05055-001&amp;site=ehost-live&amp;scope=site</t>
  </si>
  <si>
    <t>Acculturative family distancing: Theory, research, and clinical practice.</t>
  </si>
  <si>
    <t>Psychotherapy: Theory, Research, Practice, Training</t>
  </si>
  <si>
    <t>2006-23019-004</t>
  </si>
  <si>
    <t>Acculturation; Culture (Anthropological); Family; Psychotherapy; Asians; Immigration; Adolescence (13-17 yrs); Adulthood (18 yrs &amp; older); Middle Age (40-64 yrs); Female</t>
  </si>
  <si>
    <t>Despite the rapidly growing immigrant population settling in the United States, our knowledge of acculturative processes and their impact on immigrant families remains quite limited. This article describes a theoretical construct called Acculturative Family Distancing (AFD), the distancing that occurs between immigrant parents and children that is a result of immigration, cultural differences, and differing rates of acculturation. AFD occurs along two dimensions: communication and cultural values. Breakdowns in communication and incongruent cultural values between immigrant parents and children are hypothesized to increase over time and place families at risk for mental illness and family dysfunction. Clinical illustrations of AFD's impact on immigrant Asian families are provided and recommendations for dealing with AFD are presented. (PsycINFO Database Record (c) 2016 APA, all rights reserved)</t>
  </si>
  <si>
    <t>http://search.ebscohost.com.proxy-ub.rug.nl/login.aspx?direct=true&amp;db=psyh&amp;AN=2006-23019-004&amp;site=ehost-live&amp;scope=site</t>
  </si>
  <si>
    <t>Acculturative stress in professional immigrants: Towards a cultural theory of stress.</t>
  </si>
  <si>
    <t>Bhagat, Rabi S.; Davis, Charlotte A.; London, Manuel L.</t>
  </si>
  <si>
    <t>Handbook of managerial behavior and occupational health.</t>
  </si>
  <si>
    <t>2012-18286-024</t>
  </si>
  <si>
    <t>10.4337/9781848447219.00035</t>
  </si>
  <si>
    <t>Edward Elgar Publishing</t>
  </si>
  <si>
    <t>Acculturation; Immigration; Occupational Stress; Working Conditions; Adulthood (18 yrs &amp; older)</t>
  </si>
  <si>
    <t>In this chapter, we are concerned with the antecedents and consequences of psychological acculturation in professional immigrants. In recent years, research has begun to focus more on the dynamics of immigration to countries outside of the US. For example, studies have examined stressors surrounding the resettlement of Central Americans in Canada and workplace stress of women in the People's Republic of China and Hong Kong as well as the US. The phenomenon of flow of professional immigrants and the accompanying acculturative stresses is not limited to the US. In fact, there have been parallel incidents of acculturative stresses in countries such as France, the UK, Germany, Israel, and Russia. What we notice in each of these cases is that acculturation and acculturative stresses are primarily confined to the professional immigrant groups who migrate from collectivistic countries of Southeast and South Asia to G8 countries. Pottie et al. (2005) examined acculturation and acculturative stress of Central American male immigrants into Canada. There have also been several studies focusing on Russian immigrants to Israel in the 1980s; however, our research shows that there have been considerably more studies of acculturation and acculturative stresses of immigrants from developing nations into the US and Canada. (PsycInfo Database Record (c) 2020 APA, all rights reserved)</t>
  </si>
  <si>
    <t>http://search.ebscohost.com.proxy-ub.rug.nl/login.aspx?direct=true&amp;db=psyh&amp;AN=2012-18286-024&amp;site=ehost-live&amp;scope=site</t>
  </si>
  <si>
    <t>Adapting to a New Culture: An Integrative Communication Theory.</t>
  </si>
  <si>
    <t>Kim, Young Yun</t>
  </si>
  <si>
    <t>Theorizing about intercultural communication.</t>
  </si>
  <si>
    <t>2005-01619-016</t>
  </si>
  <si>
    <t>Sage Publications Ltd</t>
  </si>
  <si>
    <t>Adaptation; Communication Theory; Cross Cultural Differences</t>
  </si>
  <si>
    <t>Millions of people change homes each year, crossing cultural boundaries. Immigrants and refugees resettle in search of a new life, side by side with temporary sojourners finding employment overseas as artists, musicians, writers, accountants, teachers, and construction workers. Diplomats and other governmental agency employees, business managers, Peace Corps volunteers, researchers, professors, students, military personnel, and missionaries likewise carry out their work overseas for varying lengths of time. Individuals such as these are contemporary pioneers venturing into an unfamiliar cultural terrain where many of the business-as-usual ways of doing things lose their relevance. Even relatively short-term sojourners must be at least minimally concerned with building a healthy functional relationship with the host environment in ways similar to the native population. As they confront their predicaments as strangers and engage in new learning for an improved 'goodness-of-fit,' they begin to undergo a gradual process of personal transformation beyond their original cultural perimeters and toward a more inclusive and less categorical self-conception and self-other orientation. This description-in-a-nutshell points to the cross-cultural adaptation phenomenon being theorized in this chapter. (PsycInfo Database Record (c) 2020 APA, all rights reserved)</t>
  </si>
  <si>
    <t>http://search.ebscohost.com.proxy-ub.rug.nl/login.aspx?direct=true&amp;db=psyh&amp;AN=2005-01619-016&amp;site=ehost-live&amp;scope=site</t>
  </si>
  <si>
    <t>Advancing acculturation theory and research: The acculturation process in its ecological context.</t>
  </si>
  <si>
    <t>Current Opinion in Psychology</t>
  </si>
  <si>
    <t>2016-45597-020</t>
  </si>
  <si>
    <t>Acculturation; Sociocultural Factors; Ecology; Stress; Theories; Well Being</t>
  </si>
  <si>
    <t>Continued intercultural contact leads to challenges and changes. As part of this process, the acculturating individual deals with acculturative stressors whose negative effects on well-being can be buffered or exacerbated by coping reactions. A second component of the acculturation process involves the acquisition, maintenance, and change of cultural behaviors, values and identities associated with heritage and settlement cultures. Both acculturative stress and acculturative change unfold in an ecological context. Within the family, acculturation discrepancies between parents and children affect acculturation trajectories and outcomes. At the institutional level, the school and workplace exert significant influences on the acculturation of young people and working adults, respectively. At the societal level attitudes, policies and prejudice affect the acculturation experiences of sojourners and immigrants and influence their psychological and socio-cultural adaptation. (PsycINFO Database Record (c) 2016 APA, all rights reserved)</t>
  </si>
  <si>
    <t>http://search.ebscohost.com.proxy-ub.rug.nl/login.aspx?direct=true&amp;db=psyh&amp;AN=2016-45597-020&amp;site=ehost-live&amp;scope=site</t>
  </si>
  <si>
    <t>Alcohol use among recent immigrant Latino/a youth: Acculturation, gender, and the Theory of Reasoned Action.</t>
  </si>
  <si>
    <t>Ethnicity &amp; Health</t>
  </si>
  <si>
    <t>2016-44048-008</t>
  </si>
  <si>
    <t>Acculturation; Alcohol Drinking Patterns; Human Sex Differences; Immigration; Reasoned Action; Adolescent Psychopathology; Latinos/Latinas; Adolescence (13-17 yrs); Male; Female</t>
  </si>
  <si>
    <t>Objective: Latino/a youth are at risk for alcohol use. This risk seems to rise with increasing US cultural orientation and decreasing Latino cultural orientation, especially among girls. To ascertain how acculturation may influence Latino/a youth alcohol use, we integrated an expanded multi-domain model of acculturation with the Theory of Reasoned Action. Design: Participants were 302 recent Latino/a immigrant youth (141 girls, 160 boys; 152 from Miami, 150 from Los Angeles) who completed surveys at 4 time points. Youth completed measures of acculturation, attitudes toward drinking, perceived subjective norms regarding alcohol use, intention to drink, and alcohol use.Results. Structural equation modeling indicated that collectivistic values predicted more perceived disapproval of drinking, which negatively predicted intention to drink. Intention to drink predicted elevated alcohol use. Conclusion: Although the association between collectivistic values and social disapproval of drinking was relatively small (β = .19, p &lt; .05), findings suggest that collectivistic values may help protect Latino/a immigrant youth from alcohol use by influencing their perceived social disapproval of drinking, leading to lower intention to drink. Educational preventive interventions aimed at reducing or preventing alcohol use in recent Latino/a immigrant youth could promote collectivistic values and disseminate messages about the negative consequences of drinking. (PsycINFO Database Record (c) 2016 APA, all rights reserved)</t>
  </si>
  <si>
    <t>http://search.ebscohost.com.proxy-ub.rug.nl/login.aspx?direct=true&amp;db=psyh&amp;AN=2016-44048-008&amp;site=ehost-live&amp;scope=site</t>
  </si>
  <si>
    <t>An episodic framework of outgroup interaction processing: Integration and redirection for the expatriate adjustment research.</t>
  </si>
  <si>
    <t>Maertz, Carl P. Jr.; Takeuchi, Riki; Chen, Jieying</t>
  </si>
  <si>
    <t>Psychological Bulletin</t>
  </si>
  <si>
    <t>2015-56704-001</t>
  </si>
  <si>
    <t>10.1037/bul0000032</t>
  </si>
  <si>
    <t>Adjustment; Cross Cultural Differences; Expatriates; Ingroup Outgroup; Interpersonal Interaction; Experimentation; Adulthood (18 yrs &amp; older)</t>
  </si>
  <si>
    <t>Cross-cultural research has traditionally emphasized predicting adjustment, treating it as a level to be achieved more than a change process to be understood and controlled. The lack of focus on process integration has inhibited our understanding of precisely why and how adjustment processes unfold and ultimately cause (dys)functional change in criteria. In response, we review the motives and processes of cross-cultural adjustment and integrate these into a theoretical framework, examining the discrete episode of expatriate-host national interaction as the focal vehicle for change. First, we synthesize the general causal sequence within an interaction episode. We then summarize state inputs that condition processing. Next, we describe identity management and learning processing in depth. Then, we discuss key interactions among the motive and processing categories. Finally, we orient the cross-cultural interaction episode within the nomological network of cross-cultural adjustment predictors and criteria. This framework prescribes that an expatriate should initially reduce acculturative stress through repeated, functional identity management and learning processing of novelty encountered in cross-cultural interaction episodes. To do so, one must avoid inhibitory input states and the many potential processing failures identified here. If the expatriate experiences enough such functional interaction episodes, a 'Stage 2' is reached where the motive to reduce stress has been largely overcome, and thereafter, interaction episode processing proceeds more functionally in general. (PsycInfo Database Record (c) 2020 APA, all rights reserved)</t>
  </si>
  <si>
    <t>http://search.ebscohost.com.proxy-ub.rug.nl/login.aspx?direct=true&amp;db=psyh&amp;AN=2015-56704-001&amp;site=ehost-live&amp;scope=site</t>
  </si>
  <si>
    <t>An exploration of behavioral theory constructs in a transcultural context.</t>
  </si>
  <si>
    <t>Health Education &amp; Behavior</t>
  </si>
  <si>
    <t>5, Suppl</t>
  </si>
  <si>
    <t>2009-19269-006</t>
  </si>
  <si>
    <t>Health Attitudes; Mammography; Screening; Susceptibility (Disorders); Asians; Immigration; Sociocultural Factors; Latinos/Latinas; Female</t>
  </si>
  <si>
    <t>This article describes how the social context of transculturation (cultural change processes) and transmigration (migration in which relationships are sustained across national boundaries) can directly influence use of mammography screening. The authors conducted semistructured interviews with Latino and Filipino academics and social service providers and with U.S.-born and immigrant Latinas and Filipinas to explore direct and indirect influences of social context on health behavior (Behavioral Constructs and Culture in Cancer Screening study). Iterative analyses identified themes of the transcultural domain: colonialism, immigration, discrimination, and therapeutic engagement. In this domain, the authors examine two key behavioral theory constructs, perceptions of susceptibility to illness and perceptions of benefits of preventive medical care. The findings raise concerns about interventions to promote mammography screening primarily based on provision of scientific information. The authors conclude that social context affects behavior directly rather than exclusively through beliefs as behavioral theory implies and that understanding contextual influences, such as transculturation, points to different forms of intervention. (PsycINFO Database Record (c) 2016 APA, all rights reserved)</t>
  </si>
  <si>
    <t>http://search.ebscohost.com.proxy-ub.rug.nl/login.aspx?direct=true&amp;db=psyh&amp;AN=2009-19269-006&amp;site=ehost-live&amp;scope=site</t>
  </si>
  <si>
    <t>An innovative lens for comprehending the human experience in society: An analysis of the acculturation theory.</t>
  </si>
  <si>
    <t>Nguyen, Tram; Baptiste, Sue</t>
  </si>
  <si>
    <t>2015-27971-012</t>
  </si>
  <si>
    <t>Acculturation; Immigration; Innovation; Life Experiences; Society; Theories</t>
  </si>
  <si>
    <t>There is increasing momentum in the 21st century to examine person-environment interactions as essential components in understanding human integration (immigration, relocation) and transitions (developmental stage, retirement, education, marital status) from one context to me next. Regardless of age, gender, ethnicity, we all experience transitions on a daily basis and these transitions are fundamental to human growth and development. Acculturation theory provides a lens into how individuals and groups experience cultural and contextual shifts and examine more specifically the psychological and behavior challenges. The objective of this chapter is to discuss the meoretical underpinnings of acculturation theory while embedding narratives of the acculturation experience and process drawn from personal and professional knowledge. The integration of acculturation theory and inherent concepts can provide a reassuring framework upon which to rely in interpreting human integration within society and exploring responses and behaviours. Cultural humility and cultural intelligence will reduce fear of diversity and establish positive partnerships between individuals and groups. Acculturation can become a natural worldview for understanding human experience if embraced within mainstream ideologies. (PsycInfo Database Record (c) 2020 APA, all rights reserved)</t>
  </si>
  <si>
    <t>http://search.ebscohost.com.proxy-ub.rug.nl/login.aspx?direct=true&amp;db=psyh&amp;AN=2015-27971-012&amp;site=ehost-live&amp;scope=site</t>
  </si>
  <si>
    <t>An integrative theoretical framework of acculturation and salutogenesis.</t>
  </si>
  <si>
    <t>International Review of Psychiatry</t>
  </si>
  <si>
    <t>2012-02445-009</t>
  </si>
  <si>
    <t>Informa Healthcare</t>
  </si>
  <si>
    <t>Acculturation; Mental Health; Stress; Sense of Coherence</t>
  </si>
  <si>
    <t>During the last two decades, the number of international migrants worldwide has constantly risen. In this context, cross-cultural dimensions of psychological disorders receive increased attention, especially depression, anxiety and post-traumatic stress disorders among the migrant population. In this paper we propose a theoretical framework for the understanding of migrant mental health. This framework combines elements from Berry's acculturation model and Antonovsky's salutogenic theory. The former illustrates the main factors that affect an individual's adaptation in a new cultural context. The term acculturative stress denotes unresolved problems resulting from intercultural contact that cannot be overcome easily by simply adjusting or assimilating. The latter specifies the relationship between culturally associated stress and mental health more distinctive, introducing the concepts of generalized resistance resources and sense of coherence that determine mental health outcomes of migrants during acculturative stress periods. Specifically, we provide an integrative framework of acculturation and salutogenesis that helps to integrate inconsistent findings in the migrant mental health literature. The current paper focuses on the effect of resource factors for positive mental health outcomes in the migrant population and summarises some implications for future research activities. (PsycINFO Database Record (c) 2016 APA, all rights reserved)</t>
  </si>
  <si>
    <t>http://search.ebscohost.com.proxy-ub.rug.nl/login.aspx?direct=true&amp;db=psyh&amp;AN=2012-02445-009&amp;site=ehost-live&amp;scope=site</t>
  </si>
  <si>
    <t>An intergenerational conceptualisation of Italian-Australian ethnic identity through Bourdieu and Heidegger.</t>
  </si>
  <si>
    <t>Social Identities: Journal for the Study of Race, Nation and Culture</t>
  </si>
  <si>
    <t>2019-63073-001</t>
  </si>
  <si>
    <t>Ethnic Identity; Family; Immigration; Intergenerational Relations; Social Perception; Phenomenology; Adulthood (18 yrs &amp; older); Male; Female</t>
  </si>
  <si>
    <t>This paper provides a phenomenological reconceptualisation of ethnic identity. Drawing upon a case study of a family originating in Calabria, Italy, and living in Adelaide, South Australia, I consider the way in which the three generations perceive their ‘being ethnic’ across time and space. The first-generation participants were born in Italy and migrated to Australia during the 1950s; the second generation are their children; and the third generation are the children of the second generation. The findings show a widespread intergenerational identification of ethnicity as ‘being Italian’, which, however, has different meanings across the three generations. This depends on the participants’ phenomenological perceptions of being thrown into the world [Heidegger, M. (1962). Being and time. (J. Macquarie &amp; E. Robinson, Trans.). New York, NY: Harper]. Some 40 years after Huber’s [(1977). From pasta to Pavlova: A comparative study of Italian settlers in Sydney and Griffith. St Lucia: University of Queensland Press] study about the assimilation of Italian-Australians published in her book From Pasta to Pavlova, the present paper shows a movement from pavlova to pasta, especially by the third-generation participants, who experience a sense of ethnic revival. Essential in such a shift of ethnic identity is what I refer to as institutional positionality; that is, one’s perceptions of the position of one’s ‘ethnic being in the world’. This is investigated by combining with the sociology of migration, including the Bourdieusian conceptual apparatus of capital [Bourdieu, P. (1986). The forms of capital. In J. Richardson (Ed.), Handbook of theory and research in the sociology of education (pp. 241–258). New York, NY: Greenwood Press], a Heideggerian existential theory [Heidegger, 1962]. Such a juxtaposition provides further reflexivity through a reconceptualisation that considers the role of ontology in the sociology of migration. (PsycInfo Database Record (c) 2020 APA, all rights reserved)</t>
  </si>
  <si>
    <t>http://search.ebscohost.com.proxy-ub.rug.nl/login.aspx?direct=true&amp;db=psyh&amp;AN=2019-63073-001&amp;site=ehost-live&amp;scope=site</t>
  </si>
  <si>
    <t>Application of Rotter's Social Learning Theory: Assessing intrapsychic conflict and predicting psychological distress among South Asian immigrant parents.</t>
  </si>
  <si>
    <t>Simjee, Fauzia</t>
  </si>
  <si>
    <t>1995-95021-165</t>
  </si>
  <si>
    <t>Asians; Distress; Freedom; Needs; Social Learning; Immigration; Parents; South Asian Cultural Groups; Spouses; Theories; Adulthood (18 yrs &amp; older); Male; Female</t>
  </si>
  <si>
    <t>This study tested the applicability and generalizability of certain Social Learning Theory (SLT) principles and procedures. questionnaires specific to South Asian parents, which assess Need Value (NV) and Freedom of Movement (FM) were developed for this purpose. Conflict, or the discrepancy between NV and FM, was assessed to predict psychological distress, the outcome variable in this study, among South Asian parents. The goal was to establish the generalizability of SLT as well as empirically establish areas of conflict around which psychological intervention might be beneficial. Two hundred and six volunteer South Asian subjects completed the questionnaires utilized in this study. Two samples, each consisting of 103 subjects were created with the constraint that equal numbers of males and females and equal numbers of the three main South Asian religious groups (Muslim, Hindu, and Sikh) were included in each sample. This was done to maintain independence of data due to the fact that the majority of the subject pool consisted of both members of a marital dyad. It was hypothesized that there would be a positive correlation between level of conflict (defined as magnitude of positive discrepancy when FM is subtracted from NV) and level of psychological distress as measured by the Symptom Checklist-90-Revised (SCL-90-R). Empirical questions were also formulated based on variables including acculturation, ethnic identity, marital satisfaction, life stress, SLT variables, and demographics. A final empirical question, concerned with whether any of the 10 SCL-90-R subscales would be better predicted by the SLT variables, was also constructed. Overall, the main hypothesis concerning the predicted positive relationship between conflict (NV minus FM) and SCL-90-R scores was not confirmed. The two samples provided weak and somewhat mixed results. Data from Sample 1 did yield limited support for the correlation between conflict and psychological distress. With respect to the Emp (PsycINFO Database Record (c) 2016 APA, all rights reserved)</t>
  </si>
  <si>
    <t>http://search.ebscohost.com.proxy-ub.rug.nl/login.aspx?direct=true&amp;db=psyh&amp;AN=1995-95021-165&amp;site=ehost-live&amp;scope=site</t>
  </si>
  <si>
    <t>Applying acculturation theory and power elite theory on a social problem: Political underrepresentation of the Hispanic population in Texas.</t>
  </si>
  <si>
    <t>2016-18565-001</t>
  </si>
  <si>
    <t>Acculturation; Civil Rights; Social Issues; Voting Behavior; Latinos/Latinas; Adulthood (18 yrs &amp; older); Young Adulthood (18-29 yrs); Thirties (30-39 yrs); Middle Age (40-64 yrs); Aged (65 yrs &amp; older); Male; Female</t>
  </si>
  <si>
    <t>Legislative underrepresentation of the Hispanic population is a serious social problem in Texas. Hispanics in the Texas legislature comprise approximately 21% of the total legislative body, yet the Hispanic population is approximately 35% of the total population in Texas. Acculturation and Power Elite theories can enhance our understanding, providing a useful framework for explaining the underrepresentation phenomenon and identifying implications for further research. Acculturation refers to the internal processes of change that immigrants experience when they come into direct contact with members of the host culture, in this case Hispanics. Power elite theory is a concept of how the balance of power is maintained within the societal structure, in this case Texas. Together, these theories can account for underrepresentation and can help to form a strategy for Hispanics to overcome the underrepresentation phenomenon in Texas. (PsycINFO Database Record (c) 2016 APA, all rights reserved)</t>
  </si>
  <si>
    <t>http://search.ebscohost.com.proxy-ub.rug.nl/login.aspx?direct=true&amp;db=psyh&amp;AN=2016-18565-001&amp;site=ehost-live&amp;scope=site</t>
  </si>
  <si>
    <t>Applying Bourdieu’s capital-field-habitus framework to migrant careers: Taking stock and adding a transnational perspective.</t>
  </si>
  <si>
    <t>Joy, Simy; Game, Annilee M.; Toshniwal, Ishita G.</t>
  </si>
  <si>
    <t>The International Journal of Human Resource Management</t>
  </si>
  <si>
    <t>2020-87431-001</t>
  </si>
  <si>
    <t>10.1080/09585192.2018.1454490</t>
  </si>
  <si>
    <t>Human Migration; Occupational Choice; Occupations; Mental Lexicon; Social Integration; Adulthood (18 yrs &amp; older)</t>
  </si>
  <si>
    <t>HRM and Migration scholars increasingly employ Bourdieu’s concepts of capitals, fields and habitus to explain the interrelationships between migrant careers and context. Both literatures employ a Bourdieusean framework to examine devaluation of migrant capitals in host nations and migrant responses to such devaluation. However, their explanations are based on different assumptions of context. HRM literature regards migrants as confined to the host nation context, whereas Migration literature places them in a transnational context, spanning both originating and host nations. In this conceptual paper, we argue for integrating transnational perspectives into HRM literature to offer a more accurate portrayal of contemporary migrant lives, and to capture greater nuance in migrant career experiences. We seek to expand the conceptual lexicon to support new conceptualisations of transnational context, and to explore how locating a Bourdieusean framework in transnational contexts enhances its ability to explain migrant career experiences. (PsycInfo Database Record (c) 2021 APA, all rights reserved)</t>
  </si>
  <si>
    <t>http://search.ebscohost.com.proxy-ub.rug.nl/login.aspx?direct=true&amp;db=psyh&amp;AN=2020-87431-001&amp;site=ehost-live&amp;scope=site</t>
  </si>
  <si>
    <t>Applying Ecodevelopmental Theory and the Theory of Reasoned Action to understand HIV risk behaviors among Hispanic adolescents.</t>
  </si>
  <si>
    <t>Ortega, Johis</t>
  </si>
  <si>
    <t>2-B</t>
  </si>
  <si>
    <t>2011-99160-130</t>
  </si>
  <si>
    <t>Economic Development; HIV; Risk Assessment; Reasoned Action; Latinos/Latinas; Childhood (birth-12 yrs); School Age (6-12 yrs); Adolescence (13-17 yrs)</t>
  </si>
  <si>
    <t>The number of adolescents in the U.S. who engage in risk behaviors such as alcohol and drug use and unsafe sexual practices has reached alarming levels, with Hispanic adolescents in particular reporting high rates of substance use and sexual activity. This study explored risk and protective factors that influence high-risk behaviors in Hispanic adolescents. A theoretical model was developed based on an integration of Ecodevelopmental Theory and the Theory of Reasoned Action to investigate individual and social factors that affect the risk behaviors of Hispanic adolescents. This study was a cross-sectional, descriptive, secondary investigation of the baseline data of a combined sample of 493 Hispanic adolescent 7th and 8th graders and their immigrant parents who had been recruited for participation in the Familias Efficacy I and II studies. The hypothesized model of relationships included 3 direct effects variables: parent-adolescent communication about sex; adolescent condom use self-efficacy; and family functioning, which integrated 4 constructs: parental involvement; positive parenting; family communication; and parent-adolescent communication. The study model also included 3 indirect variables: parents’ acculturation; differential acculturation; and parent’s HIV knowledge. Three adolescent risk behaviors served as outcome variables: condom use; drinking alcohol while having sex; and substance use. It was hypothesized that (1) family functioning, parent-adolescent communication about sex, and adolescent self efficacy would all be directly related to adolescent risk behaviors; (2) parent’s acculturation would be related to adolescent risk behaviors indirectly through its association with parent’s HIV knowledge and parent-adolescent communication about sex; and (3) differential acculturation would be related to adolescent risk behaviors indirectly through its association with family functioning, adolescent condom use self-efficacy, and parent-adolescent communication about sex. Cronbach’s α computed for all measures yielded good to excellent reliability coefficients. Pearson linear correlation coefficients were calculated between all of the study variables, followed by confirmatory factor analysis to ascertain the feasibility of collapsing multiple indicators of family functioning and HIV/STIs risk behaviors into single latent variables. Finally, the hypothesized structural equation model was estimated. Beta coefficients were calculated to examine direct effects and Mackinnon’s asymmetric distribution of product test was used to evaluate mediated effects. Data analysis failed to confirm any of the study hypotheses; however, post-hoc analyses yielded findings that merit further study. Family functioning emerged as the heart of the model, embedded within a web of direct and mediated relationships. Additional findings suggest that family functioning mediates the effect of parents’ acculturation and of parents’ HIV knowledge on adolescent risk behaviors. Study limitations include its cross-sectional design, self-report measures, convenience sample and integration of clinical and non-clinical samples. Suggestions are provided for researchers to further explore relationships among the variables, and recommendations made for community nursing practitioners to develop, implement and evaluate HIV/STIs prevention programs for Hispanic adolescents. (PsycINFO Database Record (c) 2016 APA, all rights reserved)</t>
  </si>
  <si>
    <t>http://search.ebscohost.com.proxy-ub.rug.nl/login.aspx?direct=true&amp;db=psyh&amp;AN=2011-99160-130&amp;site=ehost-live&amp;scope=site</t>
  </si>
  <si>
    <t>Applying intersectionality and acculturation theories to explain disparities in self-rated health among Asian and Hispanic immigrants in the U.S.</t>
  </si>
  <si>
    <t>Lommel, Lisa L.</t>
  </si>
  <si>
    <t>11-A(E)</t>
  </si>
  <si>
    <t>2016-58391-248</t>
  </si>
  <si>
    <t>Acculturation; Health; Immigration; Health Disparities; Latinos/Latinas</t>
  </si>
  <si>
    <t>Minority populations in the United States (U.S.) suffer an unequal burden of morbidity and mortality due to health disparities. The purpose of this descriptive cross-sectional study was to identify factors associated with disparities in self-rated health (SRH) among Asian and Hispanic immigrants. The acculturation theory and intersectionality framework were used to select predictors of SRH that included age, gender, ethnicity, socio-economic status, depressive symptoms, C-reactive protein (CRP) level, acculturation status, social position, and acculturative stress and discrimination events. A systematic review of the literature was completed and data from the 2009-2010 National Health and Nutrition Examination Survey and the 2002-2003 National Latino and Asian American Study were reviewed. This study found that acculturation status was associated with reporting disparities in SRH for both Asian and Hispanic immigrants. Limited English proficiency and being foreign-born was associated with worse SRH for Korean, Chinese, and Mexican immigrants, and in aggregate samples of Asian and Hispanic immigrants, compared to non-Hispanic Whites. Additionally, limited English proficiency was associated with worse SRH for Vietnamese immigrants. Among Mexican immigrants, higher levels of acculturation were associated with better SRH. Other key findings among Mexican immigrants were that depressive symptoms, increasing age, female gender, and elevated CRP were predictors of worse SRH compared to U.S.-born, non-Hispanic Whites. However, female gender and higher CRP were not predictors of worse SRH when level of acculturation was controlled for. For Chinese immigrants, acculturative stress was associated with worse SRH in an additive model while the interactions between social position and discrimination, and between gender, acculturative stress, and social position and education were predictive of worse SRH in multiplicative models. In summary, age, gender, ethnicity, socio-economic status, depressive symptoms, CRP, acculturation status, social position, and acculturative stress and discrimination were associated with disparities in SRH among two ethnic minorities in the U.S. These findings can be used to improve awareness and understanding of these immigrant populations who are vulnerable to poor health outcomes. Additionally, outcomes can assist in developing interventions to reduce the influence of social structures on health and to capture the true complexities of immigrants' lives. (PsycINFO Database Record (c) 2017 APA, all rights reserved)</t>
  </si>
  <si>
    <t>http://search.ebscohost.com.proxy-ub.rug.nl/login.aspx?direct=true&amp;db=psyh&amp;AN=2016-58391-248&amp;site=ehost-live&amp;scope=site</t>
  </si>
  <si>
    <t>Arrival and departure (theoretical considerations and clinical observations on migrants and immigrants).</t>
  </si>
  <si>
    <t>Hertz, Dan G.</t>
  </si>
  <si>
    <t>Psychiatric Journal of the University of Ottawa</t>
  </si>
  <si>
    <t>1982-23461-001</t>
  </si>
  <si>
    <t>Canadian Medical Assn</t>
  </si>
  <si>
    <t>Acculturation; Adjustment; Human Migration; Immigration</t>
  </si>
  <si>
    <t>Examines the process of voluntary and involuntary migration as an existential crisis situation that is experienced as a time-limited, localized, and focused life event. Migrant and immigrant individuals and families may experience the situation that follows the period of environmental and cultural changes as an overwhelming threat. Because the earlier applied coping mechanisms often will be found as inapplicable, they may become maladaptive. The different stages of the migration and the development of individual, marital, familial, and social symptom formation as a result of the crisis are described. Once the previously well-functioning psychological defenses can no longer be maintained, psychosomatic disorders may follow. The difficulties of adjustment are characterized by feelings of lack of contact with the environment, the threat of isolation, and the development of emotional and social insecurity. Lack of feeling of identification with the recipient community increases the tendency to escape into somatic complaints and into the development of minor illnesses. (22 ref) (PsycINFO Database Record (c) 2016 APA, all rights reserved)</t>
  </si>
  <si>
    <t>http://search.ebscohost.com.proxy-ub.rug.nl/login.aspx?direct=true&amp;db=psyh&amp;AN=1982-23461-001&amp;site=ehost-live&amp;scope=site</t>
  </si>
  <si>
    <t>Asian North Americans' leisure: A critical examination of the theoretical frameworks used in research and suggestions for future study.</t>
  </si>
  <si>
    <t>Leisure Sciences</t>
  </si>
  <si>
    <t>2017-41369-004</t>
  </si>
  <si>
    <t>Asians; Experimental Methods; Experimentation; Leisure Time; Theories; Immigration; Adulthood (18 yrs &amp; older); Male; Female</t>
  </si>
  <si>
    <t>The aim of this study was to critically examine the theoretical frameworks employed in the existing research on Asian North Americans' leisure and to offer insights into additional theories that might be used in future research on the topic. The study reviewed three major theoretical frameworks employed by previous research in the field of leisure studies: (1) assimilation and acculturation theory, (2) ethnicity-based theories, and (3) self-construal. The study also provides recommendations for alternative theoretical approaches that could be used in investigations of Asian North Americans' leisure, including racial discrimination and stereotyping, the multiple hierarchy stratification perspective, transnationalism, and cultural and social capital. (PsycINFO Database Record (c) 2017 APA, all rights reserved)</t>
  </si>
  <si>
    <t>http://search.ebscohost.com.proxy-ub.rug.nl/login.aspx?direct=true&amp;db=psyh&amp;AN=2017-41369-004&amp;site=ehost-live&amp;scope=site</t>
  </si>
  <si>
    <t>Assessing Immigrant Assimilation: New Empirical and Theoretical Challenges.</t>
  </si>
  <si>
    <t>Waters, Mary C.; Jiménez, Tomás R.</t>
  </si>
  <si>
    <t>2005-10482-005</t>
  </si>
  <si>
    <t>Annual Reviews</t>
  </si>
  <si>
    <t>Acculturation; Immigration; Exogamous Marriage; Language; Regional Differences; Socioeconomic Status</t>
  </si>
  <si>
    <t>This review examines research on the assimilation of immigrant groups. We review research on four primary benchmarks of assimilation: socioeconomic status, spatial concentration, language assimilation, and intermarriage. The existing literature shows that today's immigrants are largely assimilating into American society along each of these dimensions. This review also considers directions for future research on the assimilation of immigrant groups in new southern and midwestern gateways and how sociologists measure immigrant assimilation. We document the changing geography of immigrant settlement and review the emerging body of research in this area. We argue that examining immigrant assimilation in these new immigrant gateways is crucial for the development of theories about immigrant assimilation. We also argue that we are likely to see a protracted period of immigrant replenishment that may change the nature of assimilation. Studying this change requires sociologists to use both birth cohort and generation as temporal markers of assimilation. (PsycInfo Database Record (c) 2020 APA, all rights reserved)</t>
  </si>
  <si>
    <t>http://search.ebscohost.com.proxy-ub.rug.nl/login.aspx?direct=true&amp;db=psyh&amp;AN=2005-10482-005&amp;site=ehost-live&amp;scope=site</t>
  </si>
  <si>
    <t>Assimilation or Transnationalism? Conceptual Models of the Immigrant Experience in America.</t>
  </si>
  <si>
    <t>Pedraza, Silvia</t>
  </si>
  <si>
    <t>Cultural psychology of immigrants.</t>
  </si>
  <si>
    <t>2006-07020-003</t>
  </si>
  <si>
    <t>Lawrence Erlbaum Associates Publishers</t>
  </si>
  <si>
    <t>Acculturation; Human Migration; Immigration; Models; Social Processes</t>
  </si>
  <si>
    <t>The major questions in immigration research can be summarized briefly as follows: What led people to make the decision to move--what 'push' and 'pull' factors impelled them to displace and uproot themselves (see Lee, 1966)? What is the nature of the crossing--not only literally but also, more abstractly, the policies of two governments that can, in societies that have developed long histories of emigration and immigration, result in their developing systems of economic and political migration (see Burawoy, 1976; Pedraza-Bailey, 1985)? And, what can people attain afterward? A recurrent question in studies of immigration is: How do we best describe that process--as assimilation, adaptation, integration, incorporation, or transnationalism and diasporic citizenship? This chapter traces the development of these concepts over time as social scientists struggled to explain these important social processes. Before doing so, we turn to a brief history of immigration to America. (PsycInfo Database Record (c) 2020 APA, all rights reserved)</t>
  </si>
  <si>
    <t>http://search.ebscohost.com.proxy-ub.rug.nl/login.aspx?direct=true&amp;db=psyh&amp;AN=2006-07020-003&amp;site=ehost-live&amp;scope=site</t>
  </si>
  <si>
    <t>Attachment facilitates acculturative learning and adversity moderates: Validating the theory of epistemic trust in a natural experiment.</t>
  </si>
  <si>
    <t>Child Psychiatry and Human Development</t>
  </si>
  <si>
    <t>2020-06326-001</t>
  </si>
  <si>
    <t>Acculturation; Attachment Behavior; Epistemology; Trust (Social Behavior); Childhood Adversity; Immigration; Adolescence (13-17 yrs); Male; Female</t>
  </si>
  <si>
    <t>Acculturation has consequences for immigrant health, and provides a natural experimental context in which to test Fonagy and Allison’s theory of epistemic trust. Their theory posits that secure attachment in the caregiver-youth dyad is a key mechanism for supporting, and exposure to childhood adversity and trauma is thought to block, the cultural learning process. The aim of this study was to validate the theory of epistemic trust by examining secure attachment as a predictor of acculturation across time and adverse childhood experiences as a moderator in 100 recently immigrated high school students followed for one year. Growth parameters were extracted and regressed on key study variables. Results indicated a significant main effect of maternal attachment on acculturation across time, as well an interaction in which the aforementioned link was blocked by adverse childhood experiences. In the context of acculturative learning, two tenets of the theory of epistemic trust were supported. (PsycInfo Database Record (c) 2020 APA, all rights reserved)</t>
  </si>
  <si>
    <t>http://search.ebscohost.com.proxy-ub.rug.nl/login.aspx?direct=true&amp;db=psyh&amp;AN=2020-06326-001&amp;site=ehost-live&amp;scope=site</t>
  </si>
  <si>
    <t>Avatars in a virtual diaspora: Developing a theory of cultural ties and identity in second life.</t>
  </si>
  <si>
    <t>Schackman, Daniel</t>
  </si>
  <si>
    <t>8-A</t>
  </si>
  <si>
    <t>2012-99030-019</t>
  </si>
  <si>
    <t>Artificial Intelligence; Culture (Anthropological); Ethnic Identity; Virtual Reality; Avatars; Theories; Cultural Identity</t>
  </si>
  <si>
    <t>This research is a grounded theory study of the Indian Diaspora in the online, immersive, virtual world Second Life. Through field study and observation, participant observation, and interviews with Second Life residents – animated avatars designed and operated by people in real life – involved with Indian-themed places and groups, this research explored the following questions: To what extent does Indian culture in Second Life reflect Indian Diaspora culture in real life? To what extent do Indian avatars' experiences of settlement in Second Life resemble the acculturation process experienced by Indian immigrants to the United States? Central themes discovered in the study were the complex issues faced by avatars in balancing traditional and modern Indian values, and the expansion of the Indian Diaspora in this environment to include non-Indian avatars richly enmeshed in Indian cultural and social life in Second Life. Emerging from the results of this study are proposed key factors of virtual diasporas. (PsycInfo Database Record (c) 2020 APA, all rights reserved)</t>
  </si>
  <si>
    <t>http://search.ebscohost.com.proxy-ub.rug.nl/login.aspx?direct=true&amp;db=psyh&amp;AN=2012-99030-019&amp;site=ehost-live&amp;scope=site</t>
  </si>
  <si>
    <t>Back to and beyond Berry's basics: The conceptualization, operationalization and classification of acculturation.</t>
  </si>
  <si>
    <t>2012-14917-001</t>
  </si>
  <si>
    <t>Acculturation; Concept Formation; Racial and Ethnic Attitudes; Classification (Cognitive Process); Marginalization; Adolescence (13-17 yrs); Adulthood (18 yrs &amp; older); Young Adulthood (18-29 yrs); Thirties (30-39 yrs); Middle Age (40-64 yrs); Aged (65 yrs &amp; older); Very Old (85 yrs &amp; older); Male; Female</t>
  </si>
  <si>
    <t>Berry (1990) distinguished four acculturation attitudes (integration, assimilation, separation and marginalization) arising from two acculturation questions (concerning cultural maintenance and cultural contact). This research examines the distributions of acculturation attitudes based on his original cultural maintenance–cultural contact conceptualization and on a later cultural maintenance–cultural adoption model. In line with the Relative Extended Acculturation Model it also compares the outcomes of real (self-reported behavioral) and ideal (attitudinal) assessments of acculturation. Two hundred and eighty-nine first generation immigrants in New Zealand participated in the study. In line with the hypotheses, integration occurred more frequently when derived from cultural contact than from cultural adoption and when acculturation was framed in attitudinal, rather than behavioral, terms. The findings point to the necessity of clearly defining the dimensions of acculturation, ensuring they are appropriately operationalized, and differentiating attitudinal and self-reported behavioral measures. The consequences of the operationalization of acculturation for its relationship to adaptation are also reported and discussed. (PsycInfo Database Record (c) 2020 APA, all rights reserved)</t>
  </si>
  <si>
    <t>http://search.ebscohost.com.proxy-ub.rug.nl/login.aspx?direct=true&amp;db=psyh&amp;AN=2012-14917-001&amp;site=ehost-live&amp;scope=site</t>
  </si>
  <si>
    <t>Being and becoming: A grounded theory study of the racial and ethnic socialization processes of fifteen Haitian immigrants living in the United States.</t>
  </si>
  <si>
    <t>Duchatelier-Jeudy, Lud Abigail</t>
  </si>
  <si>
    <t>6-B(E)</t>
  </si>
  <si>
    <t>2016-42148-169</t>
  </si>
  <si>
    <t>Health Care Services; Immigration; Socialization; Racial and Ethnic Differences; Adulthood (18 yrs &amp; older); Female</t>
  </si>
  <si>
    <t>This study examined and described the racial and ethnic socialization processes of 15 Haitian immigrant mothers, eight of whom were born and raised in Haiti and migrated to the United States after the age of 21 (Group A) and seven of whom were born and raised in the United States or born in Haiti and migrated on or before the age of the five and raised of the United States (Group B). The two groups of Haitian immigrant mothers were recruited from cities throughout the Northeast region of the United States. Using Harkness and Super's Developmental Niche as a theoretical guide, the researcher developed a qualitative interview protocol to assess the three components of this study's conceptualization of racial and ethnic socialization: (a) Haitian immigrant mothers' racial and ethnic messages and practices; (b) role the place in which the mothers were born and raised plays in their racial and ethnic socialization messages and practices; and (c) the factors that influence the mothers' racial and ethnic socialization messages and practices. Constructive grounded theory procedures were used to find themes and patterns of racial and ethnic socialization within the two groups of Haitian immigrant mothers and to identify similarities and differences among the two groups. The results from this study reveal that racial and ethnic socialization are processes of child development that are intricately related to the culture in which the family lives. Haitian immigrant mothers in Group A had similar racial socialization messages and practices to the Haitian immigrant mothers in Group B; however, the two groups differed greatly in their ethnic socialization messages and practices. Their messages and practices were influenced by the lessons they learned from their parents and the experiences that they had with race and ethnicity in Haiti and in the United States. In addition, being born and raised in Haiti and in the United States dictated the social contexts that Haitian immigrant mothers in Group A and Group B were exposed to, which shaped their understanding of and beliefs about race and ethnicity, their racial and ethnic identity, and the racial and ethnic identity they prescribed to their children. (PsycINFO Database Record (c) 2017 APA, all rights reserved)</t>
  </si>
  <si>
    <t>http://search.ebscohost.com.proxy-ub.rug.nl/login.aspx?direct=true&amp;db=psyh&amp;AN=2016-42148-169&amp;site=ehost-live&amp;scope=site</t>
  </si>
  <si>
    <t>Bicultural development: A theoretical and empirical examination.</t>
  </si>
  <si>
    <t>Padilla, Amado M.</t>
  </si>
  <si>
    <t>Theoretical and conceptual issues in Hispanic mental health.</t>
  </si>
  <si>
    <t>1994-98623-002</t>
  </si>
  <si>
    <t>Robert E Krieger Publishing Co</t>
  </si>
  <si>
    <t>Culture (Anthropological); Racial and Ethnic Groups; Socialization; Ethnic Identity; Immigration; Psychosocial Development; Childhood (birth-12 yrs); Adolescence (13-17 yrs)</t>
  </si>
  <si>
    <t>examines the theoretical construct of biculturalism from a socialization perspective and focuses on children and adolescents who come from environments that foster dual culture socialization first discuss why growing up in 2 cultures is a timely and very necessary topic of discussion in understanding developmental processes / second, present an overview of the theoretical issues that surround bicultural socialization / finally, some empirical findings are presented that enable us to better understand the psychosocial issues involved in what transpires during bicultural socialization monoculturalism versus multiculturalism / identity formation / socialization to 2 cultures [immigrant children and adolescents, offspring of immigrants, later generation ethnics, mixed ethnic heritage children] (PsycINFO Database Record (c) 2016 APA, all rights reserved)</t>
  </si>
  <si>
    <t>http://search.ebscohost.com.proxy-ub.rug.nl/login.aspx?direct=true&amp;db=psyh&amp;AN=1994-98623-002&amp;site=ehost-live&amp;scope=site</t>
  </si>
  <si>
    <t>Bilingualism and educational expectations, college access and success of youth from immigrant families: A test of segmented assimilation theory.</t>
  </si>
  <si>
    <t>Magarati, Ratna M.</t>
  </si>
  <si>
    <t>4-A</t>
  </si>
  <si>
    <t>2011-99190-555</t>
  </si>
  <si>
    <t>Academic Achievement; Bilingualism; Colleges; Expectations; Immigration; Family; High Schools; Language Proficiency; Adulthood (18 yrs &amp; older)</t>
  </si>
  <si>
    <t>Using the University of Washington Beyond High School survey data, I examine determinants of language proficiency and its consequences on a variety of social- psychological and socioeconomic adaptation outcomes. In particular, I explore whether fluent bilingualism—proficiency in both minority home language and English—provides an adaptation advantage to the children of the post-1960 immigrants in terms of educational aspirations, expectations, college enrollment and graduation, compared to their English- monolingual or limited-bilingual peers. The results indicate that high school seniors from homes in which a second language is spoken prefer English over the parental language and that a shift to the dominant use of English by the third generation appears to be occurring. However, a quarter of those seniors maintain some proficiency in the minority home language. Proficiency rates vary by minority language group, but one in four youths from dual-language homes is fluently bilingual. Length of residence in the United States, measured as generational status, largely determines proficiency in minority home language, English and fluent bilingualism. Family social background and family structure are only weakly associated with language proficiency. However, family social background is a strong predictor of educational aspirations and attainment. Korean- and Vietnamese-speaking seniors not only report higher educational ambitions but also enroll in and graduate from a four-year college at higher rates than Spanish, Khmer- and Russian- speaking seniors. Spanish speakers appear to the most disadvantaged in terms of graduating from college Fluently bilingual youths hold higher educational aspirations and expectations than their English monolingual peers when family social background, family structure and generational status are controlled and are also more likely to attend a four-year college. However, fluent bilingualism does not provide an advantage in graduating from a four-year college. (PsycINFO Database Record (c) 2016 APA, all rights reserved)</t>
  </si>
  <si>
    <t>http://search.ebscohost.com.proxy-ub.rug.nl/login.aspx?direct=true&amp;db=psyh&amp;AN=2011-99190-555&amp;site=ehost-live&amp;scope=site</t>
  </si>
  <si>
    <t>Breaking the silence: Extending theory to address the underutilization of mental health services among Chinese immigrants in the United States.</t>
  </si>
  <si>
    <t>Li, Jo-Yun Queenie</t>
  </si>
  <si>
    <t>2018-40524-101</t>
  </si>
  <si>
    <t>Health Care Utilization; Mental Health Services; Immigration</t>
  </si>
  <si>
    <t>Mental health services underutilization has been a prevalent issue in Chinese immigrant community in the United States. Using a nation wide survey of 445 Chinese immigrants in November 2017, this study investigates the effects of cognitive barriers (i.e., acculturation levels) and affective obstacles (i.e., mental illness stigma) on Chinese immigrants' perceptual, attitudinal, and behavioral responses toward mental health services, by combing situational theory of problem solving and the theory of planned behavior. This study also examines the effects of mainstream and ethnic media use on acculturation and perceived stigma. Findings provide empirical support for the combined model, showing that all the cognitive and affective factors can predict Chinese immigrants' communicative action and behaviors regarding mental health services utilization. In addition, this study found that acculturation (cognitive barriers) is an effective predictor of individuals' ability to recognize the problem, connection to the problem, subjective norms regarding the problem, and their perceived behavioral control over the problem. On the other hand, mental illness stigma (affective barriers) can predict individuals' constraint recognition, attitudes, and perceived behavioral control over the issue. Practical implications are discussed for health public relations practitioners and communicators to better identify publics, propose strategic messages, and implement communication campaigns to improve Chinese immigrants' mental health services utilization rates. (PsycINFO Database Record (c) 2018 APA, all rights reserved)</t>
  </si>
  <si>
    <t>http://search.ebscohost.com.proxy-ub.rug.nl/login.aspx?direct=true&amp;db=psyh&amp;AN=2018-40524-101&amp;site=ehost-live&amp;scope=site</t>
  </si>
  <si>
    <t>Bridging group divides: A theoretical overview of the 'what' and 'how' of gateway groups.</t>
  </si>
  <si>
    <t>Love, Angelika; Levy, Aharon</t>
  </si>
  <si>
    <t>Journal of Social Issues</t>
  </si>
  <si>
    <t>2019-26107-001</t>
  </si>
  <si>
    <t>10.1111/josi.12327</t>
  </si>
  <si>
    <t>Intergroup Dynamics; Social Groups; Social Integration; Social Networks; Social Categorization; Group Development</t>
  </si>
  <si>
    <t>One of the most recent developments in the realm of intergroup relations is that of the gateway group notion. This conceptual framework addresses the potential of groups with multiple social backgrounds to play a role in the facilitation of positive intergroup relations between their distinct social counterparts (e.g., immigrants as a gateway between home and host countries). Given their shared identity with different social groups, people with multiple identities can potentially bridge the cleft between the two otherwise separate groups with which they are affiliated. In this article, we first provide a theoretical introduction to the gateway group notion and review preliminary experimental and social network‐based research on gateway groups' potential to improve intergroup relations. We then integrate this novel concept with the existing literature on intergroup contact and social categorization and discuss the potential social implications of gateway groups. (PsycInfo Database Record (c) 2020 APA, all rights reserved)</t>
  </si>
  <si>
    <t>http://search.ebscohost.com.proxy-ub.rug.nl/login.aspx?direct=true&amp;db=psyh&amp;AN=2019-26107-001&amp;site=ehost-live&amp;scope=site</t>
  </si>
  <si>
    <t>Bringing together acculturation theory and intergroup contact theory: Predictors of Flemings’ expectations of Turks’ acculturation behavior.</t>
  </si>
  <si>
    <t>2011-10325-006</t>
  </si>
  <si>
    <t>Acculturation; Expectations; Intergroup Dynamics; Racial and Ethnic Groups; Social Perception; Emotions; Ingroup Outgroup; Minority Groups; Adolescence (13-17 yrs); Male; Female</t>
  </si>
  <si>
    <t>The present paper explores Flemish majority members’ expectations concerning the acculturation of Turkish minorities. We studied two kinds of antecedents: majority members’ perceptions of Turkish minorities’ acculturation behavior and their experiences of intergroup contact. The possible mediating role of outgroup affect was also investigated. 247 Flemish high school students completed a survey. Data were analyzed using path analyses. Results show that positive contact experiences and perceiving that Turkish immigrants make efforts to engage in contact with the host group and/or to adopt the host culture are associated with less negative affective reactions towards Turkish migrants. Perceiving that Turkish immigrants maintain their heritage culture is associated with more negative affective reactions. Our results further revealed that increased negative affective reactions are associated with less support for culture maintenance and for contact with the host group but with a higher demand for host culture adoption. The present results also show that expectations of contact engagement and expectations of host culture adoption cannot be considered as equivalent. This implies that results from studies using Berry's conceptualization of acculturation expectations (Berry, 2001) and results from studies using Bourhis’ conceptualization of acculturation expectations (Bourhis, Moïse, Perreault, &amp; Senécal, 1997) are not directly comparable. Our data also clearly disconfirm the orthogonal structure of the fourfold acculturation model for majority members’ acculturation expectations, suggesting that relying on the specific dimensions defining acculturation expectations may constitute a more valid approach to understand ongoing acculturation processes. (PsycInfo Database Record (c) 2020 APA, all rights reserved)</t>
  </si>
  <si>
    <t>http://search.ebscohost.com.proxy-ub.rug.nl/login.aspx?direct=true&amp;db=psyh&amp;AN=2011-10325-006&amp;site=ehost-live&amp;scope=site</t>
  </si>
  <si>
    <t>Building a conceptual framework to culturally adapt health promotion and prevention programs at the deep structural level.</t>
  </si>
  <si>
    <t>Wang-Schweig, Meme; Kviz, Frederick J.; Altfeld, Susan J.; Miller, Arlene M.; Miller, Brenda A.</t>
  </si>
  <si>
    <t>Health Promotion Practice</t>
  </si>
  <si>
    <t>2014-42198-014</t>
  </si>
  <si>
    <t>10.1177/1524839913518176</t>
  </si>
  <si>
    <t>Health Behavior; Health Promotion; Prevention; Program Development; Sociocultural Factors; Chinese Cultural Groups</t>
  </si>
  <si>
    <t>The debate on the effectiveness and merit for the amount of time, effort, and resources to culturally adapt health promotion and prevention programs continues. This may be due, in large part, to the lack of theory in commonly used methods to match programmatic content and delivery to the culture of a population, particularly at the deep structural level. This paper asserts that prior to the cultural adaptation of prevention programs, it is necessary to first develop a conceptual framework. We propose a multiphase approach to address key challenges in the science of cultural adaptation by first identifying and exploring relevant cultural factors that may affect the targeted health-related behavior prior to proceeding through steps of a stage model. The first phase involves developing an underlying conceptual framework that integrates cultural factors to ground this process. The second phase employs the different steps of a stage model. For Phase I of our approach, we offer four key steps and use our research study as an example of how these steps were applied to build a framework for the cultural adaptation of a family-based intervention to prevent adolescent alcohol use, Guiding Good Choices (GGC), to Chinese American families. We then provide a summary of the preliminary evidence from a few key relationships that were tested among our sample with the greater purpose of discussing how these findings might be used to culturally adapt GGC. (PsycINFO Database Record (c) 2016 APA, all rights reserved)</t>
  </si>
  <si>
    <t>http://search.ebscohost.com.proxy-ub.rug.nl/login.aspx?direct=true&amp;db=psyh&amp;AN=2014-42198-014&amp;site=ehost-live&amp;scope=site</t>
  </si>
  <si>
    <t>Combating discrimination at workplaces through mainstreaming ‘gender’ and ‘integration’ needs in legislation: Testing a new analytical framework in Germany and Sweden.</t>
  </si>
  <si>
    <t>Tahir, Muhammad Wajid</t>
  </si>
  <si>
    <t>Women's Studies International Forum</t>
  </si>
  <si>
    <t>2020-52503-001</t>
  </si>
  <si>
    <t>10.1016/j.wsif.2020.102380</t>
  </si>
  <si>
    <t>Human Migration; Laws; Mainstreaming; Social Integration; Discrimination Laws; Discrimination; Economics; Gender Identity; Legislative Processes; Sex Discrimination; Working Conditions; Adulthood (18 yrs &amp; older)</t>
  </si>
  <si>
    <t>This paper introduces a new gender-integration analysis framework to examine gender- and integration-responsiveness of relevant legislation in Germany and Sweden. The framework employs five analytical steps: 1) preparation of an ‘international legal frame’ to underline ‘gender’ and ‘integration’ needs at workplaces, 2) preparation of a ‘national legal frame’ to examine if existing legislation incorporates identified ‘gender’ and ‘integration’ needs, 3) compilation of subjective experiences of women migrants relating to discriminatory practices at workplaces, 4) interpretation of expert's perspectives towards missing legal clauses and existing barriers to implementation, and 5) classification of legislation with respect to their gender- as well as integration-responsiveness. The findings reveal that the prevailing legislation do incorporate ‘gender’ to some extent, but neglect ‘integration’ to a large extent and thus offer partial protection to women migrants against discriminatory practices at workplaces. The Swedish legislation appear more gender- as well as integration-sensitive on selected needs than that of Germany. The inferences underline a dire need to conduct proper ‘gender’ as well as ‘integration’ analysis of relevant legislation to ensure smooth economic integration of women migrants in both countries. (PsycInfo Database Record (c) 2020 APA, all rights reserved)</t>
  </si>
  <si>
    <t>http://search.ebscohost.com.proxy-ub.rug.nl/login.aspx?direct=true&amp;db=psyh&amp;AN=2020-52503-001&amp;site=ehost-live&amp;scope=site</t>
  </si>
  <si>
    <t>Commentary on cultural diversity across the Pacific: The dominance of western theories, models, research and practice in psychology.</t>
  </si>
  <si>
    <t>Stewart, Lisa</t>
  </si>
  <si>
    <t>Journal of Pacific Rim Psychology</t>
  </si>
  <si>
    <t>2013-30371-003</t>
  </si>
  <si>
    <t>10.1017/prp.2012.1</t>
  </si>
  <si>
    <t>Acculturation; Cross Cultural Differences; Social Capital; Cultural Diversity; Human Migration; Immigration</t>
  </si>
  <si>
    <t>Comments on an articles by J. W. Berry (see record [rid]2013-30316-002[/rid]), A. Furnham (see record [rid]2013-30316-001[/rid]), and A. J. Marsella &amp; A. M. Yamada (see record [rid]2013-30316-003[/rid]). The three featured articles in the December 2010 section on cultural diversity across the Pacific address important cultural issues in psychology. Berry (2010) applied these issues to intercultural relations and acculturation, Furnham (2010) to culture shock, and Marsella and Yamada (2010) to psychopathology. The common theme among these articles was the Western-centric dominance of psychology’s research, theories, models and practice, in part because of structural discrimination such as ethnocentric curricula, policies and teaching methods within academic institutions. In Aotearoa New Zealand, including mātauranga Māori (Māori knowledge) and kaupapa Māori (Māori philosophy) within curricula for clinical psychology has started to address that Western-centric dominance, but more importantly, resulted in more culturally safe and responsive psychological services being provided to Māori users of those services. The present commentary suggested that including and integrating more cross-cultural and indigenous knowledge into the tertiary curricula of applied psychology fields, such as clinical, industrial-organisational, and coaching psychology would be one way to counter the Western-centric dominance. (PsycInfo Database Record (c) 2020 APA, all rights reserved)</t>
  </si>
  <si>
    <t>http://search.ebscohost.com.proxy-ub.rug.nl/login.aspx?direct=true&amp;db=psyh&amp;AN=2013-30371-003&amp;site=ehost-live&amp;scope=site</t>
  </si>
  <si>
    <t>Commentary on Furnham's culture shock, Berry's acculturation theory, and Marsella and Yamada's indigenous psychopathology: Being a call to action for Pacific Rim psychology.</t>
  </si>
  <si>
    <t>Liu, James H.</t>
  </si>
  <si>
    <t>2013-30321-003</t>
  </si>
  <si>
    <t>10.1017/S183449090000060X</t>
  </si>
  <si>
    <t>Attitudes; Culture Shock; Experimentation; Traveling; Human Migration; International Students; Pacific Islanders</t>
  </si>
  <si>
    <t>Comments on the articles by A. Furnham (see record [rid]2013-30316-001[/rid]), J. Berry (see record [rid]2013-30316-002[/rid]) &amp; A. J. Marsella &amp; A.M. Yamada (see record [rid]2013-30316-003[/rid]). The three articles in this special edition of the Journal of Pacific Rim Psychology encompass a range of approaches within cross-cultural psychology. Adrian Furnham’s (2011) culture shock shows how academic psychology can be applied to, and helps to inform a popular concept. John Berry’s (2011) acculturation theory demonstrates how focused theory and empirical data can align with a national agenda. Anthony J. Marsella and Ann Marie Yamada’s (2011) socioconstructionist critique of mainstream clinical psychology and psychiatric practices illustrate how epistemology and indigenous psychology can challenge institutional practices. They are united in rejecting a culture-blind psychology of the mainstream. They differ by referencing largely separate but nonetheless complementary literatures on cultures of relevance to the Pacific Rim region. Taken together, these three articles combine meaningfully to illustrate how Pacific Rim psychology might benefit from having (1) a definition of itself with Hawaii and the Pacific Island Nations as the centre and hub for the broader Pacific Rim that includes East Asia and the Western American seaboard; (2) a focus on action, particularly action research and its cyclical communication process of planning, action, evaluation and feedback; and (3) an interdisciplinary orientation where interconnectedness with such institutions as mass media, government, and clinical and psychiatric practices, as well as within psychology itself, underpin and inform research practice and policy. (PsycINFO Database Record (c) 2016 APA, all rights reserved)</t>
  </si>
  <si>
    <t>http://search.ebscohost.com.proxy-ub.rug.nl/login.aspx?direct=true&amp;db=psyh&amp;AN=2013-30321-003&amp;site=ehost-live&amp;scope=site</t>
  </si>
  <si>
    <t>Communication and cross-cultural adaptation: An integrative theory.</t>
  </si>
  <si>
    <t>1988-97819-000</t>
  </si>
  <si>
    <t>Multilingual Matters</t>
  </si>
  <si>
    <t>Acculturation; Communication; Refugees; Immigration</t>
  </si>
  <si>
    <t>Cross-cultural adaptation of immigrants, refugees, and sojourners has been extensively investigated in the social sciences, but without an integrative theoretical foundation necessary for comprehensive understanding. This book attempts to meet this need by presenting an interdisciplinary, multidimensional theory, synthesizing the existing conceptualizations and empirical evidence in anthropology, communication, psychiatry, psychology, sociology, sociolinguistics, and related disciplines into a single theoretical scheme. The theory presented in this book is grounded in a systems perspective, based on which a set of assumptions, axioms, theorems, and a model are explicated. It emphasizes the stress-adapatation-growth dynamics of cross-cultural experiences, which bring about cultural strangers' gradual transformation toward increased functional fitness in the host milieu. Effective intrapersonal (cognitive, affective, and behavioural) and social (interpersonal and mass) communication activities are theorized as being at the heart of successful adaptation—along with individual background characteristics and host environmental conditions. The author concludes the book by outlining an integrative research design ideally suited for studying cross-cultural adaptation and by discussing practical implications of the theory for facilitating adaptation of cultural strangers and promoting integration of host societies. (PsycINFO Database Record (c) 2016 APA, all rights reserved)</t>
  </si>
  <si>
    <t>http://search.ebscohost.com.proxy-ub.rug.nl/login.aspx?direct=true&amp;db=psyh&amp;AN=1988-97819-000&amp;site=ehost-live&amp;scope=site</t>
  </si>
  <si>
    <t>Comparaison de trois conceptualisations de l'intégration identitaire: Une étude auprés d'immigrants Québécois.</t>
  </si>
  <si>
    <t>de la Sablonnière, Roxane; Debrosse, Régine; Benoit, Sophie</t>
  </si>
  <si>
    <t>Cahiers Internationaux de Psychologie Sociale</t>
  </si>
  <si>
    <t>2011-02966-001</t>
  </si>
  <si>
    <t>Editions de l'ULG</t>
  </si>
  <si>
    <t>Concept Formation; Immigration; Social Identity; Multiculturalism; Adolescence (13-17 yrs); Adulthood (18 yrs &amp; older); Young Adulthood (18-29 yrs); Thirties (30-39 yrs); Middle Age (40-64 yrs); Male; Female</t>
  </si>
  <si>
    <t>Following immigration emerges a need for integrating multiple identities into the sell. However, researchers disagree as to which strategy favors well-being. A high well-being is associated to perceiving less conflict and distance between the two cultures according to the bicultural identity theory, and to high identification to both cultures according to the acculturation strategies theory. The cognitive-developmental model, elaborated recently, predicts that perceiving higher coherence between both cultures will be related to higher well-being. The predictive values of these theories have been assessed with bicultural individuals. Regressions and contrasts tests support more strongly the cognitive-developmental model. (PsycINFO Database Record (c) 2016 APA, all rights reserved)</t>
  </si>
  <si>
    <t>http://search.ebscohost.com.proxy-ub.rug.nl/login.aspx?direct=true&amp;db=psyh&amp;AN=2011-02966-001&amp;site=ehost-live&amp;scope=site</t>
  </si>
  <si>
    <t>Conceptual migrations: Understanding 'travelers' tales' for cross-cultural adaptation.</t>
  </si>
  <si>
    <t>Pearce, W. Barnett; Kang, Kyung-Wha</t>
  </si>
  <si>
    <t>Cross-cultural adaptation: Current approaches.</t>
  </si>
  <si>
    <t>1988-97487-001</t>
  </si>
  <si>
    <t>Sage Publications, Inc</t>
  </si>
  <si>
    <t>Acculturation; Culture (Anthropological); Human Migration; Immigration; Myths</t>
  </si>
  <si>
    <t>monocultural and ethnocentric perspectives function[s] of travelers' tales 'new paradigm' approach in social science allows for a . . . 'reading' of such [travelers'] tales, focusing on the fact of cultural differences, the problem of describing them, and the 'necessity' and significance of these differences structure of modernity structure of myths in primitive and traditional societies structure of myth promised by modern society actual structure of myths in modern society isomorphism is noted between the experience of immigrants and modernity (PsycINFO Database Record (c) 2016 APA, all rights reserved)</t>
  </si>
  <si>
    <t>http://search.ebscohost.com.proxy-ub.rug.nl/login.aspx?direct=true&amp;db=psyh&amp;AN=1988-97487-001&amp;site=ehost-live&amp;scope=site</t>
  </si>
  <si>
    <t>Conceptualization of mental illness among Korean-American clergymen and implications for mental health service delivery.</t>
  </si>
  <si>
    <t>Kim-Goh, Mikyong</t>
  </si>
  <si>
    <t>Community Mental Health Journal</t>
  </si>
  <si>
    <t>1994-18874-001</t>
  </si>
  <si>
    <t>10.1007/BF00754408</t>
  </si>
  <si>
    <t>Clergy; Mental Health Services; Mental Illness (Attitudes Toward); Professional Referral; Asians; Health Care Delivery; Intention; Adulthood (18 yrs &amp; older); Aged (65 yrs &amp; older)</t>
  </si>
  <si>
    <t>Examined the relationship between conceptualization of mental illness and referral intent among 50 male Korean-American clergymen (aged 30–67 yrs). Ss were presented vignettes depicting depression, psychotic symptoms with religious delusions, and psychotic symptoms with persecutory delusions. The vignettes were followed by questions assessing problem conceptualization, cause attribution, and referral intent of mental health treatment. Ss with a psychological conceptualization were significantly more willing to make a referral than were those who held a religious conceptualization. (PsycINFO Database Record (c) 2016 APA, all rights reserved)</t>
  </si>
  <si>
    <t>http://search.ebscohost.com.proxy-ub.rug.nl/login.aspx?direct=true&amp;db=psyh&amp;AN=1994-18874-001&amp;site=ehost-live&amp;scope=site</t>
  </si>
  <si>
    <t>Conceptualizing psychological processes in response to globalization: Components, antecedents, and consequences of global orientations.</t>
  </si>
  <si>
    <t>Journal of Personality and Social Psychology</t>
  </si>
  <si>
    <t>2015-38658-001</t>
  </si>
  <si>
    <t>Acculturation; Globalization; Sociocultural Factors; Multiculturalism; Ideology; Ethnic Identity; Cultural Identity; Adulthood (18 yrs &amp; older); Young Adulthood (18-29 yrs); Thirties (30-39 yrs); Middle Age (40-64 yrs); Aged (65 yrs &amp; older); Male; Female</t>
  </si>
  <si>
    <t>The influences of globalization have permeated various aspects of life in contemporary society, from technical innovations, economic development, and lifestyles, to communication patterns. The present research proposed a construct termed global orientation to denote individual differences in the psychological processes of acculturating to the globalizing world. It encompasses multicultural acquisition as a proactive response and ethnic protection as a defensive response to globalization. Ten studies examined the applicability of global orientations among majority and minority groups, including immigrants and sojourners, in multicultural and relatively monocultural contexts, and across Eastern and Western cultures. Multicultural acquisition is positively correlated with both independent and interdependent self-construals, bilingual proficiency and usage, and dual cultural identifications. Multicultural acquisition is promotion-focused, while ethnic protection is prevention-focused and related to acculturative stress. Global orientations affect individuating and modest behavior over and above multicultural ideology, predict overlap with outgroups over and above political orientation, and predict psychological adaptation, sociocultural competence, tolerance, and attitudes toward ethnocultural groups over and above acculturation expectations/strategies. Global orientations also predict English and Chinese oral presentation performance in multilevel analyses and the frequency and pleasantness of intercultural contact in cross-lagged panel models. We discuss how the psychological study of global orientations contributes to theory and research on acculturation, cultural identity, and intergroup relations. (PsycInfo Database Record (c) 2020 APA, all rights reserved)</t>
  </si>
  <si>
    <t>http://search.ebscohost.com.proxy-ub.rug.nl/login.aspx?direct=true&amp;db=psyh&amp;AN=2015-38658-001&amp;site=ehost-live&amp;scope=site</t>
  </si>
  <si>
    <t>Conceptualizing the dynamics between bicultural identification and personal social networks.</t>
  </si>
  <si>
    <t>Repke, Lydia; Benet-Martínez, Verónica</t>
  </si>
  <si>
    <t>Frontiers in Psychology</t>
  </si>
  <si>
    <t>2017-16044-001</t>
  </si>
  <si>
    <t>Frontiers Media S.A.</t>
  </si>
  <si>
    <t>Social Networks; Multiculturalism; Acculturation; Friendship; Immigration; Identification; Adolescence (13-17 yrs); Adulthood (18 yrs &amp; older); Young Adulthood (18-29 yrs); Thirties (30-39 yrs); Middle Age (40-64 yrs); Aged (65 yrs &amp; older); Male; Female</t>
  </si>
  <si>
    <t>An adequate understanding of the acculturation processes affecting immigrants and their descendants involves ascertaining the dynamic interplay between the way these individuals manage their multiple (and sometimes conflictual) cultural value systems and identifications and possible changes in their social networks. To fill this gap, the present research examines how key acculturation variables (e.g., strength of ethnic/host cultural identifications, bicultural identity integration or BII) relate to the composition and structure of bicultural individuals’ personal social networks. In Study 1, we relied on a generationally and culturally diverse community sample of 123 Latinos residing in the US. Participants nominated eight individuals (i.e., alters) from their habitual social networks and across two relational domains: friendships and colleagues. Results indicated that the interconnection of same ethnicity alters across different relationship domains is linked to cultural identifications, while the amount of coethnic and host individuals in the network is not. In particular, higher interconnection between Latino friends and colleagues was linked to lower levels of U.S. identification. Conversely, the interconnection of non-Latino friends and colleagues was associated with lower levels of Latino identification. This pattern of results suggests that the relational context for each type of cultural identification works in a subtractive and inverse manner. Further, time spent in the US was linked to both Latino and U.S. cultural identifications, but this relationship was moderated by the level of BII. Specifically, the association between time in the US and strength of both cultural identities was stronger for individuals reporting low levels of BII. Taking the findings from Study 1 as departure point, Study 2 used an agent-based model data simulation approach to explore the dynamic ways in which the content and the structure of an immigrant’s social network might matter over time in predicting three possible identity patterns: coexisting cultural identifications, conflicting cultural identifications, and a mixture of the two. These simulations allowed us to detect network constellations, which lead to identification or disidentification with both cultures. We showed that distinct patterns of social relations do not lead to identity outcomes in a deterministic fashion, but that often many different outcomes are probable. (PsycINFO Database Record (c) 2017 APA, all rights reserved)</t>
  </si>
  <si>
    <t>http://search.ebscohost.com.proxy-ub.rug.nl/login.aspx?direct=true&amp;db=psyh&amp;AN=2017-16044-001&amp;site=ehost-live&amp;scope=site</t>
  </si>
  <si>
    <t>Conceptualizing the other in intercultural encounters: Review, formulation, and typology of the other-identity.</t>
  </si>
  <si>
    <t>Howard Journal of Communications</t>
  </si>
  <si>
    <t>2018-66495-001</t>
  </si>
  <si>
    <t>No terms assigned</t>
  </si>
  <si>
    <t>Acculturation’s impact on migrating individuals’ cultural identity is one of the foci of intercultural communication research. Many intercultural communication studies deliberately place ethnic identity at the core of identity research to avoid using racial identity. Influenced by the difference-as-problem viewpoint, sojourners’ and immigrants’ Other-identities are often viewed as abnormal, deviant, and alien and therefore should be managed, reduced, and even eliminated. However, critical scholarship has revealed that the sense of being the Other is the main theme of sojourners and immigrants. Drawing upon postmodern, postcolonial, and hermeneutic approaches, sojourners’ and immigrants’ 3 types of Other-identities are conceptualized in this review, and their embeddedness in asymmetric power structures is explained. These ideas emerge from social categorization processes that use both phenotypic and cultural markers as primary categorizing criteria. Consequently, the view held by biculturalists is refuted, and elaboration is presented about the ways migrating individuals—in intercultural encounters—enrich their sense of Self through integrating their Other-identities into their Self-identities, producing fused identities. (PsycINFO Database Record (c) 2018 APA, all rights reserved)</t>
  </si>
  <si>
    <t>http://search.ebscohost.com.proxy-ub.rug.nl/login.aspx?direct=true&amp;db=psyh&amp;AN=2018-66495-001&amp;site=ehost-live&amp;scope=site</t>
  </si>
  <si>
    <t>Conceptualizing the school acculturative context: School, classroom, and the immigrant student.</t>
  </si>
  <si>
    <t>Horenczyk, Gabriel; Tatar, Moshe</t>
  </si>
  <si>
    <t>Realizing the potential of immigrant youth.</t>
  </si>
  <si>
    <t>2012-14793-014</t>
  </si>
  <si>
    <t>10.1017/CBO9781139094696.018</t>
  </si>
  <si>
    <t>Acculturation; Classroom Environment; Immigration; School Adjustment; Student Attitudes; Peer Relations; Social Adjustment; Teacher Student Interaction; Childhood (birth-12 yrs)</t>
  </si>
  <si>
    <t>This chapter focuses on the school acculturative context and its roles in the acculturation and adaptation of immigrant youth, informed primarily by social and cross-cultural psychology. We propose a conceptual and analytical framework for organizing and guiding research and practice on immigrants in schools. The framework is multilevel: It takes into account both school- and classroom-level factors. It also follows a multiperspective approach, as it examines the attitudes, perceptions, and behaviors not only of immigrants but also of the members of the majority society (primarily, but not solely, as perceived by the immigrant student). We first present an overview of the model and background literature that informed this conceptual approach. Next, we delineate this approach at two levels: the school level and the classroom level. We discuss multiple perspectives, examining how immigrants and nationals perceive the acculturative school context, and explore possible discrepancies between these attitudes and perceptions. We conclude with comments on the potential of research on immigrant education, and particularly the study of the school acculturative context, to inform efforts to promote the adaptation of immigrant youth. (PsycInfo Database Record (c) 2020 APA, all rights reserved)</t>
  </si>
  <si>
    <t>http://search.ebscohost.com.proxy-ub.rug.nl/login.aspx?direct=true&amp;db=psyh&amp;AN=2012-14793-014&amp;site=ehost-live&amp;scope=site</t>
  </si>
  <si>
    <t>Constructing and expanding a framework: Opportunities for developing acculturation research.</t>
  </si>
  <si>
    <t>Applied Psychology: An International Review</t>
  </si>
  <si>
    <t>1997-07245-007</t>
  </si>
  <si>
    <t>10.1080/026999497378548</t>
  </si>
  <si>
    <t>Blackwell Publishing</t>
  </si>
  <si>
    <t>Acculturation; Adjustment; Immigration; Sociocultural Factors; Models</t>
  </si>
  <si>
    <t>Responds to the comments (see records 84-22238, 22243, 22246, 22248, 22253, 22252, and 22241) on the J. W. Berry (see record 84-22232) conceptual model of acculturation and adaptation. Although many of the comments suggest emphasis, elaboration, or addition to his original text and figures, Berry responds that no text or figure can be completely representative. What he intended was an acculturation framework to which new developments can be added, rather that an inclusive model. Berry then responds point by point to the issues raised by the individual commentators. (PsycINFO Database Record (c) 2016 APA, all rights reserved)</t>
  </si>
  <si>
    <t>http://search.ebscohost.com.proxy-ub.rug.nl/login.aspx?direct=true&amp;db=psyh&amp;AN=1997-07245-007&amp;site=ehost-live&amp;scope=site</t>
  </si>
  <si>
    <t>Contemporary clinical practice with Asian immigrants: A relational framework with culturally responsive approaches.</t>
  </si>
  <si>
    <t>Chung, Irene W.; Shibusawa, Tazuko</t>
  </si>
  <si>
    <t>2014-11603-000</t>
  </si>
  <si>
    <t>10.4324/9780203758359</t>
  </si>
  <si>
    <t>Routledge/Taylor &amp; Francis Group</t>
  </si>
  <si>
    <t>Acculturation; Asians; Clinical Practice; Cross Cultural Differences; Immigration; Counseling; Psychodynamics; Psychotherapeutic Processes; Psychotherapy</t>
  </si>
  <si>
    <t>Many first and second generation Asian immigrants experience acculturation challenges to varying extents. These challenges, such as language barriers, racial discrimination, underemployment, the loss of support networks, and changes in family role and structure, may exacerbate myriad mental health issues. In addition, their help-seeking behavior, as shaped by a general adherence to a collectivistic woridview and indirect communication style, often creates challenges for the practitioners who arc trained under a Western practice modality. Drawing on literature from English-speaking countries with sizable Asian immigrant populations such as the United States, Australia, New Zealand, Canada, and the United Kingdom, this text is designed especially for clinicians and students working with Asian immigrant populations. It discusses the therapeutic process in psychotherapy and counseling with these clients, exploring both key psychodynamic constructs and social systemic factors. Building on contemporary relational theory, which emphasizes the centrality of the helping relationship and sensitivity to the client's subjective realities, the book demonstrates how Western-based concepts and skills can be broadened and applied in an Asiacentric context, and can be therapeutic even in social service and case management service settings. There are chapters on issues such as domestic violence, intergenerational conflicts, depression amongst elders, and suicide, discussing the prevalence and nature of the mental health issues and each containing case vignettes from various Asian ethnic groups to illustrate the application of relational approaches. This book is an important cross-cultural reference for practicing social workers and counselors as well as for social work students undertaking clinical practice courses. (PsycInfo Database Record (c) 2020 APA, all rights reserved)</t>
  </si>
  <si>
    <t>http://search.ebscohost.com.proxy-ub.rug.nl/login.aspx?direct=true&amp;db=psyh&amp;AN=2014-11603-000&amp;site=ehost-live&amp;scope=site</t>
  </si>
  <si>
    <t>Creating healthy acculturation pathways: Integrating theory and research to inform counselors' work with immigrant children.</t>
  </si>
  <si>
    <t>Park-Taylor, Jennie; Walsh, Mary E.; Ventura, Allison B.</t>
  </si>
  <si>
    <t>Professional School Counseling</t>
  </si>
  <si>
    <t>2007-16579-004</t>
  </si>
  <si>
    <t>10.5330/PSC.n.2010-11.25</t>
  </si>
  <si>
    <t>American School Counselor Assn</t>
  </si>
  <si>
    <t>Acculturation; Immigration; School Counselors; Systems Theory; Childhood Development; Experimentation</t>
  </si>
  <si>
    <t>This article has two purposes. First, it integrates the underlying principles of developmental systems theory (Ford &amp; Lerner, 1992; Lerner, 2002, 2004) with the most recent research on immigrant youth. Second, based on an analysis of both theory and research, it offers implications for school counseling professionals' work with immigrant youth that take into account contextual factors, sources of risk and resilience, and the impact of multiple levels of development over the course of the lifespan. (PsycINFO Database Record (c) 2018 APA, all rights reserved)</t>
  </si>
  <si>
    <t>http://search.ebscohost.com.proxy-ub.rug.nl/login.aspx?direct=true&amp;db=psyh&amp;AN=2007-16579-004&amp;site=ehost-live&amp;scope=site</t>
  </si>
  <si>
    <t>Critical race theories, colorism, and the decade's research on families of color.</t>
  </si>
  <si>
    <t>Burton, Linda M.; Bonilla-Silva, Eduardo; Ray, Victor; Buckelew, Rose; Freeman, Elizabeth Hordge</t>
  </si>
  <si>
    <t>Journal of Marriage and Family</t>
  </si>
  <si>
    <t>2010-13162-004</t>
  </si>
  <si>
    <t>10.1111/j.1741-3737.2010.00712.x</t>
  </si>
  <si>
    <t>Family; Immigration; Racial and Ethnic Attitudes; Racism; Socialization</t>
  </si>
  <si>
    <t>In the millennium's inaugural decade, 2 interrelated trends influenced research on America's families of color: the need for new knowledge about America's growing ethnic/racial minority and immigrant populations and conceptual advances in critical race theories and perspectives on colorism. Three substantive areas reflecting researchers' interests in these trends emerged as the most frequently studied topics about families of color: inequality and socioeconomic mobility within and across families, interracial romantic pairings, and the racial socialization of children. In this review, we synthesize and critique the decade's scholarly literature on these topics. We devote special attention to advances in knowledge made by family-relevant research that incorporated ways of thinking from critical race theories and the conceptual discourse on colorism. (PsycINFO Database Record (c) 2016 APA, all rights reserved)</t>
  </si>
  <si>
    <t>http://search.ebscohost.com.proxy-ub.rug.nl/login.aspx?direct=true&amp;db=psyh&amp;AN=2010-13162-004&amp;site=ehost-live&amp;scope=site</t>
  </si>
  <si>
    <t>Cross-cultural issues in social theorization: The case of feminism.</t>
  </si>
  <si>
    <t>Apfelbaum, Erika</t>
  </si>
  <si>
    <t>Trends and issues in theoretical psychology.</t>
  </si>
  <si>
    <t>1995-98689-007</t>
  </si>
  <si>
    <t>Springer Publishing Co</t>
  </si>
  <si>
    <t>Acculturation; Cross Cultural Differences; Feminism</t>
  </si>
  <si>
    <t>in looking at feminism as an example of the migration of ideas, . . . examine, from various Anglo-American and European empirical and theoretical traditions, the metamorphoses and elaborations which ideas undergo during their acculturation and appropriation within the theoretical frameworks of other cultures / this may highlight the illusion held of a common ground of understanding, and encourage exploration within social theorizing of the epistemological implications of social scientists' commonly shared ethnocentricity, which provides the terrain for cultivating fantasies about otherness, while remaining blind to cultural diversity / it is thus necessary to conceptualize heterogeneity and diversity as the very basic feature of our society; the urgency of such an elaboration is seen as the necessary alternative to the nationalistic perspectives still embedded in many modes of theorizing, based on fictions of otherness as well, as a heuristic perspective, it provides an alternative to the current position of social relativism (PsycINFO Database Record (c) 2016 APA, all rights reserved)</t>
  </si>
  <si>
    <t>http://search.ebscohost.com.proxy-ub.rug.nl/login.aspx?direct=true&amp;db=psyh&amp;AN=1995-98689-007&amp;site=ehost-live&amp;scope=site</t>
  </si>
  <si>
    <t>Cuban-Americans and mental health: Cultural framework and theoretical bases of a preventive/educational model.</t>
  </si>
  <si>
    <t>Plazas, Blanca-Rosa D.</t>
  </si>
  <si>
    <t>2-A</t>
  </si>
  <si>
    <t>1984-50135-001</t>
  </si>
  <si>
    <t>Acculturation; Immigration; Mental Health Services; Sociocultural Factors; Latinos/Latinas; Education; Prevention</t>
  </si>
  <si>
    <t>http://search.ebscohost.com.proxy-ub.rug.nl/login.aspx?direct=true&amp;db=psyh&amp;AN=1984-50135-001&amp;site=ehost-live&amp;scope=site</t>
  </si>
  <si>
    <t>Cultural assimilation: The political economy of psychology as an evolutionary game theoretic dynamic.</t>
  </si>
  <si>
    <t>Basuchoudhary, Atin; Cotting, Dave</t>
  </si>
  <si>
    <t>Evolutionary Behavioral Sciences</t>
  </si>
  <si>
    <t>2014-20357-001</t>
  </si>
  <si>
    <t>10.1037/h0099836</t>
  </si>
  <si>
    <t>Collectivism; Culture Change; Game Theory; Individualism; Theory of Evolution; Cross Cultural Differences; Games; Immigration</t>
  </si>
  <si>
    <t>In this article, the authors develop a framework to model the process of cultural change. They show how evolutionary stability may change because of differences in initial conditions, whereas previous work on cultural evolution has focused only on how a particular culture might spread. The authors use the cultural assimilation of immigrants as the narrative for exposition. Specifically they look at the interaction between immigrants with an independent self-construct and immigrants with an interdependent self-construct in 2 settings—in a society that is predominantly collectivistic and in a society that is predominantly individualistic. Immigrants, whether with an independent self-construct or with an interdependent self-construct, can also be entity theorists (i.e., fixed mindset) or incremental theorists (i.e., growth mindset) about the self in relation to others. The authors use evolutionary game theory to model how the host country cultural environment places selective pressure on the cultures of immigrant populations, which, in turn, influences how well immigrants assimilate into their host country. Their results lead to 5 testable hypotheses: (a) depending on the initial ratio of immigrants with an independent self-construct and immigrants with an interdependent self-construct, assimilation is either complete or nonexistent in collectivistic societies; (b) in individualistic societies assimilation is never complete; (c) the lower the cost of coordination for immigrants with an interdependent self-construct, the easier it becomes for both immigrants with an independent self-construct and immigrants with an interdependent self-construct to assimilate into collectivistic societies; (d) the lower the cost of coordination for immigrants with an interdependent self-construct, the harder it becomes for both immigrants with an independent self-construct and immigrants with an interdependent self-construct to assimilate into individualistic societies; and (e) entity theorists are more likely to have an assimilation advantage in individualistic societies. In sum, our modeling approach offers a new framework for the understanding of the dynamic link between psychology and cultural evolution. These changes are testable in a way that merely identifying pathways to evolutionary stability are not. (PsycINFO Database Record (c) 2016 APA, all rights reserved)</t>
  </si>
  <si>
    <t>http://search.ebscohost.com.proxy-ub.rug.nl/login.aspx?direct=true&amp;db=psyh&amp;AN=2014-20357-001&amp;site=ehost-live&amp;scope=site</t>
  </si>
  <si>
    <t>Cultural explanations for racial and ethnic stratification in academic achievement: A call for a new and improved theory.</t>
  </si>
  <si>
    <t>Review of Educational Research</t>
  </si>
  <si>
    <t>2010-06906-011</t>
  </si>
  <si>
    <t>Academic Achievement; Cross Cultural Differences; Racial and Ethnic Differences; Immigration; Minority Groups; Childhood (birth-12 yrs); Preschool Age (2-5 yrs); School Age (6-12 yrs); Adolescence (13-17 yrs)</t>
  </si>
  <si>
    <t>In this article we assess the literature on cultural explanations for ethno-racial differences in K–12 schooling and academic performance. Some cultural arguments problematically define certain ethno-racial identities and cultures as subtractive from the goal of academic mobility while defining the ethnic cultures and identities of others as additive and oriented toward this goal. We review two prevailing schools of thought that compare immigrant and native minority students: cultural–ecological theory and segmented assimilation theory. Second, we examine empirical research that highlights the complexity of culture, focusing on four domains: (a) the school’s cultural environment; (b) variation in identities and cultural practices within ethnic and racial groups; (c) the multidimensional nature of culture and its variable impact on students; and (d) the intersections of race, ethnicity, class, and gender. This literature—when synthesized—suggests that a coherent theory of culture’s impact on ethnic and racial differences in schooling outcomes must unpack the multiple influences of identity and context more deliberately than previous literature has done. Finally, we call for studies that employ comparative research across groups and understand race and ethnicity contextually, not as mere dummy variables, thereby equipping researchers with the tools to better explain how culture influences schooling and achievement. (PsycINFO Database Record (c) 2016 APA, all rights reserved)</t>
  </si>
  <si>
    <t>http://search.ebscohost.com.proxy-ub.rug.nl/login.aspx?direct=true&amp;db=psyh&amp;AN=2010-06906-011&amp;site=ehost-live&amp;scope=site</t>
  </si>
  <si>
    <t>Cultural foundations and interventions in Latino/a mental health: History, theory and within group differences.</t>
  </si>
  <si>
    <t>Adames, Hector Y.; Chavez-Dueñas, Nayeli Y.</t>
  </si>
  <si>
    <t>2017-16117-000</t>
  </si>
  <si>
    <t>Culture (Anthropological); Diversity; Group Differences; Mental Health Services; Latinos/Latinas; Acculturation; Ethnic Identity; Human Sex Differences; Immigration; Racial Identity</t>
  </si>
  <si>
    <t>Advancing work to effectively study, understand, and serve the fastest-growing U.S. ethnic minority population, this volume explicitly emphasizes the racial and ethnic diversity within this heterogeneous cultural group. The focus is on the complex historical roots of contemporary Latinos/as, their diversity in skin color and physiognomy, racial identity, ethnic identity, gender differences, immigration patterns, and acculturation. The work highlights how the complexities inherent in the diverse Latino/a experience, as specified throughout the topics covered in this volume, become critical elements of culturally responsive and racially conscious mental health treatment approaches. By addressing the complexities, within-group differences, and racial heterogeneity characteristic of U.S. Latinos/as, this volume makes a significant contribution to the literature related to mental health treatments and interventions. (PsycInfo Database Record (c) 2020 APA, all rights reserved)</t>
  </si>
  <si>
    <t>http://search.ebscohost.com.proxy-ub.rug.nl/login.aspx?direct=true&amp;db=psyh&amp;AN=2017-16117-000&amp;site=ehost-live&amp;scope=site</t>
  </si>
  <si>
    <t>Cultural identity among Afghan and Iraqi traumatized refugees: Towards a conceptual framework for mental health care professionals.</t>
  </si>
  <si>
    <t>Groen, Simon P. N.; Richters, Annemiek; Laban, Cornelis J.; Devillé, Walter L. J. M.</t>
  </si>
  <si>
    <t>Culture, Medicine, and Psychiatry: An International Journal of Cross-Cultural Health Research</t>
  </si>
  <si>
    <t>2017-03204-001</t>
  </si>
  <si>
    <t>Ethnic Identity; Refugees; Sociocultural Factors; Cultural Identity; Posttraumatic Stress Disorder; Adolescence (13-17 yrs); Adulthood (18 yrs &amp; older); Young Adulthood (18-29 yrs); Thirties (30-39 yrs); Middle Age (40-64 yrs); Aged (65 yrs &amp; older); Male; Female</t>
  </si>
  <si>
    <t>Cultural identity in relation with mental health is of growing interest in the field of transcultural psychiatry. However, there is a need to clarify the concept of cultural identity in order to make it useful in clinical practice. The purpose of this study is to unravel the complexity and many layers of cultural identity, and to assess how stress and acculturation relate to (changes in) cultural identity. As part of a larger study about cultural identity, trauma, and mental health, 85 patients from Afghanistan and Iraq in treatment for trauma-related disorders were interviewed with a Brief Cultural Interview. The interviews were analysed through qualitative data analysis using the procedures of grounded theory. The analysis resulted in three domains of cultural identity: personal identity, ethnic identity and social identity. Within each domain relationships with stress and acculturation were identified. The results offer insight into the intensity of changes in cultural identity, caused by pre-and post-migration stressors and the process of acculturation. Based on the research findings recommendations are formulated to enhance the cultural competency of mental health workers. (PsycInfo Database Record (c) 2020 APA, all rights reserved)</t>
  </si>
  <si>
    <t>http://search.ebscohost.com.proxy-ub.rug.nl/login.aspx?direct=true&amp;db=psyh&amp;AN=2017-03204-001&amp;site=ehost-live&amp;scope=site</t>
  </si>
  <si>
    <t>Culture, migration, and family-value socialization: A theoretical model and empirical investigation with Russian-immigrant youth in Israel.</t>
  </si>
  <si>
    <t>Knafo, Ariel; Assor, Avi; Schwartz, Shalom H.; David, Limor</t>
  </si>
  <si>
    <t>Cultural transmission: Psychological, developmental, social, and methodological aspects.</t>
  </si>
  <si>
    <t>2008-19090-012</t>
  </si>
  <si>
    <t>Ethnic Values; Immigration; Intergenerational Relations; Socialization; Sociocultural Factors; Acculturation; Adolescent Attitudes; Adolescent Development; Generativity; Models; Parenting Style; Social Values; Theories; Multiculturalism; Adolescence (13-17 yrs); Adulthood (18 yrs &amp; older); Male; Female</t>
  </si>
  <si>
    <t>Values are a core component of culture (Hofstede, 1980; Schwartz, 1999). Early theorists described values as the cultural heritage, passed from one generation to the next, that allows individuals to function efficiently in their social environment and to preserve the structure of society (Mannheim, 1952; Mead, 1934). Cross-cultural studies of intergenerational value transmission are few in number, however. This chapter addresses some of the core issues relevant to the study of value transmission across cultures. We focus on the interplay of culture, migration, and parenting style as they relate to socialization processes. We first propose two different processes through which parenting style and culture may affect value socialization. We then consider the role of parenting style in diverse cultures, focusing on Russian-immigrant and veteran-Israeli youth. Then we examine acculturation attitudes and acculturation contexts as they relate to value socialization in immigrant families. Finally, we briefly discuss implications of the findings for cross-cultural studies of value socialization. This chapter asked how culture and migration affect cultural transmission. Two studies investigated this question, using Russian immigrants in Israel as an exemplary cultural group. This is one of the first attempts to study value transmission with a focus on cross-cultural issues. The data on love withdrawal and its relationship with controlled versus autonomous acceptance of perceived parental values supported the view that culture--through its expression in such cultural practices as parenting styles--affects the transmission process. The studies also demonstrated the role of adolescents' acculturation attitudes and of the acculturation context provided by the school in cultural transmission. Both studies further illustrated the importance of the appropriateness of parenting practices to particular cultures and contexts as an influence on cultural transmission. Cross-cultural studies provide a unique opportunity to study cultural transmission from a comparative perspective. The findings of these studies present a complex picture in which the influence of parents on their children depends on parents' own characteristics, on the characteristics of the children, and on cultural and situational factors. We have also identified additional sources of complexity that make the cross-cultural study of cultural transmission especially challenging. There is much yet to do to unravel the influences of parental values, parenting behavior, family relationships, and cultural context in the process of cultural transmission. (PsycINFO Database Record (c) 2016 APA, all rights reserved)</t>
  </si>
  <si>
    <t>http://search.ebscohost.com.proxy-ub.rug.nl/login.aspx?direct=true&amp;db=psyh&amp;AN=2008-19090-012&amp;site=ehost-live&amp;scope=site</t>
  </si>
  <si>
    <t>Determinants of host society acculturation and its relationship with health behaviors and outcomes: A new research and intervention framework.</t>
  </si>
  <si>
    <t>Journal of Immigrant and Minority Health</t>
  </si>
  <si>
    <t>2015-41818-016</t>
  </si>
  <si>
    <t>Acculturation; Health Behavior; Immigration; Public Health; Society; Cross Cultural Differences; Intervention</t>
  </si>
  <si>
    <t>Host society acculturation (or reverse acculturation) is a complex, multifactorial process reflecting the attitude- and behavior-level impact of immigrants on the host society. However, this phenomenon has rarely been the subject of systematic research in the area of public health. Using qualitative and quantitative findings from different health behavior domains, we strove to identify potential individual- and environment-level determinants of host society acculturation. Next, we developed a context-driven multilevel public health research and intervention framework for the study of the relationship between host society acculturation and health practices and outcomes. The framework posits a number of associations to be evaluated by future multidisciplinary research nationally and internationally. (PsycINFO Database Record (c) 2016 APA, all rights reserved)</t>
  </si>
  <si>
    <t>http://search.ebscohost.com.proxy-ub.rug.nl/login.aspx?direct=true&amp;db=psyh&amp;AN=2015-41818-016&amp;site=ehost-live&amp;scope=site</t>
  </si>
  <si>
    <t>Developing a cultural context for conducting a neuropsychological evaluation with a culturally diverse client: The ECLECTIC framework.</t>
  </si>
  <si>
    <t>The Clinical Neuropsychologist</t>
  </si>
  <si>
    <t>2018-60446-002</t>
  </si>
  <si>
    <t>Cultural Sensitivity; Neuropsychological Assessment; Psychometrics; Test Bias; Cultural Test Bias; Diversity; Education; Population; Test Norms</t>
  </si>
  <si>
    <t>Objective: With the increasing diversification of the American population, the discipline of neuropsychology is challenged to develop appropriate tools and conceptual models to meet its evolving client base. Thus far, the focus has been on developing appropriate tests and norms to obtain accurate testing data. By contrast, far less attention has been paid to the contextual impact of culture on an evaluation. This paper attempts to address this shortcoming. Methods: This manuscript introduces the ECLECTIC framework for conceptualizing different facets of culture pertinent for understanding a culturally diverse client when conducting a neuropsychological evaluation. Individual components of the framework (E: education and literacy; C: culture and acculturation; L: language; E: economics; C: communication; T: testing situation: comfort and motivation; I: intelligence conceptualization; and C: context of immigration) are introduced and potential biases to fairness in testing are described. In this manner, the framework specifies how individual facets of culture can impact neuropsychological test performance. Conclusions: Clinical implementation of the framework will be illustrated with a case sample. Strengths and weaknesses of the framework are discussed as well as recommendations for implementation. (PsycINFO Database Record (c) 2019 APA, all rights reserved)</t>
  </si>
  <si>
    <t>http://search.ebscohost.com.proxy-ub.rug.nl/login.aspx?direct=true&amp;db=psyh&amp;AN=2018-60446-002&amp;site=ehost-live&amp;scope=site</t>
  </si>
  <si>
    <t>Developing a theoretical framework for studies on acculturation and chronic disease.</t>
  </si>
  <si>
    <t>Afable-Munsuz, Aimee; Pérez-Stable, Eliseo</t>
  </si>
  <si>
    <t>The Oxford handbook of acculturation and health.</t>
  </si>
  <si>
    <t>2017-43855-020</t>
  </si>
  <si>
    <t>Acculturation; Chronic Illness; Immigration; Diabetes; Obesity; Physical Activity; Risk Factors</t>
  </si>
  <si>
    <t>It is well documented that immigrants who arrive in the United States have superior health compared with native-born individuals. However, US evidence suggests that this initial health advantage erodes over time, a process referred to as 'unhealthy assimilation,' the 'acculturation paradox,' or the 'immigrant paradox.' Variation in terminology reflects divergence in the conceptual frameworks researchers have used to approach the study of immigrant health, and in particular, how adaptation to US culture and environment influences health. The goal of this chapter is to summarize the evidence on studies that examine these questions in US immigrants with regard to chronic disease risk, in particular obesity, diabetes, and physical activity. A theoretical framework is proposed that can guide interpretation of findings on studies of chronic disease risk in US immigrants and inform future studies that aim to examine the influence of migration on health from a global perspective. (PsycInfo Database Record (c) 2020 APA, all rights reserved)</t>
  </si>
  <si>
    <t>http://search.ebscohost.com.proxy-ub.rug.nl/login.aspx?direct=true&amp;db=psyh&amp;AN=2017-43855-020&amp;site=ehost-live&amp;scope=site</t>
  </si>
  <si>
    <t>Diaspora identity and the potential for violence: Toward an identity-mobilization framework.</t>
  </si>
  <si>
    <t>Brinkerhoff, Jennifer M.</t>
  </si>
  <si>
    <t>Identity: An International Journal of Theory and Research</t>
  </si>
  <si>
    <t>2008-01381-005</t>
  </si>
  <si>
    <t>10.1080/15283480701787376</t>
  </si>
  <si>
    <t>Ethnic Identity; Identity Formation; Immigration; Violence; Motivation</t>
  </si>
  <si>
    <t>This article begins to address the need to better understand the motivation that leads some diaspora members to engage in violent activities and, from that understanding, to identify those most vulnerable to succumbing to its recruitment. The identity-mobilization framework is intended as a set of hypotheses to stimulate dialogue as well as empirical research on these issues. Following a brief note on diasporas and the potential security risks they pose, the article proceeds in three sections: the first section discusses diaspora identity, why it matters, and factors that influence its construction; the second considers why diaspora identity construction holds a potential for conflict; and the third addresses diaspora mobilization, and develops the identity-mobilization framework. The framework brings together identity construction strategies, locus of identity, and resulting acculturation strategies and potential contributions. The article closes with policy implications. (PsycINFO Database Record (c) 2016 APA, all rights reserved)</t>
  </si>
  <si>
    <t>http://search.ebscohost.com.proxy-ub.rug.nl/login.aspx?direct=true&amp;db=psyh&amp;AN=2008-01381-005&amp;site=ehost-live&amp;scope=site</t>
  </si>
  <si>
    <t>Differentiating the drug normalization framework: A quantitative assessment of cannabis use patterns, accessibility, and acceptability attitudes among university undergraduates.</t>
  </si>
  <si>
    <t>Substance Use &amp; Misuse</t>
  </si>
  <si>
    <t>2018-31716-001</t>
  </si>
  <si>
    <t>Cannabis; College Students; Marijuana; Recreation; Marijuana Legalization; Adolescence (13-17 yrs); Adulthood (18 yrs &amp; older); Young Adulthood (18-29 yrs); Male; Female</t>
  </si>
  <si>
    <t>Background/Objectives: The drug normalization framework investigates the social integration of substance use. This article contributes a quantitative assessment of cannabis normalization as differentiated by social location predictors. Methods: Logistic and zero-inflated negative binomial regression models assess three areas of cannabis normalization: accessibility, acceptability, and recent use. Peer network cannabis use prevalence, gender, nativity, campus locale and living arrangement are explored as focal predictors of variation in normalization among 1,713 cannabis using and nonusing undergraduate students in Canada. Results: Women report lower odds of positive cannabis acceptability attitudes. While women report lower rates of recent cannabis use, gender is not a significant predictor for lifetime prevalence. Being a recent immigrant significantly predicts lower recent use, lower odds of favorable attitudes to cannabis, and reduced accessibility in comparison to students born in Canada. Longer-term immigrants do not show significant differences from students born in Canada on accessibility and acceptability, suggesting a substance use acculturation effect. Lower peer cannabis use prevalence exhibits a protective effect against use. In comparison to students who report that 'some' of their peer network uses cannabis, those with 'all' users in their network exhibit lower acceptability attitudes. This suggests a threshold relationship between peer use prevalence and acceptability. Conclusions/Importance: This article provides a data point for assessing future shifts in cannabis normalization prior to impending changes in Canadian drug policy that will legalize recreational cannabis use. Results show that normalization components of recent use, acceptability, and accessibility are differentiated by gender, nativity, and peer network cannabis use prevalence. (PsycINFO Database Record (c) 2018 APA, all rights reserved)</t>
  </si>
  <si>
    <t>http://search.ebscohost.com.proxy-ub.rug.nl/login.aspx?direct=true&amp;db=psyh&amp;AN=2018-31716-001&amp;site=ehost-live&amp;scope=site</t>
  </si>
  <si>
    <t>Duration of U.S. Stay and body mass index among Latino and Asian immigrants: A test of theoretical pathways.</t>
  </si>
  <si>
    <t>Social Science &amp; Medicine</t>
  </si>
  <si>
    <t>2015-48562-006</t>
  </si>
  <si>
    <t>Asians; Body Mass Index; Health Behavior; Immigration; Latinos/Latinas; Adulthood (18 yrs &amp; older); Young Adulthood (18-29 yrs); Thirties (30-39 yrs); Middle Age (40-64 yrs); Male; Female</t>
  </si>
  <si>
    <t>Studies find that longer-term immigrants have higher body mass index (BMI) than their more recently arrived counterparts. Most interpretations of these health patterns by duration of U.S. residence rely on theories of immigrant integration; they posit that with increasing time in the United States, immigrants incorporate economically, socially, and culturally into aspects of U.S. society, and that these changes impact health. Few studies empirically examine whether these aspects of integration are indeed mediators of the association between duration of U.S. stay and BMI, and if their patterns differ across immigrant subgroups. This study examines data from the National Latino and Asian American Survey, using path analytic methods to simultaneously test six hypothesized mediators between duration and BMI: household income, English language ability, ethnic identity, family cohesion, acculturative stress and discrimination for both Latino and Asian immigrants, stratified by gender. We find little evidence for an association between duration and BMI for either Latino or Asian men. For women, duration and BMI have a significant and positive relationship, although the pathways differ between the two ethnic groups. For Latina women, household income and acculturative stress are significant indirect pathways, although they work in opposing directions. For Asian women, English proficiency and discrimination are significant indirect pathways. Our findings reveal complex pathways between duration and BMI that vary by ethnicity and gender and highlight limitations in the negative acculturation theory, which suggests that exposure to the United States should have a net negative impact on health. In contrast, our findings suggest that not all groups show declining health with longer duration, as measured by BMI, and that integration processes do not always translate into health differences in the expected directions. Future research on duration patterns may need to consider alternative explanations beyond incorporation-based processes, such as cross-national health theories or age, period, cohort effects. (PsycINFO Database Record (c) 2016 APA, all rights reserved)</t>
  </si>
  <si>
    <t>http://search.ebscohost.com.proxy-ub.rug.nl/login.aspx?direct=true&amp;db=psyh&amp;AN=2015-48562-006&amp;site=ehost-live&amp;scope=site</t>
  </si>
  <si>
    <t>Efficacy of theory-based HIV behavioral prevention among rural-to-urban migrants in China: A randomized controlled trial.</t>
  </si>
  <si>
    <t>AIDS Education and Prevention</t>
  </si>
  <si>
    <t>2014-31821-002</t>
  </si>
  <si>
    <t>Guilford Publications</t>
  </si>
  <si>
    <t>Chinese Cultural Groups; Condoms; HIV; Intervention; AIDS Prevention; Human Migration; Rural Environments; Theories; Urban Environments; Adolescence (13-17 yrs); Adulthood (18 yrs &amp; older); Young Adulthood (18-29 yrs); Thirties (30-39 yrs); Male; Female</t>
  </si>
  <si>
    <t>Our objective was to evaluate the efficacy of a cultural adaptation of a social cognitive theory-based HIV behavioral prevention program among young rural-to-urban migrants in China. The intervention design and assessment were guided by the Protection Motivation Theory (PMT). The intervention was evaluated through a randomized controlled trial with 6-month and 12-month follow-ups. The primary behavioral outcome was the use of condoms. Other outcome measures include HIV knowledge, condom use knowledge, HIV-related perceptions (PMT constructs), and intention to use condom. The mixed-effects regression models for condom use with regular partners indicated that overall frequency of condom use, condom use in last three sexual acts and proper condom use increased over time for the participants but the increases were significantly greater among the intervention group than the control group at 6-month and 12-month follow-ups. The mixed-effects models for HIV-related perceptions indicated that extrinsic rewards, intrinsic rewards, and response costs decreased while vulnerability, severity, response efficacy, and self-efficacy increased over time for the intervention group. The increases in HIV knowledge, condom use knowledge, and intention to use condom were also significantly greater among the intervention group than the control group. The data in the current study suggested efficacy of a social cognitive theory-based behavioral intervention in increasing condom use among young migrants in China. The intervention also increased protective perceptions and decreased risk perception posited by the theory (i.e., PMT). (PsycINFO Database Record (c) 2016 APA, all rights reserved)</t>
  </si>
  <si>
    <t>http://search.ebscohost.com.proxy-ub.rug.nl/login.aspx?direct=true&amp;db=psyh&amp;AN=2014-31821-002&amp;site=ehost-live&amp;scope=site</t>
  </si>
  <si>
    <t>Ein theoretisches Modell zur Integration von Arbeitsmigranten in Organisationen.</t>
  </si>
  <si>
    <t>Reif, Julia A. M.; Spieß, Erika; Berger, Rita</t>
  </si>
  <si>
    <t>Gruppe. Interaktion. Organisation. Zeitschrift für Angewandte Organisationspsychologie (GIO)</t>
  </si>
  <si>
    <t>2017-09736-007</t>
  </si>
  <si>
    <t>Coping Behavior; Human Migration; Occupational Stress; Professional Socialization; Acculturation; Adulthood (18 yrs &amp; older)</t>
  </si>
  <si>
    <t>This article in the journal 'Gruppe. Organisation. Interaktion. (GIO)' portraits a model of organizational acculturation that describes the emergence of acculturative and socialization stressors upon the encounter of different cultures when migrant workers enter organizations, while taking into account the perspective of persons already employed in those organizations. This model combines approaches of acculturation and socialization research. Intrapersonal (cyclic interplay of information, uncertainty reduction and learning) and interpersonal (voice, participation, empowerment and social support) coping-processes lead to successful adaptation of work migrants. In turn, successful adaptation has positive effects on further work-related outcomes. The model takes account of the fact that due to the additional challenge of having to adapt to a new culture, organizational socialization of work migrants proceeds in a more complex fashion. The model provides starting points for future research and practical applications. (PsycINFO Database Record (c) 2017 APA, all rights reserved)</t>
  </si>
  <si>
    <t>http://search.ebscohost.com.proxy-ub.rug.nl/login.aspx?direct=true&amp;db=psyh&amp;AN=2017-09736-007&amp;site=ehost-live&amp;scope=site</t>
  </si>
  <si>
    <t>El estudio del proceso del cambio según el modelo de asimilación: Una introducción teórica y metodológica.</t>
  </si>
  <si>
    <t>Gabalda, Isabel Caro; Faus, Anna Allepuz; Serrano, Irene Rojo; Sabater, Ainara Yera</t>
  </si>
  <si>
    <t>Clínica y Salud</t>
  </si>
  <si>
    <t>2011-28943-003</t>
  </si>
  <si>
    <t>10.5093/cl2011v22n3a3</t>
  </si>
  <si>
    <t>Colegio Oficial de Psicólogos de Madrid</t>
  </si>
  <si>
    <t>Acculturation; Cognitive Behavior Therapy; Immigration; Psychotherapy</t>
  </si>
  <si>
    <t>The main aim of this paper is the theoretical and methodological description of the assimilation model. The assimilation model has been developed as an integrative process research model that allows us to describe the process of change in any therapeutic approach. This paper describes the model and how should be its procedure. Besides, the paper defines its main concepts, such as assimilation, dominant and non-dominant voices, meaning bridge and describes The Assimilation of Problematic Experiences Scale (APES). Some of the main results are shown, such as the one that relates change with assimilation and no assimilation and no change. Also, it is described the characteristic saw-toothed pattern of assimilation found in cognitive therapies. (PsycINFO Database Record (c) 2018 APA, all rights reserved)</t>
  </si>
  <si>
    <t>http://search.ebscohost.com.proxy-ub.rug.nl/login.aspx?direct=true&amp;db=psyh&amp;AN=2011-28943-003&amp;site=ehost-live&amp;scope=site</t>
  </si>
  <si>
    <t>'Enculturation', not 'acculturation': Conceptualising and assessing identity processes in migrant communities.</t>
  </si>
  <si>
    <t>2009-06761-004</t>
  </si>
  <si>
    <t>Acculturation; Communities; Cross Cultural Differences; Ethnic Identity; Human Migration</t>
  </si>
  <si>
    <t>Following a critique of Berry’s model of ‘acculturation strategies’, the paper considers the relationship between heritage culture and ethnic identity. Analysis of processes of development, maintenance and redefinition of identity in contexts of alternative cultural norms contends with the assumption of conscious choice or strategy towards mainstream and heritage cultures. From the perspective of identity issues, enculturation of cultural elements rather than acculturation is often the more significant process. Going beyond critique to consider issues of the persistence of ethnic identity and processes of cultural reformulation, brings attention to the origins of primordialist sentiment within ethnic identity and the possibilities for generating situationalist perspectives. Reference to empirical investigations using Identity Structure Analysis (introduced as a conceptual framework for explicating complex identity processes) provides evidence for different identity processes and structures according to socio-historical context and the greater malleability of situationalists compared with primordialists in their empathetic identifications with alternative cultural groups. (PsycINFO Database Record (c) 2016 APA, all rights reserved)</t>
  </si>
  <si>
    <t>http://search.ebscohost.com.proxy-ub.rug.nl/login.aspx?direct=true&amp;db=psyh&amp;AN=2009-06761-004&amp;site=ehost-live&amp;scope=site</t>
  </si>
  <si>
    <t>Ethnic communities and school performance among the new second generation in the United States: Testing the theory of segmented assimilation.</t>
  </si>
  <si>
    <t>Annals of the American Academy of Political and Social Science</t>
  </si>
  <si>
    <t>2008-15584-006</t>
  </si>
  <si>
    <t>Academic Achievement; Aspiration Level; Immigration; Racial and Ethnic Groups; Social Capital; Adaptation; Family; Schools; Adulthood (18 yrs &amp; older); Male; Female</t>
  </si>
  <si>
    <t>This article examines the theory of segmented assimilation, which traces the divergent adaptation of immigrant children in the post-1969 wave to the nature of reception by U.S. society, access to social capital through ethnic communities, and exposure to oppositional cultures of marginalized domestic minorities. The article provides a test of those arguments in the area of school performance. Based on data from the Children of Immigrants Longitudinal Study, indicators of community-based social capital are shown to account for considerable interethnic differences in school performance. The results challenge notions that ethnic communities are generally supportive of the second generation’s school performance, while contact with oppositional cultures of domestic minorities is the main cause of lower than average achievement. They support a conditional view of ethnic communities: the extent to which immigrant families’ insertion into ethnic communities can support the school performance of their children depends on the communities’ socioeconomic profile and level of aspirations. (PsycINFO Database Record (c) 2016 APA, all rights reserved)</t>
  </si>
  <si>
    <t>http://search.ebscohost.com.proxy-ub.rug.nl/login.aspx?direct=true&amp;db=psyh&amp;AN=2008-15584-006&amp;site=ehost-live&amp;scope=site</t>
  </si>
  <si>
    <t>Ethnic socialization in the transnational context of mexican immigrant families: An ecological framework.</t>
  </si>
  <si>
    <t>Chavez, Noe Ruben</t>
  </si>
  <si>
    <t>5-B(E)</t>
  </si>
  <si>
    <t>2013-99220-375</t>
  </si>
  <si>
    <t>Acculturation; Immigration; Socialization; Family</t>
  </si>
  <si>
    <t>There is minimal research examining the relevance of a transnational context for understanding immigrant parents’ acculturation experiences and ethnic socialization practices. The purpose of the current study was to examine the relationship between the acculturation, ethnic socialization practices, and transnationalism of Mexican immigrant mothers (N = 60) living in Chicago. Using hierarchical linear regression analysis, different dimensions of acculturation and transnationalism were tested as predictors of ethnic socialization practices (i.e., cultural socialization, preparation for bias, use of cultural resources), controlling for demographic variables. The construct of transnationalism was composed of two dimensions: transnational network and transnational practices, and conceptualized as the degree of orientation or connectedness to family, friends, or community in immigrants’ nation of origin. In addition to testing transnational network and practices as predictors of ethnic socialization, they were also tested as moderators of the relationship between the dimensions of acculturation and dimensions of ethnic socialization. Results indicated that Mexican and American acculturation dimensions significantly predicted preparation for bias. Also, a larger transnational network and more transnational practices predicted more preparation for bias and use of cultural resources. Both transnational dimensions also moderated the relationship between Mexican and American acculturation dimensions with preparation for bias and use of cultural resources. The findings are discussed in terms of expanding our understanding of acculturation and ethnic socialization by addressing the transnational context of Mexican immigrant families. (PsycINFO Database Record (c) 2016 APA, all rights reserved)</t>
  </si>
  <si>
    <t>http://search.ebscohost.com.proxy-ub.rug.nl/login.aspx?direct=true&amp;db=psyh&amp;AN=2013-99220-375&amp;site=ehost-live&amp;scope=site</t>
  </si>
  <si>
    <t>Examination of Korean immigrant mothers’ parenting practices: By using the framework of bilinear acculturation.</t>
  </si>
  <si>
    <t>Yoon, Eunju; Choi, Yoonsun; Suh, Jeong-Eun; Galvin, Sarah</t>
  </si>
  <si>
    <t>Asian American Journal of Psychology</t>
  </si>
  <si>
    <t>2021-10956-001</t>
  </si>
  <si>
    <t>10.1037/aap0000188</t>
  </si>
  <si>
    <t>Acculturation; Childrearing Practices; Immigration; Parenting; Autonomy; Commitment; Communication; Major Depression; Mothers; Test Construction; Adulthood (18 yrs &amp; older); Thirties (30-39 yrs); Middle Age (40-64 yrs); Female</t>
  </si>
  <si>
    <t>By using the conceptual framework of bilinear acculturation, this study examined Korean immigrant mothers’ parenting practices among 389 mother–youth (adolescent children in middle or high school) dyads. We examined (a) how mothers’ acculturation and enculturation were related to mainstream (i.e., authoritarian vs. authoritative styles, communication, warmth/bonding, autonomy support) versus culture specific parenting practices (i.e., interdependence, commitment to education, academic control) and (b) how parenting practices were, in turn, linked to youth outcomes of depression, antisocial behaviors, and academic performance as measured 1.5 years later. Mothers and youth had significant perceptual gaps in parenting practices, especially in autonomy support and parental commitment to education. Therefore, path analyses were conducted separately for mother-reported versus youth-reported parenting. As hypothesized, mothers’ acculturation was more closely related to mainstream parenting, while enculturation was to culture specific parenting. Mother-reported autonomy support predicted higher academic performance, while youth-reported authoritarian parenting predicted lower academic performance. Youth-reported communication predicted lower depression and antisocial behaviors. The current findings have implications for parenting and family interventions to optimize Korean immigrant youth’s well-being in the bicultural context. Additionally, bilinear acculturation was found to be a useful conceptual framework in studying immigrant parenting. (PsycInfo Database Record (c) 2021 APA, all rights reserved)</t>
  </si>
  <si>
    <t>http://search.ebscohost.com.proxy-ub.rug.nl/login.aspx?direct=true&amp;db=psyh&amp;AN=2021-10956-001&amp;site=ehost-live&amp;scope=site</t>
  </si>
  <si>
    <t>Existential Migration: Conceptualising Out of the Experiential Depths of Choosing to Leave 'Home'.</t>
  </si>
  <si>
    <t>Madison, Greg</t>
  </si>
  <si>
    <t>Existential Analysis</t>
  </si>
  <si>
    <t>2006-09557-003</t>
  </si>
  <si>
    <t>Society for Existential Analysis</t>
  </si>
  <si>
    <t>Existentialism; Human Migration; Immigration; Philosophies; Psychodynamics; Acculturation; Anthropology; Adulthood (18 yrs &amp; older); Young Adulthood (18-29 yrs); Thirties (30-39 yrs); Middle Age (40-64 yrs); Male; Female</t>
  </si>
  <si>
    <t>The following is a preliminary discussion of research that unexpectedly gave rise to the new concept of 'existential migration'. Phenomenological interviews with voluntary migrants, individuals who choose to leave their homeland to become foreigners in a new culture, reveal consistently deep themes and motivations which could convincingly be labelled 'existential'. Rather than migrating in search of employment, career advancement, or overall improved economic conditions, these voluntary migrants are seeking greater possibilities for self-actualising, exploring foreign cultures in order to assess their own identity, and ultimately grappling with issues of home and belonging in the world generally. The article offers a sketch of this phenomenon with reference to Martin Heidegger's ontology, thereby indicating alternative understandings of 'home', 'not-being-at-home', 'belonging', which take into account the narratives of these migratory experiences. An example of the conceptual ramifications of this new understanding of voluntary migration is found in the definition of 'home as interaction' rather than the usual 'home as place'. The article offers a cautionary note regarding the potentially profound and mostly ignored psychological consequences of the contemporary push to increasing globalisation. As a summary article, what follows will potentially raise more questions than answers for the reader; further articles will be forthcoming and feedback is welcome. (PsycINFO Database Record (c) 2017 APA, all rights reserved)</t>
  </si>
  <si>
    <t>http://search.ebscohost.com.proxy-ub.rug.nl/login.aspx?direct=true&amp;db=psyh&amp;AN=2006-09557-003&amp;site=ehost-live&amp;scope=site</t>
  </si>
  <si>
    <t>International Journal of Behavioral Development</t>
  </si>
  <si>
    <t>2007-19998-003</t>
  </si>
  <si>
    <t>Acculturation; Adjustment; Chinese Cultural Groups; Immigration; Multiculturalism; Models; Strategies; Childhood (birth-12 yrs); School Age (6-12 yrs); Adolescence (13-17 yrs); Adulthood (18 yrs &amp; older); Female</t>
  </si>
  <si>
    <t>Most acculturation research has been conducted in immigrant settings. The present study examined the generalizability of acculturation models and the adaptiveness of acculturation strategies in another bicultural environment--a colonial setting. The sample included 138 girls (M = 13.8 years) and their parents from Hong Kong, a former British colony. Results verified that both Chinese and western acculturation occurred on individual psychological levels and that the bidimensional model was a suitable acculturation framework. Using hierarchical multiple regression, results suggested that acculturation towards Chinese (majority) culture was related to better adaptation in terms of higher academic achievement and positive family dynamics (parental nurturance and closer family relationships). Acculturation towards western (minority) culture was related to poorer adaptation in terms of engaging in greater misconduct and negative family interactions (larger intergenerational value discrepancies and family conflicts). Thus, acculturation towards the majority culture held adaptive implications, whereas acculturation towards the minority culture held maladaptive implications. Consideration of the bicultural composition (e.g., status, prestige, strength of cultural networks of each culture) should be incorporated into acculturation theory to better understand adjustment implications across a wide range of contexts. (PsycINFO Database Record (c) 2016 APA, all rights reserved)</t>
  </si>
  <si>
    <t>http://search.ebscohost.com.proxy-ub.rug.nl/login.aspx?direct=true&amp;db=psyh&amp;AN=2007-19998-003&amp;site=ehost-live&amp;scope=site</t>
  </si>
  <si>
    <t>Expanding policy-based conceptualizations of 'successful integration': Negotiating integration through occupation following international migration.</t>
  </si>
  <si>
    <t>Huot, Suzanne; Rudman, Debbie Laliberte; Dodson, Belinda; Magalhães, Lilian</t>
  </si>
  <si>
    <t>Journal of Occupational Science</t>
  </si>
  <si>
    <t>2013-10831-001</t>
  </si>
  <si>
    <t>10.1080/14427591.2012.717497</t>
  </si>
  <si>
    <t>Immigration; Policy Making; Social Integration; Social Interaction; Concept Formation; Minority Groups; Occupations; Adulthood (18 yrs &amp; older); Male; Female</t>
  </si>
  <si>
    <t>The immigration of French-speakers to Canada and their successful integration into Francophone minority communities has become a priority for the country's federal government. A critical ethnography served to challenge assumptions regarding successful integration embedded within government documents and to raise awareness of the challenges faced by French-speaking immigrants from visible minority groups residing within London, Ontario, Canada. A theoretical framework applying Goffman's concept of performance and Bourdieu's concepts of field, habitus, and capital guided the stud/. Eight migrants participated in up to five sessions including narrative and in-depth interviews, Occupational Mapping, and participation in occupations. Findings highlight that integration involves a process of 'starting over,' which entails becoming aware of differences in fields and habitus within and between home and host societies, learning 'how things work' in the host community, and negotiating performances in social interactions. This negotiation, enacted primarily through occupation, is influenced by differential access to forms of capital. It is further related to ways immigrants' intersecting identity markers are constructed within particular places and embedded in broader social systems and structures. These findings challenge the linear and individualized process of integration identified within government documents, and the narrow focus on economic productivity as the occupation-based marker of integration. (PsycINFO Database Record (c) 2016 APA, all rights reserved)</t>
  </si>
  <si>
    <t>http://search.ebscohost.com.proxy-ub.rug.nl/login.aspx?direct=true&amp;db=psyh&amp;AN=2013-10831-001&amp;site=ehost-live&amp;scope=site</t>
  </si>
  <si>
    <t>Explaining the ‘immigration advantage’ and the ‘biculturalism paradox’: An application of the theory of demoralization.</t>
  </si>
  <si>
    <t>2014-06793-010</t>
  </si>
  <si>
    <t>Cross Cultural Differences; Immigration; Indigenous Populations; Mental Health; Multiculturalism; Demoralization</t>
  </si>
  <si>
    <t>Background: Recent immigrants have better mental health than the natives (‘immigration advantage’). Biculturals have better mental health than the monoculturals (‘biculturalism paradox’). Material: Mexican immigrants have lower rates of psychopathology than the US population. This is less true for Cubans and not true for Puerto Ricans. The ‘advantage’ also occurs in other groups. Biculturals have better mental health and endorse both cultures. Discussion: The theory of demoralization predicts that borrowing values from both cultures and applying them judiciously are more conducive to mental health than indiscriminately subscribing to either culture. Conclusion: The findings are consistent with the theory of demoralization. (PsycINFO Database Record (c) 2016 APA, all rights reserved)</t>
  </si>
  <si>
    <t>http://search.ebscohost.com.proxy-ub.rug.nl/login.aspx?direct=true&amp;db=psyh&amp;AN=2014-06793-010&amp;site=ehost-live&amp;scope=site</t>
  </si>
  <si>
    <t>Explaining the cultural retention–delinquency relationship using differential support and coercion theory: A study of native‐born and immigrant Latino youth.</t>
  </si>
  <si>
    <t>Social Science Quarterly</t>
  </si>
  <si>
    <t>2020-21772-014</t>
  </si>
  <si>
    <t>Coercion; Immigration; Juvenile Delinquency; Social Support; Latinos/Latinas; Acculturation; Society; Childhood (birth-12 yrs); School Age (6-12 yrs); Adolescence (13-17 yrs); Adulthood (18 yrs &amp; older); Young Adulthood (18-29 yrs); Male; Female</t>
  </si>
  <si>
    <t>Objective: Although immigrants tend to have lower involvement in delinquency, increasing levels of acculturation to American society may lead to higher levels of delinquency. Conversely, cultural retention typically reduces such behavior. To explain these findings, this study employs differential coercion and support theory to predict that cultural retention is inversely associated with delinquency through associations with greater social support and less coercion. Method: Using a large, national‐level sample of Latino native‐born and immigrant youth, analyses are conducted using both ordinary least squares (OLS) and logistic regression. Results: Findings support hypotheses, showing that increases in cultural retention are associated with less coercion and more social support, both of which are, in turn, related to delinquency. Importantly, an initial strong inverse relationship between cultural retention and delinquency disappears when coercion and social support are controlled. Conclusion: Higher social support and lower coercion help explain the inverse relationship between cultural retention and delinquency among native‐born and immigrant Latino youth. (PsycInfo Database Record (c) 2021 APA, all rights reserved)</t>
  </si>
  <si>
    <t>http://search.ebscohost.com.proxy-ub.rug.nl/login.aspx?direct=true&amp;db=psyh&amp;AN=2020-21772-014&amp;site=ehost-live&amp;scope=site</t>
  </si>
  <si>
    <t>Exploring the immigrant experience through self-silencing theory and the full-frame approach: The case of Caribbean immigrant women in Canada and the United States.</t>
  </si>
  <si>
    <t>Ali, Alisha</t>
  </si>
  <si>
    <t>Silencing the self across cultures: Depression and gender in the social world.</t>
  </si>
  <si>
    <t>2010-08771-010</t>
  </si>
  <si>
    <t>10.1093/acprof:oso/9780195398090.003.0011</t>
  </si>
  <si>
    <t>Cross Cultural Differences; Immigration; Major Depression; Repression (Defense Mechanism); Self-Concept; Alienation; Culture (Anthropological); Life Experiences; Privacy; Psychological Theories; Race (Anthropological); Self-Perception; Social Behavior; Social Environments; Communication Barriers; Female</t>
  </si>
  <si>
    <t>The concept of silencing the self is grounded in the notion that the social world can shape one's behavior and one's self-perceptions in ways that precipitate a gradual alienation between the private self and the public self (Jack, 1991). Because the social world is constituted by the broader cultural milieu in which an individual and groups of individuals reside, silencing the self theory can be a powerful tool in examining the interface between self and culture. The theory can further be used to explore the process of transitioning from one culture to another, a process embodied in the immigrant experience. In this chapter, I describe the role of self-silencing in a particular type of immigrant experience: that of women who have emigrated from the English-speaking Caribbean to Canada or the United States. The basis for this discussion is a series of focus groups that were conducted in Toronto and New York City in which Caribbean immigrant women talked about the idea of self-silencing within the context of their lives as immigrant women. Through a comparison of the focus group findings from the Canadian immigrant sample and the American immigrant sample, it is possible to detect phenomenological differences in the role that self-silencing plays in adapting to the cultural context in the United States in contrast to the cultural adaptation described by the immigrant women in Canada. I contend that these differences, which I outline in this chapter, emerge from differing meanings and constructions around race, identity, and selfhood between these two host countries. (PsycInfo Database Record (c) 2020 APA, all rights reserved)</t>
  </si>
  <si>
    <t>http://search.ebscohost.com.proxy-ub.rug.nl/login.aspx?direct=true&amp;db=psyh&amp;AN=2010-08771-010&amp;site=ehost-live&amp;scope=site</t>
  </si>
  <si>
    <t>Exploring the perspectives of West African immigrant families on active living among adolescent children: A grounded theory of study.</t>
  </si>
  <si>
    <t>Hassan, Oluwasegun Bankole</t>
  </si>
  <si>
    <t>2020-97495-069</t>
  </si>
  <si>
    <t>Active Living; Family; Immigration; Parents; Physical Activity; African Cultural Groups; Grounded Theory; Peer Pressure; Childhood (birth-12 yrs); School Age (6-12 yrs); Adolescence (13-17 yrs)</t>
  </si>
  <si>
    <t>Accumulating evidence suggests that the risks of inactivity-related problems such as obesity are becoming a population health concern among younger age groups. High income countries show an elevated rate of physical inactivity among children. Low- and middle-income countries are beginning to experience a gradual increase in this trend. Canada is a highly industrialized multicultural society with nearly 22% of foreign-born individuals coming through the immigration process. Recent immigrants tend to experience a decline in their health status, over time as their years in Canada increase (negative acculturation effect). This phenomenon can be attributed to several factors including adaptation to the new sociocultural environment. While a great deal of research has focused on children, there is paucity of research in this area among West African children in Canada. With Saskatchewan being one of the fastest growing populations in Canada, this study sought to gain a deeper understanding of the perspectives of West African immigrant families in Saskatchewan and assess the impact of the sociocultural environment on active living among their adolescent children. Using purposive sampling, a total of 15 families residing in Saskatchewan were interviewed. Children between 10 to 17 years and their parents were interviewed in each family. A grounded theory methodological approach by Charmaz (2014) was used in this study. This involved an immersion phase, a conceptual phase, and a constant comparative analytical process. The analysis allowed for emergence of themes. Both the children and their parents reported having experiential knowledge of physical activity and benefits. The children and their parents also showed some negative acculturative experiences associated with active living. They reported facilitators of physical activity for the children such as school influence, peer influence, and parental role-modelling. The children showed an inherent interest in engaging in risky play. Both the children and their parents reported beneficial outcomes of engaging in physical activity together as a family. Finally, parental positive and negative reinforcements was reported in relation to domestic activities. This study contributes to a conceptual understanding of the knowledge regarding internal, external, and transitional factors impacting the active living and well-being of West African children in Canada. (PsycInfo Database Record (c) 2021 APA, all rights reserved)</t>
  </si>
  <si>
    <t>http://search.ebscohost.com.proxy-ub.rug.nl/login.aspx?direct=true&amp;db=psyh&amp;AN=2020-97495-069&amp;site=ehost-live&amp;scope=site</t>
  </si>
  <si>
    <t>Exploring U.S. imperialist influences on bicultural Koreans' identity negotiation: A critical theory study.</t>
  </si>
  <si>
    <t>Lee, Minsun</t>
  </si>
  <si>
    <t>12-B(E)</t>
  </si>
  <si>
    <t>2014-99120-181</t>
  </si>
  <si>
    <t>Negotiation; Interpersonal Control; Cultural Identity; Ideology; Latinos/Latinas</t>
  </si>
  <si>
    <t>Bicultural identity has traditionally been studied in a contextual vacuum, with little attention to how asymmetrical power dynamics between two cultures influence the negotiation of a bicultural identity. This critical theory study used a focus group and follow-up individual interviews to illuminate how five adult bicultural Koreans residing in the U.S. negotiate their sociocultural identities within the context of U.S. imperialist influences. Interpretive phenomenological analysis (Smith &amp; Osborn, 2008) and methods drawn from feminist research (Anderson &amp; Jack, 1991) were employed to analyze the data. The analysis of the focus group and individual interviews suggested that participants were influenced by their experiences of immigration, racialization, racism, and racial triangulation in the U.S. Moreover, participants' accounts manifested hegemonic ideologies of color-blindness and individualism, and revealed a mixture of false consciousness and critical consciousness about racism within the U.S. That is, colorblind ideology and individualistic ideology appeared to obscure the role of racialization and racism, resulting in a false consciousness. At the same time, participants also manifested a critical understanding of history and the call for sociopolitical activism. Additionally, participants' narratives revealed internalized beliefs about the superiority of the U.S. versus the inferiority of Korea. Although most participants explicitly denied the impact of these factors on their bicultural identity, they implicitly acknowledged ways in which the asymmetrical power dynamics between the U.S. and Korea on the global stage, and between White Americans and ethnic Koreans within the U.S., influence their negotiation of sociocultural identities. The present findings have theoretical and practical implications for understanding and working with bicultural Koreans within the U.S. First, identity theory and clinical practice associated with bicultural Koreans needs to attend to the experiences of loss of power, racism, and assimilation. Second, it is important to attend to the role of ideologies in bicultural Koreans' identity negotiation. Third, there needs to be a focus on the influence of false consciousness in bicultural Koreans' identities. Finally, because bicultural Koreans' internalization of the inferiority of Korean culture appears to influence their identities as Korean and American, this internalization should be attended to theorizing about and counseling with bicultural Koreans. (PsycInfo Database Record (c) 2020 APA, all rights reserved)</t>
  </si>
  <si>
    <t>http://search.ebscohost.com.proxy-ub.rug.nl/login.aspx?direct=true&amp;db=psyh&amp;AN=2014-99120-181&amp;site=ehost-live&amp;scope=site</t>
  </si>
  <si>
    <t>Factors affecting immigrants' acculturation intentions: A theoretical model and its assessment among adolescent immigrants from Russia and Ukraine in Israel.</t>
  </si>
  <si>
    <t>2012-05339-008</t>
  </si>
  <si>
    <t>Acculturation; Adolescent Attitudes; Immigration; Intention; Planned Behavior; Adolescence (13-17 yrs); Male; Female</t>
  </si>
  <si>
    <t>In this study, a new acculturation intentions model (AIM) was formulated to help explain immigrants’ preferences for different acculturation strategies and their further emigration intentions, i.e. their plans to either remain in the host country, return to their country of origin, or emigrate to a third country. The AIM applies the theory of planned behavior (Ajzen, 1991) to the case of immigration. In the present study, the AIM was assessed among high-school adolescents who immigrated from Russia and Ukraine to Israel as part of an educational program (n = 151). The adolescents completed questionnaires twice: half a year before and three years after their immigration. In accordance with the theoretical model, attitudes towards the country of origin and the host country and perceived environmental constraints (including perceived discrimination as well as perceived social support from parents, peers, and teachers) affected the immigrants’ acculturation intentions. In contrast with what was hypothesized in this study, immigrants’ psychological resources were not related to their acculturation intentions. The significance of these findings for both the immigrants and the host society are discussed. (PsycInfo Database Record (c) 2020 APA, all rights reserved)</t>
  </si>
  <si>
    <t>http://search.ebscohost.com.proxy-ub.rug.nl/login.aspx?direct=true&amp;db=psyh&amp;AN=2012-05339-008&amp;site=ehost-live&amp;scope=site</t>
  </si>
  <si>
    <t>Family separation and mental health outcomes among Mexican immigrants: An acculturative stress framework.</t>
  </si>
  <si>
    <t>Rusch, Dana</t>
  </si>
  <si>
    <t>11-B</t>
  </si>
  <si>
    <t>2012-99100-257</t>
  </si>
  <si>
    <t>Acculturation; Family; Immigration; Major Depression; Mental Health; Parents; Stress; Health Outcomes; Family Separation; Male; Female</t>
  </si>
  <si>
    <t>Serial or stage-wise migration is common among Mexican families and is characterized by a series of family separations, typically between parents and children. This pattern reflects the long-standing socio-political history between the U.S. and Mexico and is well-documented in the sociological literature along with discussion of transnational context. Despite data to suggest that serial migration separations increase risk for depression for both parents and children when compared to non-separated immigrant counterparts, few studies have specifically investigated the effects of these separations on individual-level and family-level outcomes. This study uses an acculturative stress model to examine the effects of serial-migration family separations on parent depression, family cohesion and general family functioning. Part of this study also served as a pilot phase for developing a measure to assess parents' appraisals of family separation and reunion experiences. Data were collected from a community sample of Mexican immigrant parents (N=53; 72% mothers) via surveys administered in Spanish by researchers. Seventy percent of the sample experienced a separation from at least one child during immigration to the U.S. A relatively high percentage (43.4%) met clinical cutoff scores for depression, but there was no significant difference in scores between separated status and non-separated status groups. These groups also did not differ on any family-level outcomes. Even though results did not support the proposed mediation models to predict depression or family-level outcomes, separated status parents reported significantly higher levels of acculturative stress than their non-separated counterparts. Pilot data suggest that negative appraisals of separation experiences were associated with higher levels of acculturative stress and depression, as well as poor family functioning and family cohesion. Overall, these findings endorse using an acculturative stress framework to understand the post-migration experiences of Mexican families in the U.S. Limitations of these findings are discussed along with suggestions for future research. (PsycInfo Database Record (c) 2020 APA, all rights reserved)</t>
  </si>
  <si>
    <t>http://search.ebscohost.com.proxy-ub.rug.nl/login.aspx?direct=true&amp;db=psyh&amp;AN=2012-99100-257&amp;site=ehost-live&amp;scope=site</t>
  </si>
  <si>
    <t>Fostering insights: A strengths-based theory of parental transformation.</t>
  </si>
  <si>
    <t>Journal of Child and Family Studies</t>
  </si>
  <si>
    <t>2017-58292-001</t>
  </si>
  <si>
    <t>Childhood Development; Diagnosis; Life Changes; Parents; Theories; Family; Adulthood (18 yrs &amp; older)</t>
  </si>
  <si>
    <t>Parent’s awareness that their child’s development is not proceeding as they expected can create an unanticipated transition from being a parent to becoming the parent of a child with a developmental diagnosis. While many transition theories contribute to our understanding of how parents’ experience change over time, many traditional transition models are not family-centered and do not provide a strengths-based perspective of parents’ experiences during this transition. This paper describes the process of theory derivation to develop a strengths-based theory of parental transformation (STPT). We used the theory of well-being of refugee women experiencing cultural transition to gain insights into parents’ experiences related to their child’s diagnosis. We propose that the STPT addresses a gap in the literature by situating the diagnostic process within a strengths’ based framework that aligns with contemporary perspectives regarding disability. The STPT emphasizes understanding parents’ experiences and needs in ways that promote personal growth to support the parent and child. (PsycINFO Database Record (c) 2019 APA, all rights reserved)</t>
  </si>
  <si>
    <t>http://search.ebscohost.com.proxy-ub.rug.nl/login.aspx?direct=true&amp;db=psyh&amp;AN=2017-58292-001&amp;site=ehost-live&amp;scope=site</t>
  </si>
  <si>
    <t>Found in translation: A review of the clinical and conceptual links between immigration and psychosis.</t>
  </si>
  <si>
    <t>Burns, Kelly M.</t>
  </si>
  <si>
    <t>9-B(E)</t>
  </si>
  <si>
    <t>2015-99060-233</t>
  </si>
  <si>
    <t>Anthropology; Etiology; Immigration; Insight; Literature; Psychosis</t>
  </si>
  <si>
    <t>This dissertation reviews the literature on psychosis in immigrant populations, using insights from anthropology, postcolonial theory, and related philosophical disciplines to present immigration and psychosis as liminal states with both conceptual and concrete connections. The last 15 years have seen a growth in research demonstrating increased rates of psychosis in migrant populations around the world, and in derivative literature exploring etiological hypotheses that might explain this disparity. The current study notes an absence in this literature of acknowledgement of the central role that culture, language, and transitional states play in both immigration and psychosis, which hampers a full and clinically useful understanding of what happens when these processes co-occur. To augment the literature, the author surveys topics such as anthropology's revisions to the concept of acculturation, postcolonial theories of cultural encounter and evolution, poststructuralist theories of language and meaning, and deconstructionist analysis of xenophobia's influence in the historical development of psychosis as a diagnosis, applying these to a more nuanced appreciation of the convergence of migration and psychosis. The review concludes explaining how interdisciplinary perspectives might play a larger role in guiding clinical research and training, and might allow for ways of thinking about psychosis that both improve patient care and help propel academic discourse on language, culture, meaning, and psychosis, the great conundrums of psychiatry and philosophy. (PsycINFO Database Record (c) 2016 APA, all rights reserved)</t>
  </si>
  <si>
    <t>http://search.ebscohost.com.proxy-ub.rug.nl/login.aspx?direct=true&amp;db=psyh&amp;AN=2015-99060-233&amp;site=ehost-live&amp;scope=site</t>
  </si>
  <si>
    <t>Further development of integrated threat theory and intergroup contact: A reply to Aberson (2015).</t>
  </si>
  <si>
    <t>Communication Monographs</t>
  </si>
  <si>
    <t>2016-22092-006</t>
  </si>
  <si>
    <t>Cross Cultural Differences; Immigration; Muslims; Threat</t>
  </si>
  <si>
    <t>This essay furthers a dialogue about the theoretical and statistical merits of Croucher's [(2013). Integrated threat theory and acceptance of immigrant assimilation: An analysis of Muslim immigration in Western Europe. Communication Monographs, 80, 46–62] study exploring the relationships between threat from an immigrant group, belief that an immigrant wants to assimilate, and intergroup contact. Key points of divergence include assertions that (a) the relationships in the original piece are counter to previous literature/relationships, (b) the correlations presented are implausible, (c) the magnitude of the relationships is too strong, and (d) the manuscript has 'odd' multiple regression coefficients. This rejoinder argues (a) more intergroup contact can lead to more threat, (b) the correlations are real, Aberson's [(2015). Strange results and implausible correlations in Croucher (2013). Communication Monographs] formula is invalid, and subsequent research has produced similar results, (c) the magnitude of the relationships and multiple regression coefficients is real, and (d) it is possible that statistical issues (such as sample characteristics and outliers) heightened the magnitude in this study. (PsycINFO Database Record (c) 2017 APA, all rights reserved)</t>
  </si>
  <si>
    <t>http://search.ebscohost.com.proxy-ub.rug.nl/login.aspx?direct=true&amp;db=psyh&amp;AN=2016-22092-006&amp;site=ehost-live&amp;scope=site</t>
  </si>
  <si>
    <t>Gender and sexuality in migration processes: Theoretical and methodological issues.</t>
  </si>
  <si>
    <t>Mangone, Emiliana</t>
  </si>
  <si>
    <t>Gender and sexuality in the migration trajectories: Studies between the northern and southern Mediterranean shores.</t>
  </si>
  <si>
    <t>2018-25968-001</t>
  </si>
  <si>
    <t>IAP Information Age Publishing</t>
  </si>
  <si>
    <t>Human Migration; Human Sex Differences; Sexuality; Sociocultural Factors; Theories; Acculturation</t>
  </si>
  <si>
    <t>Migration is a complex social phenomenon that involves the possession of a clear framework allowing for the appropriate calibration of interventions, while also trying to interpret future trends. The existential state of migration leads to the formation of multiple, diasporic identities, deterritorialized and recompiled at the individual level. The inclusion of immigrants is therefore the result of two-way processes in which the social representations that migrants construct of the population and of the host society (before and after their arrival), and the intangible resources that they experience are of paramount importance. Integration is 'an evolutionary process,' and integration policies need to be elaborated according to a logic that supports access to services, language learning, and the fight against discrimination. On this latter aspect, a strongly discriminating variable is gender and sexuality linked to it: theoretical and methodological challenges suggest the intersecting of a perspective that takes into account the interconnection of gender, sexuality, and migration. (PsycINFO Database Record (c) 2018 APA, all rights reserved)</t>
  </si>
  <si>
    <t>http://search.ebscohost.com.proxy-ub.rug.nl/login.aspx?direct=true&amp;db=psyh&amp;AN=2018-25968-001&amp;site=ehost-live&amp;scope=site</t>
  </si>
  <si>
    <t>Generational status and academic achievement among Latino high school students: Evaluating the segmented assimilation theory.</t>
  </si>
  <si>
    <t>Sociological Perspectives</t>
  </si>
  <si>
    <t>2009-08450-007</t>
  </si>
  <si>
    <t>University of California Press</t>
  </si>
  <si>
    <t>Academic Achievement; High School Students; Immigration; Generational Differences; Latinos/Latinas; Theories; Adolescence (13-17 yrs); Male; Female</t>
  </si>
  <si>
    <t>In this study, the author evaluates some of the key assertions of the segmented assimilation theory by examining the generational pattern of achievement among Latino high school students. Segmented assimilation theory posits that the outcomes of immigrants will not necessarily improve monotonically across generations, especially in disadvantaged contexts, and that maintaining familial and ethnic ties can have a protective effect on immigrant students. The author tests these ideas by examining variation in the generational pattern of achievement in low-income schools among Latino high school students. The author finds that changes in achievement across generations generally follow a pattern of classical assimilation with small, though not statistically significant, improvements in achievement from the first to the second generation and from the second to the third generation in both poor and nonpoor schools. Contrary to hypotheses derived from segmented assimilation theory, the author finds no evidence of 'downward assimilation' across generations among Latinos attending low-income schools. (PsycINFO Database Record (c) 2016 APA, all rights reserved)</t>
  </si>
  <si>
    <t>http://search.ebscohost.com.proxy-ub.rug.nl/login.aspx?direct=true&amp;db=psyh&amp;AN=2009-08450-007&amp;site=ehost-live&amp;scope=site</t>
  </si>
  <si>
    <t>Host culture adoption or intercultural contact? Comparing different acculturation conceptualizations and their effects on host members’ attitudes towards immigrants.</t>
  </si>
  <si>
    <t>2012-08961-001</t>
  </si>
  <si>
    <t>Acculturation; Concept Formation; Cross Cultural Communication; Ethnic Identity; Immigration; Cross Cultural Differences; Adulthood (18 yrs &amp; older); Male; Female</t>
  </si>
  <si>
    <t>The effects of the two dimensions underlying immigrants’ perceived acculturation strategies conceptualized respectively as Intercultural Contact or as host Culture Adoption were examined. Host members’ attitudes and perceptions of immigrants’ adjustment to the host society were assessed in two experimental studies (N =251; N =124). Participants were presented with a fictitious interview with an African immigrant whose generational Status, desire for Culture Maintenance and Intercultural Contact (Study 1) or host Culture Adoption (Study 2) were manipulated (2 × 2 × 2 design). Results showed that both perceived desire for contact and for culture adoption positively affected host members’ attitudes, and that the culture adoption–attitudes relationship was partially mediated by perceived threat. These effects were stronger than those attributable to perceived Culture Maintenance. The latter variable moderated the Desire for Contact but not the Desire for Culture Adoption main effect. Moreover, Contact and Culture Adoption and generational Status all influenced the way in which host members perceived immigrants’ sociocultural adjustment. We conclude that more similarities than differences exist between the Contact and the Culture Adoption frameworks, at least in terms of their effects on majority attitudes towards immigrants. (PsycINFO Database Record (c) 2016 APA, all rights reserved)</t>
  </si>
  <si>
    <t>http://search.ebscohost.com.proxy-ub.rug.nl/login.aspx?direct=true&amp;db=psyh&amp;AN=2012-08961-001&amp;site=ehost-live&amp;scope=site</t>
  </si>
  <si>
    <t>How Latinos are transforming the United States: Research, theory, and policy.</t>
  </si>
  <si>
    <t>Casas, Juan F.; Ryan, Carey S.</t>
  </si>
  <si>
    <t>2010-04896-001</t>
  </si>
  <si>
    <t>10.1111/j.1540-4560.2009.01629.x</t>
  </si>
  <si>
    <t>Immigration; Latinos/Latinas; Acculturation; Education; Ethnic Identity; Interpersonal Interaction; Policy Making</t>
  </si>
  <si>
    <t>The United States is entering a new era, a period marked by some important demographic changes in the composition of the population, most especially significant increases in the Latino and Latino immigrant segments of society. These population shifts require corresponding interpersonal, organizational, and structural changes. The present issue bridges research and theory across disciplines and includes studies incorporating a variety of methodologies to examine these important areas. These articles begin to fill some of the voids where a systematic and robust corpus of knowledge is lacking. The contributions address topics ranging from issues of identity and interpersonal relations to pressing matters of educational significance to general approaches to navigating the cultural transitions that mark fluid transnational adaptations. Finally, each contribution delineates the policy implications resulting from the processes and literatures that are examined. (PsycINFO Database Record (c) 2016 APA, all rights reserved)</t>
  </si>
  <si>
    <t>http://search.ebscohost.com.proxy-ub.rug.nl/login.aspx?direct=true&amp;db=psyh&amp;AN=2010-04896-001&amp;site=ehost-live&amp;scope=site</t>
  </si>
  <si>
    <t>Identity wounds: Multiple identities and intersectional theory in the context of multiculturalism.</t>
  </si>
  <si>
    <t>Krumer-Nevo, Michal; Malka, Menny</t>
  </si>
  <si>
    <t>Navigating multiple identities: Race, Gender, culture, nationality, and roles.</t>
  </si>
  <si>
    <t>2012-08918-011</t>
  </si>
  <si>
    <t>10.1093/acprof:oso/9780199732074.003.0011</t>
  </si>
  <si>
    <t>Ethnic Identity; Immigration; Masculinity; Social Identity; Marginalization; Acculturation; Identity Formation; Racial and Ethnic Groups; Multiculturalism; Adolescence (13-17 yrs); Male</t>
  </si>
  <si>
    <t>This chapter examines how boys who immigrated from the Caucasus to Israel use their (hyper) masculinity to heal 'identity wounds' conferred by the low status of their ethnic group in the host culture. The authors detail the ways in which the larger social context creates marginality and how this is managed through compensatory efforts to achieve 'respect' within their own ethnic community, through very specific expectations of masculinity. (PsycInfo Database Record (c) 2020 APA, all rights reserved)</t>
  </si>
  <si>
    <t>http://search.ebscohost.com.proxy-ub.rug.nl/login.aspx?direct=true&amp;db=psyh&amp;AN=2012-08918-011&amp;site=ehost-live&amp;scope=site</t>
  </si>
  <si>
    <t>Immigrant family processes: A multidimensional framework.</t>
  </si>
  <si>
    <t>Falicov, Celia Jaes</t>
  </si>
  <si>
    <t>Normal family processes: Growing diversity and complexity., 4th ed.</t>
  </si>
  <si>
    <t>2012-02536-013</t>
  </si>
  <si>
    <t>The Guilford Press</t>
  </si>
  <si>
    <t>Family Relations; Immigration; Acculturation; Bereavement; Cross Cultural Differences; Family Systems Theory; Grief; Human Migration; Life Changes; Racism; Resilience (Psychological); Male; Female</t>
  </si>
  <si>
    <t>The experience of migration is in constant flux. Today's migration contexts differ significantly from those of the past. Moving within a globalized world impacts processes of risk and resilience in families. The changes imposed by migration on family processes deserve our careful study to inform better delivery of social, medical, and educational services attuned to the special needs of immigrants. Concepts from family systems theory and family therapy, supplemented with concepts from studies on migration, can be used to deepen our understanding of the family transformations brought about by migration. This chapter expands on the author's earlier writings about the dilemmas of personal, family, and social transformation faced by immigrants and their capacity to find 'both/and' solutions rather than forcing 'either/or' choices regarding cultural change (Falicov, 1998a, 2002). The chapter discusses the multidimensional, ecosystemic, comparative approach model (MECA) for understanding the experiences of migration and acculturation, the changed ecological context, and issues related to the family life cycle and family organization. It also explores variations in the experience of migration and acculturation; the loss, grief, and mourning that are characteristic of the migration experience; the impact of racism and anti-immigrant reception; and, how to successfully integrate the dual visions of continuity and change. Finally, the author discusses the emergence of resilient immigrant practices that she labels 'spontaneous rituals,' because they encapsulate in ritualized ways various family, social, and cultural restitutive attempts following migration. In addition, the author addresses situations in which migration risks test families' capacity for blending continuity and change, and may result in clinical symptoms. (PsycInfo Database Record (c) 2020 APA, all rights reserved)</t>
  </si>
  <si>
    <t>http://search.ebscohost.com.proxy-ub.rug.nl/login.aspx?direct=true&amp;db=psyh&amp;AN=2012-02536-013&amp;site=ehost-live&amp;scope=site</t>
  </si>
  <si>
    <t>Immigrants' political suitcases: A theory of imported socialization.</t>
  </si>
  <si>
    <t>Wals Aparicio, Sergio Carlos</t>
  </si>
  <si>
    <t>5-A</t>
  </si>
  <si>
    <t>2010-99210-127</t>
  </si>
  <si>
    <t>Immigration; Politics; Socialization; Theories</t>
  </si>
  <si>
    <t>People’s experiences throughout their lives influence their later thoughts and actions, including thoughts and actions about politics. This straightforward logic motivates attention to childhood political socialization, habitual voting, and a host of other phenomena. Yet, when it comes to studies concerning the political behaviors of immigrants to the United States, the scholarly norm has been to assume that these individuals entered the nation as political blank slates; that is, we ignore the possible influence of experiences in immigrants’ nations of origin. By contrast, this study develops and tests a theory of imported socialization in an effort to understand how immigrants’ political socialization experiences before they left their countries of origin shape the way they view the new polity after migration; the extent to which this imported socialization affects their degree of post-migration political engagement; and finally for how long the content of immigrants’ political suitcases remains consequential during their civic lives in their new home. Specific questions examined include the extent to which immigrants’ political baggage affects the intensity and the directionality of that post-migration political engagement. My findings suggest that political suitcases indeed play a key role on the political acculturation of the newcomers. (PsycINFO Database Record (c) 2016 APA, all rights reserved)</t>
  </si>
  <si>
    <t>http://search.ebscohost.com.proxy-ub.rug.nl/login.aspx?direct=true&amp;db=psyh&amp;AN=2010-99210-127&amp;site=ehost-live&amp;scope=site</t>
  </si>
  <si>
    <t>Immigration and families: Treating acculturative stress from a systemic framework.</t>
  </si>
  <si>
    <t>Beckerman, Nancy L.; Corbett, Lynn</t>
  </si>
  <si>
    <t>Family Therapy</t>
  </si>
  <si>
    <t>2008-16380-001</t>
  </si>
  <si>
    <t>Libra Publishers</t>
  </si>
  <si>
    <t>Acculturation; Family Therapy; Immigration; Mental Health Services; Stress; Family; Intervention; Psychology</t>
  </si>
  <si>
    <t>This article presents the most current research and literature on the psychological sequalae experienced by many recent immigrants, and employs the use of a case study (and analysis) to provide a guide for assessment and intervention from a structuralist framework. The recently immigrated family is a growing population seeking mental health intervention from family therapists and this article equips these therapists with a better understanding of the key dynamics such as acculturative stress, acculturative dissonance, and immigration trauma, followed by recommendations for systemic assessment and intervention with these vulnerable families. (PsycINFO Database Record (c) 2016 APA, all rights reserved)</t>
  </si>
  <si>
    <t>http://search.ebscohost.com.proxy-ub.rug.nl/login.aspx?direct=true&amp;db=psyh&amp;AN=2008-16380-001&amp;site=ehost-live&amp;scope=site</t>
  </si>
  <si>
    <t>Immigration and the arts: A theoretical inquiry.</t>
  </si>
  <si>
    <t>DiMaggio, Paul; Fernández-Kelly, Patricia</t>
  </si>
  <si>
    <t>Ethnic and Racial Studies</t>
  </si>
  <si>
    <t>2015-18675-004</t>
  </si>
  <si>
    <t>Editorial</t>
  </si>
  <si>
    <t>Acculturation; Art; Creativity; Immigration; Cross Cultural Differences; Entrepreneurship</t>
  </si>
  <si>
    <t>This paper proposes a systematic approach to the study of immigration and art by considering relevant theoretical concepts. We focus on the role of institutions and economic change as forces shaping the expressive alternatives of immigrants and their children. (PsycINFO Database Record (c) 2016 APA, all rights reserved)</t>
  </si>
  <si>
    <t>http://search.ebscohost.com.proxy-ub.rug.nl/login.aspx?direct=true&amp;db=psyh&amp;AN=2015-18675-004&amp;site=ehost-live&amp;scope=site</t>
  </si>
  <si>
    <t>Incorporating immigrants: Integrating theoretical frameworks of adaptation.</t>
  </si>
  <si>
    <t>The Journals of Gerontology: Series B: Psychological Sciences and Social Sciences</t>
  </si>
  <si>
    <t>2015-10062-010</t>
  </si>
  <si>
    <t>Aging; Immigration; Adaptation; Age Differences; Theories; Adulthood (18 yrs &amp; older); Aged (65 yrs &amp; older)</t>
  </si>
  <si>
    <t>Objectives: To encourage research on immigrants and aging by analyzing theoretical commonalities in the two fields and identifying potential contributions of aging theories, specifically to the understanding of neglected age differences in the pace of immigrant incorporation. Methods: Survey of the historical development of assimilation theory and its successors and systematic comparison of key concepts in aging and immigrant incorporation theories. Results: Studies of immigrants, as well as of the life course, trace their origins to the Chicago School at the turn of the 20th century. Today, both theoretical perspectives emphasize adaptation as a time-dependent, multidimensional, nonlinear, and multidirectional process. Immigrant incorporation theories have not fully engaged with a key concern of aging theory—why there are age differences. Insights from cognitive aging and developmental biology, life-span developmental psychology, and age stratification and the life course suggest explanations for age differences in the speed of immigrant incorporation. Discussion: Theories of adaptation to aging and theories of immigrant incorporation developed so independently that they neglected the subject they have in common, namely, older immigrants. Because they address similar conceptual problems and share key assumptions, a productive dialogue between two vibrant fields is long overdue. (PsycINFO Database Record (c) 2016 APA, all rights reserved)</t>
  </si>
  <si>
    <t>http://search.ebscohost.com.proxy-ub.rug.nl/login.aspx?direct=true&amp;db=psyh&amp;AN=2015-10062-010&amp;site=ehost-live&amp;scope=site</t>
  </si>
  <si>
    <t>Inflective and reflective whiteness in the sociology of race and ethnicity: A comment on an integrative framework for the field.</t>
  </si>
  <si>
    <t>Byrd, W. Carson</t>
  </si>
  <si>
    <t>2017-36065-008</t>
  </si>
  <si>
    <t>10.1080/01419870.2017.1344261</t>
  </si>
  <si>
    <t>Ethnic Identity; Immigration; Racial and Ethnic Groups; Racial and Ethnic Relations; Racism; Acculturation; Minority Groups</t>
  </si>
  <si>
    <t>Comments on the paper by Z. Valdez and T. Golash-Boza (see record [rid]2017-36065-005[/rid]), which examined racial and ethnic relations in the twenty-first century in the U.S. Zulema Valdez and Tanya Golash-Boza offer an integrative framework for the sociology of race and ethnicity to bridge a divide undergirding different, yet related perspectives in the field. Their work provides an initial roadmap for linking the cultural perspectives often taken in the study of ethnicity to the structural perspectives utilized in the study of race. The authors put these perspectives in dialogue with one another to elucidate the strength of integrating commonly used approaches in each area, while avoiding the pitfalls of relying only on one paradigm. Behind much of sociology’s theoretical developments to understand racial and ethnic groups’ experiences in US society, and in relation to global discussions of race and ethnicity as well, are influences of identity and ideological processes inflected and reflected by whiteness. This comment reflects on how these processes can shape future conversations considering the intertwined cultural and structural processes framing group experiences and life chances. (PsycINFO Database Record (c) 2017 APA, all rights reserved)</t>
  </si>
  <si>
    <t>http://search.ebscohost.com.proxy-ub.rug.nl/login.aspx?direct=true&amp;db=psyh&amp;AN=2017-36065-008&amp;site=ehost-live&amp;scope=site</t>
  </si>
  <si>
    <t>Injection risk norms and practices among migrant Puerto Rican people who inject drugs in New York City: The limits of acculturation theory.</t>
  </si>
  <si>
    <t>Gelpí-Acosta, C.; Guarino, H.; Benoit, E.; Deren, S.; Pouget, E. R.; Rodríguez, A.</t>
  </si>
  <si>
    <t>International Journal of Drug Policy</t>
  </si>
  <si>
    <t>2019-34822-011</t>
  </si>
  <si>
    <t>Drug Overdoses; Human Migration; Injections; Adulthood (18 yrs &amp; older); Young Adulthood (18-29 yrs); Thirties (30-39 yrs); Middle Age (40-64 yrs); Male; Female</t>
  </si>
  <si>
    <t>Background: Among people who inject drugs (PWID) in New York City (NYC), racial minorities are disproportionately infected with HIV and hepatitis C (HCV). Prior research has shown that PWID who started injecting drugs in Puerto Rico (P.R.) tend to maintain the risky injection behaviors learned there. This study identifies the P.R.-native norms supporting the continued injection risk behavior of migrant Puerto Rican PWID in NYC to inform a culturally appropriate risk-reduction intervention. Methods: 40 migrant Puerto Rican PWID were recruited in NYC for a longitudinal qualitative study. The sample was stratified to include 20 migrants with &lt;3 years in NYC and 20 migrants with &gt;3-6 years in NYC. Time-location sampling was used to curb possible network bias in recruitment. Over 12 months, migrants completed semi-structured interviews at baseline, monthly follow-ups, and study exit. Analyses were guided by grounded theory. Results: Most participants (90%) reported having had chronic HCV, and 22.5% reported being HIV-positive. Syringe- and cooker-/cotton-sharing were widespread in both P.R. and NYC. The ubiquitous practice of cleaning used syringes by 'water-rinsing and air-blowing' was guided by a normative belief, learned in P.R., that 'water and air kill HIV.' Sterile syringe use was not a priority. HCV was not a concern. P.R.-native abstinence-only narratives discouraged opioid agonist treatment (OAT) enrollment among recent migrants (≤3 years). Experiences with drug dealers, prison-power groups, and injection doctors ('Gancheros') in P.R. influenced migrants’ injection risk behavior in NYC. Those who were Gancheros in P.R. continued working as Gancheros in NYC. Conclusions: Injection risks make migrant Puerto Rican PWID in NYC vulnerable to HIV/HCV. Harm reduction programs should pay closer attention to the rationales behind these injection risks. A risk-reduction intervention that incorporates the Ganchero figure may be a credible way to help migrants reduce injection risk and accept OAT and syringe exchange programs (SEP). (PsycInfo Database Record (c) 2020 APA, all rights reserved)</t>
  </si>
  <si>
    <t>http://search.ebscohost.com.proxy-ub.rug.nl/login.aspx?direct=true&amp;db=psyh&amp;AN=2019-34822-011&amp;site=ehost-live&amp;scope=site</t>
  </si>
  <si>
    <t>Integrated threat theory and acceptance of immigrant assimilation: An analysis of Muslim immigration in Western Europe.</t>
  </si>
  <si>
    <t>2013-03472-003</t>
  </si>
  <si>
    <t>Cross Cultural Differences; Immigration; Muslims; Threat; Adulthood (18 yrs &amp; older); Young Adulthood (18-29 yrs); Thirties (30-39 yrs); Middle Age (40-64 yrs); Male; Female</t>
  </si>
  <si>
    <t>This study explores whether a threat from an immigrant group is related to members of a dominant culture believing immigrants do not want to assimilate. As Muslim immigration to Europe has rapidly increased in the past 20 years, Muslim immigrants were used as the example of immigrants during data collection. Data were collected in France (n = 162), Germany (n = 111), and the United Kingdom (n = 159). Threat was measured using a collection of instruments based off work in Integrated Threat Theory. Results reveal that when members of the host culture feel threatened they are more likely to believe immigrants (in this case Muslims) do not want to assimilate. There were also significant differences between the three nations in the perception of whether Muslims wanted to assimilate or not. (PsycINFO Database Record (c) 2017 APA, all rights reserved)</t>
  </si>
  <si>
    <t>http://search.ebscohost.com.proxy-ub.rug.nl/login.aspx?direct=true&amp;db=psyh&amp;AN=2013-03472-003&amp;site=ehost-live&amp;scope=site</t>
  </si>
  <si>
    <t>Integrating social epidemiology into immigrant health research: A cross-national framework.</t>
  </si>
  <si>
    <t>2012-31229-002</t>
  </si>
  <si>
    <t>Epidemiology; Immigration; Sociocultural Factors; Sociology</t>
  </si>
  <si>
    <t>Scholarship on immigrant health has steadily increased over the past two decades. This line of inquiry is often approached as a 'specialty' topic involving a discrete de-contextualized population, rather than a topic that is central for understanding patterns of population health within and between sending and receiving countries. Frequently immigrant health research employs theoretical frameworks (e.g., acculturation) that emphasize cultural explanations, while less commonly utilized is the 'social determinants of health' framework, which emphasizes social and structural explanations. Drawing upon literature in the fields of economics, sociology of immigration, and social epidemiology, we present a conceptual framework for understanding immigrant health from a cross-national perspective. We discuss the theoretical foundations of this framework; the methodological challenges for undertaking research on immigration and health using this framework; examples of emerging research in this area; and directions for future research. Progress in immigrant health research and population health improvements can be achieved through an enhanced understanding of population health patterns in sending and receiving societies. Immigrant health research needs to be better integrated into social epidemiology. Concurrently, immigrant health research offers conceptual, empirical, and analytic opportunities to advance social epidemiological research. Together, scholarship in immigrant health and social epidemiology can make significant contributions toward one of their mutual and ultimate goals: to improve knowledge about population health. (PsycINFO Database Record (c) 2016 APA, all rights reserved)</t>
  </si>
  <si>
    <t>http://search.ebscohost.com.proxy-ub.rug.nl/login.aspx?direct=true&amp;db=psyh&amp;AN=2012-31229-002&amp;site=ehost-live&amp;scope=site</t>
  </si>
  <si>
    <t>Integrating systems theory and attachment theory: The use of radio communication to modify attachments in a patient with psychogenic vomiting.</t>
  </si>
  <si>
    <t>Dickman, David; Prieto, Pablo</t>
  </si>
  <si>
    <t>The Canadian Journal of Psychiatry / La Revue canadienne de psychiatrie</t>
  </si>
  <si>
    <t>1988-36512-001</t>
  </si>
  <si>
    <t>Canadian Psychiatric Assn</t>
  </si>
  <si>
    <t>Family Therapy; Mother Child Communication; Radio; Somatoform Disorders; Vomiting; Case Report; Childhood (birth-12 yrs); Preschool Age (2-5 yrs); Adulthood (18 yrs &amp; older)</t>
  </si>
  <si>
    <t>Describes the case of a 5-yr-old son of East Indian immigrants who presented with persistent psychogenic vomiting associated with pathological family attachments. The therapeutic team suggested to the family that their problems might be more satisfactorily resolved if the mother and child maintained their link by 2-way radio. Three weeks later the vomiting had ceased, the child no longer felt that he needed the radio, and both parents had established new patterns of relating to their child, whose attendance and peer socialization at school showed marked improvement. (French abstract) (PsycINFO Database Record (c) 2016 APA, all rights reserved)</t>
  </si>
  <si>
    <t>http://search.ebscohost.com.proxy-ub.rug.nl/login.aspx?direct=true&amp;db=psyh&amp;AN=1988-36512-001&amp;site=ehost-live&amp;scope=site</t>
  </si>
  <si>
    <t>Integrating theory and practice: A racial-cultural counseling model.</t>
  </si>
  <si>
    <t>Alvarez, Alvin N.; Piper, Ralph E.</t>
  </si>
  <si>
    <t>Handbook of racial-cultural psychology and counseling, Vol 2: Training and practice.</t>
  </si>
  <si>
    <t>2008-08154-014</t>
  </si>
  <si>
    <t>John Wiley &amp; Sons, Inc.</t>
  </si>
  <si>
    <t>Clinical Practice; Cross Cultural Counseling; Cultural Sensitivity; Models; Theories; Counselor Education</t>
  </si>
  <si>
    <t>A graduate student learns in her cross-cultural counseling course that racial identity theory involves an individual's intrapsychic reactions to racism (Helms &amp; Cook, 1999). Prior to beginning his work at a local school district, a consultant reads that collectivism, spirituality, and interdependence are salient values of the majority culture in this particular district. A practitioner attends a conference seminar that highlights the role of acculturation theory (Kohatsu, this Handbook, Volume One; Padilla, 1980) in working with immigrant communities. Although each scenario is seemingly different, a common question binds each of these individuals. That is, how does one bridge the gap between racial-cultural counseling theory (RCT) and racial-cultural practice? At an abstract level, racial-cultural information and theories of racial-cultural counseling per se may be relatively straightforward to comprehend conceptually. Nevertheless, both practitioners and practitioners in training continue to struggle with questions of how theories of racial-cultural counseling (e.g., racial identity, acculturation), as well as their understanding of the values, beliefs, and history of a given community, can facilitate their ability to deliver culturally competent services. While the need to link RCT to practice is intuitively understandable, the framework for doing so remains surprisingly absent in the literature. Indeed, given the attention that has been devoted to developing standards of cross-cultural competence (American Psychological Association, 2003; Ponterotto &amp; Austin, this Handbook, this volume; D. Sue, Arredondo, &amp; McDavis, 1992; D. Sue &amp; Torino, this Handbook, this volume), as well as developing training models (Pedersen, 1977b; A. Reynolds, 1997), training exercises (Katz, 1978; Singelis, 1998), curriculum designs (Adams, Bell, &amp; Griffin, 1997; Carter, this Handbook, this volume; A. Reynolds, 1995), and so forth, the absence of a framework for linking RCT to practice is particularly striking. The absence of a framework seems to be due in large part to the fact that, in general, race and culture have not been included as factors in theories of counseling. Instead, they are often presented as an addendum to the psychological canon, rather than as an integral part of it. Nevertheless, in a profession that has actively strived to promote cross-cultural competence as a requisite professional foundation (D. Sue et al., 1992), logic suggests that a framework is needed to assist practitioners in utilizing the racial-cultural counseling literature to inform and enhance the cultural responsiveness of their services. To this end, the central goal of the current chapter is to examine the role of RCT in facilitating the delivery of culturally sensitive services. Specifically, the current chapter focuses on the practical interrelationships between RCT and clinical practice. Although we recognize that helping relationships may include various forms of service, for example, advocacy and consultation, we have chosen to focus the current chapter on exploring the counseling relationship for the sake of depth rather than breadth (see Vera, Buhin, Montgomery, &amp; Shin, this Handbook, this volume). Moreover, to provide practical examples of translating theory into practice, Helms's theory of racial identity (1990, 2001) is used for illustrative purposes throughout this chapter. Consequently, we begin with a brief overview of Helms's (2001) theory of racial identity. Next, we address the philosophical assumptions underlying RCT and the relationship between philosophy and practice. Last, we present a model that delineates the role of RCT in informing various aspects of counseling. (PsycInfo Database Record (c) 2020 APA, all rights reserved)</t>
  </si>
  <si>
    <t>http://search.ebscohost.com.proxy-ub.rug.nl/login.aspx?direct=true&amp;db=psyh&amp;AN=2008-08154-014&amp;site=ehost-live&amp;scope=site</t>
  </si>
  <si>
    <t>Integrative aging in widowed immigrant Filipinas: A grounded theory study.</t>
  </si>
  <si>
    <t>Valencia-Go, Geraldine N.</t>
  </si>
  <si>
    <t>Dissertation Abstracts International</t>
  </si>
  <si>
    <t>1990-55132-001</t>
  </si>
  <si>
    <t>Acculturation; Asians; Immigration; Physiological Aging; Widows; Adulthood (18 yrs &amp; older); Female</t>
  </si>
  <si>
    <t>http://search.ebscohost.com.proxy-ub.rug.nl/login.aspx?direct=true&amp;db=psyh&amp;AN=1990-55132-001&amp;site=ehost-live&amp;scope=site</t>
  </si>
  <si>
    <t>International migration of professional social workers: Toward a theoretical framework for understanding professional adaptation processes.</t>
  </si>
  <si>
    <t>Sansfaçon, Annie Pullen; Brown, Marion; Graham, John R.</t>
  </si>
  <si>
    <t>Social Development Issues: Alternative Approaches to Global Human Needs</t>
  </si>
  <si>
    <t>2012-22024-003</t>
  </si>
  <si>
    <t>Lyceum Books</t>
  </si>
  <si>
    <t>Acculturation; Adaptation; Human Migration; Professional Identity; Social Workers</t>
  </si>
  <si>
    <t>Despite its growing significance within and between countries, little is known about the international migration of social work professionals. This paper reviews the migration and acculturation literature for social work and related professions. It then discusses how symbolic interaction and conceptualizations of professional identity development can be used as a theoretical framework to understand experiences and professional adaptations of social workers who migrate to another country. The paper concludes with discussion about directions for future research. (PsycINFO Database Record (c) 2017 APA, all rights reserved)</t>
  </si>
  <si>
    <t>http://search.ebscohost.com.proxy-ub.rug.nl/login.aspx?direct=true&amp;db=psyh&amp;AN=2012-22024-003&amp;site=ehost-live&amp;scope=site</t>
  </si>
  <si>
    <t>International migrations: A framework for directing research.</t>
  </si>
  <si>
    <t>Rogler, Lloyd H.</t>
  </si>
  <si>
    <t>American Psychologist</t>
  </si>
  <si>
    <t>1994-44833-001</t>
  </si>
  <si>
    <t>10.1037/0003-066X.49.8.701</t>
  </si>
  <si>
    <t>Human Migration; Sociocultural Factors</t>
  </si>
  <si>
    <t>Current, large-scale, cross-cultural migrations offer promising research targets for the study of human adaptations. The opportunities for such research, however, remain substantially unused in the mainstream of psychology. The purpose here is to provide a framework encompassing components of the migration experience to aid such research. Contextual factors in the sending and receiving societies impinge on the components of the migration experience: social networks, SES, and culture. The components, treated as intertwining transitional experiences in migration, should be juxtaposed in research to examine their effects. Gender and age mediate the effects. The framework aims to benefit research that implicates, directly or heuristically, the experiences of persons exposed to rapid sociocultural change and the consequences of such changes in their lives. (PsycINFO Database Record (c) 2016 APA, all rights reserved)</t>
  </si>
  <si>
    <t>http://search.ebscohost.com.proxy-ub.rug.nl/login.aspx?direct=true&amp;db=psyh&amp;AN=1994-44833-001&amp;site=ehost-live&amp;scope=site</t>
  </si>
  <si>
    <t>Introduction: Goals and Research Framework for Studying Immigrant Youth.</t>
  </si>
  <si>
    <t>Berry, John W.; Phinney, Jean S.; Kwak, Kyunghwa; Sam, David L.</t>
  </si>
  <si>
    <t>Immigrant youth in cultural transition: Acculturation, identity, and adaptation across national contexts.</t>
  </si>
  <si>
    <t>2006-05033-001</t>
  </si>
  <si>
    <t>10.4324/9780415963619-1</t>
  </si>
  <si>
    <t>Adjustment; Cross Cultural Differences; Ethnography; Immigration; Sociocultural Factors; Countries; Adolescence (13-17 yrs); Adulthood (18 yrs &amp; older); Young Adulthood (18-29 yrs); Male; Female</t>
  </si>
  <si>
    <t>Over the past 9 years, a group of psychologists from 13 countries has developed and carried out the International Comparative Study of Ethnocultural Youth (the ICSEY project). This project began as a sequel to studies then being carried out in Canada, Norway, and the United States. It expanded to include a wide range of countries, all of which are experiencing immigration to varying extents. It has involved research with more than 5,000 immigrant youth from 32 ethnocultural groups and smaller samples of their parents and their national peers (i.e., those native to the society of settlement). The study seeks to answer 3 questions. (1) How do immigrant youth live within and between two cultures? These cultures are usually those of their immigrant parents, families, and communities (their heritage culture) on the one hand, and those of their peers and the larger society on the other. We refer to this as the intercultural question. (2) How well (in personal, social, and academic areas of their lives) do immigrant youth deal with their intercultural situation? We refer to this as the adaptation question. (3) We expect that there will be variations (across individuals, ethnocultural groups, and societies of settlement) in the answers to these first two questions. Therefore, the third goal is to discover the patterns of relationships between how adolescents engage in their intercultural relations and how well they adapt. We believe that there are many possible patterns in these relationships, with variations that depend on three set of factors: (a) personal and demographic factors (including age, gender, and length of residence), (b) factors that are external to individuals and their communities (such as the cultural diversity of the society of settlement and their policies with respect to such diversity), and (c) differences between the immigrant groups and the larger society (such as differences in values, and religion). We refer to this as the cross-cultural question. See record [rid]2006-05033-000[/rid] for details of the ICSEY project. (PsycInfo Database Record (c) 2020 APA, all rights reserved)</t>
  </si>
  <si>
    <t>http://search.ebscohost.com.proxy-ub.rug.nl/login.aspx?direct=true&amp;db=psyh&amp;AN=2006-05033-001&amp;site=ehost-live&amp;scope=site</t>
  </si>
  <si>
    <t>Is assimilation theory dead? The effect of assimilation on adolescent well-being.</t>
  </si>
  <si>
    <t>Social Science Research</t>
  </si>
  <si>
    <t>2008-02408-008</t>
  </si>
  <si>
    <t>Academic Achievement; Acculturation; Adolescent Development; Immigration; Well Being; Asians; At Risk Populations; Theories; Latinos/Latinas; Childhood (birth-12 yrs); School Age (6-12 yrs); Adolescence (13-17 yrs); Male; Female</t>
  </si>
  <si>
    <t>The relationship between assimilation and the well-being of immigrant children has been the focus of debate in the recent sociological literature. Much of this work has questioned whether classical theories of immigrant adaptation, which assumed assimilation to be an integral part of the process of upward mobility for immigrants, are still applicable to today's immigrant children. This study reevaluates the applicability of classical assimilation theory with a comprehensive empirical assessment of the relationship between assimilation and the well-being of Hispanic and Asian immigrant adolescents. Using Add Health data, we examine the effect of different aspects of assimilation on educational achievement, psychological well-being, and at-risk behaviors. We find that the effect of assimilation varies greatly depending on the ethnic group and outcome under consideration, but that it is generally related to both greater academic achievement and more at-risk behavior. We conclude that assimilation theory is still relevant, but suggest an interpretation that emphasizes a process of decreasing differences between groups rather than either detrimental or beneficial effects of assimilation. (PsycINFO Database Record (c) 2017 APA, all rights reserved)</t>
  </si>
  <si>
    <t>http://search.ebscohost.com.proxy-ub.rug.nl/login.aspx?direct=true&amp;db=psyh&amp;AN=2008-02408-008&amp;site=ehost-live&amp;scope=site</t>
  </si>
  <si>
    <t>Issues in the Conceptualization and Assessment of Acculturation.</t>
  </si>
  <si>
    <t>Arends-Tóth, Judit; Vijver, Fons J. R. van de</t>
  </si>
  <si>
    <t>Acculturation and parent-child relationships: Measurement and development.</t>
  </si>
  <si>
    <t>2006-02515-003</t>
  </si>
  <si>
    <t>Acculturation; Concepts; Measurement</t>
  </si>
  <si>
    <t>The assessment of acculturation has not yet become an integral part of assessment procedures in multicultural groups despite its relevance for plural societies. A possible reason may be the absence of widely accepted conceptualizations and measurement methods. This chapter discusses conceptual and assessment issues in acculturation research in an attempt to integrate the growing literature in this field. The chapter is divided into four parts. The first part focuses on conceptual issues in acculturation research; it starts with the definition and the presentation of historical roots of acculturation and ends with a framework of acculturation variables. The second part addresses frequently observed sources of problems in the assessment of acculturation. The third part focuses on an application domain of acculturation assessment: the immigrant family. Conclusions are drawn in the final part. (PsycINFO Database Record (c) 2017 APA, all rights reserved)</t>
  </si>
  <si>
    <t>http://search.ebscohost.com.proxy-ub.rug.nl/login.aspx?direct=true&amp;db=psyh&amp;AN=2006-02515-003&amp;site=ehost-live&amp;scope=site</t>
  </si>
  <si>
    <t>Jamaican immigrant union formation patterns: A test of assimilation theories.</t>
  </si>
  <si>
    <t>Gooden, Natalee Alecia Marilyn</t>
  </si>
  <si>
    <t>10-A</t>
  </si>
  <si>
    <t>2012-99071-093</t>
  </si>
  <si>
    <t>Blacks; Immigration; Social Issues; Theories; Latinos/Latinas; Human Females; Adulthood (18 yrs &amp; older); Young Adulthood (18-29 yrs); Thirties (30-39 yrs); Middle Age (40-64 yrs); Female</t>
  </si>
  <si>
    <t>This study tested competing theories of assimilation by examining the patterns of union formation (i.e. marriage, cohabitation, single, ethnic / racial intermarriage and ethnic / racial inter-cohabitation) among non-Hispanic American whites, non-Hispanic African Americans and Jamaican women aged 18–44 years in the year 2000. The study also examined how union formation patterns differ across groups of Jamaican women (i.e. born and living in Jamaica, 1st generation Jamaican immigrants, 1.5 generation Jamaicans, 2nd generation, and beyond). It is important to study West Indian union formation patterns since the West Indian immigration rate has been increasing. The black West Indian population in the U.S. grew by about 67% between 1990 and 2000. The growth rate of the black West Indian population is greater than that of other established groups such as the Cubans and Koreans (Logan &amp; Deane, 2003). This study focused specifically on Jamaicans since the bulk of the West Indian migrants is from Jamaica (Peach, 1995). Moreover, they represent both the diversity of modes of incorporation in the U.S. and the range of occupational backgrounds and immigrant status among contemporary immigrants (from professionals and entrepreneurs to laborers, refugees and unauthorized migrants). I used the Reproductive Health Survey 2002 for the analysis of the Jamaican women in Jamaica and the Census 2000 (5% PUMS) for the analysis of non-Hispanic white American and non-Hispanic African women. I also used the National Survey of Family Growth 2002 (NSFG 2002) to assess data quality and for purposes of comparison. I found that Jamaican women’s union formation patterns followed the segmented assimilation model where marriage rates tended to decline across generation and cohabitation rates tended to increase across generation that resembled more the union formation patterns of non-Hispanic African American women. Also, I found that out partnership increased across generation where Jamaican women had much greater odds of out partnering with a non-Hispanic African American partner compared to partnering with a non-Hispanic white American partner. (PsycINFO Database Record (c) 2016 APA, all rights reserved)</t>
  </si>
  <si>
    <t>http://search.ebscohost.com.proxy-ub.rug.nl/login.aspx?direct=true&amp;db=psyh&amp;AN=2012-99071-093&amp;site=ehost-live&amp;scope=site</t>
  </si>
  <si>
    <t>Jamaican migration theory: Shift in family dynamics in Jamaican families that migrate from Jamaica to the United States.</t>
  </si>
  <si>
    <t>James, Richard Sr.</t>
  </si>
  <si>
    <t>2007-99002-195</t>
  </si>
  <si>
    <t>Acculturation; Family Relations; Immigration</t>
  </si>
  <si>
    <t>Migration is a significant experience in the life of families. However, the experience is not the same for every family. The study was conducted in South Florida where there are three major immigrant groups: Hispanics, Haitians and Jamaicans. Families from these groups seem to acculturate in different ways into the American culture and migration among them impacts parents, spouses and children differently. This study focuses on Jamaican families, and their acculturation process due to migration. Qualitative analysis of family experiences among Jamaican families who migrated from Jamaica to the United States at three specific time frames, 6 months, 2 to 4 years and 10 years provided information to create the Jamaican migration theory. Grounded theory techniques were used to study the interviews of participating Jamaican families that met the criteria above. The data obtained were thoroughly analyzed using microanalysis, a grounded theory technique. Microanalysis calls for a specific analysis of data; a process that entails listening very closely to what families say, and how they actually said it (Strauss &amp; Corbin, 1998). Analysis of the data is an intense process where the data are constantly reviewed and analyzed until distinct themes emerge. These themes become the foundation for theories that come into view after continued analysis. This study posits the Jamaican migration theory as represented by findings that indicated how Jamaican families acculturate into the American culture over time. (PsycINFO Database Record (c) 2016 APA, all rights reserved)</t>
  </si>
  <si>
    <t>http://search.ebscohost.com.proxy-ub.rug.nl/login.aspx?direct=true&amp;db=psyh&amp;AN=2007-99002-195&amp;site=ehost-live&amp;scope=site</t>
  </si>
  <si>
    <t>Language brokering in immigrant families: Theories and contexts.</t>
  </si>
  <si>
    <t>Weisskirch, Robert S.</t>
  </si>
  <si>
    <t>2017-21710-000</t>
  </si>
  <si>
    <t>10.4324/9781315644714</t>
  </si>
  <si>
    <t>Acculturation; Family; Foreign Language Translation; Immigration</t>
  </si>
  <si>
    <t>Language Brokering in immigrant Families: Theories and Contexts brings together an international group of researchers to share their findings on language brokering—when immigrant children translate for their parents and other adults. Given the large amount of immigration occurring worldwide, it is important to understand how language brokering may support children's and families' acculturation to new countries. The chapter authors include overviews of the existing literature, insights from multiple disciplines, the potential benefits and drawbacks to language brokering, and the contexts that may influence children, adolescents, and emerging adults who language broker. With the latest findings, the authors theorize on how language brokering may function and the outcomes for those who do so. (PsycINFO Database Record (c) 2019 APA, all rights reserved)</t>
  </si>
  <si>
    <t>http://search.ebscohost.com.proxy-ub.rug.nl/login.aspx?direct=true&amp;db=psyh&amp;AN=2017-21710-000&amp;site=ehost-live&amp;scope=site</t>
  </si>
  <si>
    <t>Liminality in cultural transition: Applying ID-EA to advance a concept into theory-based practice.</t>
  </si>
  <si>
    <t>Research and Theory for Nursing Practice: An International Journal</t>
  </si>
  <si>
    <t>2015-29048-003</t>
  </si>
  <si>
    <t>Springer Publishing</t>
  </si>
  <si>
    <t>Immigration; Intervention; Nursing; Refugees; Sociocultural Factors; Theories</t>
  </si>
  <si>
    <t>As global migration increases worldwide, nursing interventions are needed to address the effects of migration on health. The concept of liminality emerged as a pivotal concept in the situation-specific theory of well-being in refugee women experiencing cultural transition. As a relatively new concept in the discipline of nursing, liminality is explored using a method, called ID-EA, which we developed to advance a theoretical concept for application to nursing practice. Liminality in the context of cultural transition is further developed using the five steps of inquiry of the ID-EA method. The five steps are as follows: (1) inductive inquiry: qualitative research, (2) deductive inquiry: literature review, (3) synthesis of inductive and deductive inquiry, (4) evaluation inquiry, and (5) application-to-practice inquiry. The overall goal of this particular work was to develop situation-specific, theory-based interventions that facilitate cultural transitions for immigrants and refugees. (PsycINFO Database Record (c) 2016 APA, all rights reserved)</t>
  </si>
  <si>
    <t>http://search.ebscohost.com.proxy-ub.rug.nl/login.aspx?direct=true&amp;db=psyh&amp;AN=2015-29048-003&amp;site=ehost-live&amp;scope=site</t>
  </si>
  <si>
    <t>Living with the choice: A grounded theory of Iraqi refugee resettlement to the U.S.</t>
  </si>
  <si>
    <t>Davenport, Lisa A.</t>
  </si>
  <si>
    <t>Issues in Mental Health Nursing</t>
  </si>
  <si>
    <t>2017-15784-009</t>
  </si>
  <si>
    <t>10.1080/01612840.2017.1286531</t>
  </si>
  <si>
    <t>Adjustment; Arabs; Grounded Theory; Refugees; Acculturation; Health Care Delivery; Health Service Needs; Nursing Education; Theoretical Orientation; Adulthood (18 yrs &amp; older); Female</t>
  </si>
  <si>
    <t>Though the United States has become a place of increasing resettlement for refugees, particularly Iraqi refugees who have been forced to flee their homeland due to violence, persecution and civil unrest, little is known about Iraqi refugee resettlement in the United States, or the way in which resettlement impacts health and adjustment. A grounded theory study was conducted to develop a substantive theory of Iraqi refugee resettlement. Participants in the qualitative study included 29 Iraqi refugees and 2 community partners who participated in face-to face interviews. Data analysis and interpretation revealed fundamental concepts related to Iraqi refugee resettlement. Results of analysis showed that for Iraqis choosing to resettle here, the outcome is dichotomous: satisfaction or regret. The outcome is influenced by contextual factors as well as facilitating and hindering intervening conditions during the basic social process of resettlement transition. Each refugee's story is unique, yet all share common threads. This study allowed Iraqi refugees the opportunity to voice their personal experiences of resettling in America, and revealed life stories that inspire and illuminate a process that can guide health care delivery as they cope with the stresses of their journey. As a result, an in-depth storyline was established to explain the process of resettlement for Iraqi refugees. The development of this resettlement theory, grounded in Iraqi refugee experience, has the potential to guide nursing education, enhance the efficacy of practice, inform policy development and form the basis for research. (PsycINFO Database Record (c) 2017 APA, all rights reserved)</t>
  </si>
  <si>
    <t>http://search.ebscohost.com.proxy-ub.rug.nl/login.aspx?direct=true&amp;db=psyh&amp;AN=2017-15784-009&amp;site=ehost-live&amp;scope=site</t>
  </si>
  <si>
    <t>Migratie en cognitieve ontwikkeling: Een benadering aan de hand van 'Piagetiaans' cross-cultureel onderzoek.</t>
  </si>
  <si>
    <t>Pels, Trees</t>
  </si>
  <si>
    <t>Psycholoog</t>
  </si>
  <si>
    <t>1991-70255-001</t>
  </si>
  <si>
    <t>Van Gorcum</t>
  </si>
  <si>
    <t>Cognitive Development; Cross Cultural Differences; Immigration; Piaget (Jean); Theories</t>
  </si>
  <si>
    <t>Discusses the results of cross-cultural tests of Piaget's theory of cognitive development conducted among migrants in Holland. Findings on ecological-cultural relevance, cognitive ambiance, urbanization, acculturation, and schooling are considered. (English abstract) (PsycINFO Database Record (c) 2016 APA, all rights reserved)</t>
  </si>
  <si>
    <t>http://search.ebscohost.com.proxy-ub.rug.nl/login.aspx?direct=true&amp;db=psyh&amp;AN=1991-70255-001&amp;site=ehost-live&amp;scope=site</t>
  </si>
  <si>
    <t>Migration and cultural orientation: An empirical test of the psychoanalytic theory in Chinese Americans.</t>
  </si>
  <si>
    <t>Ying, Yu-Wen</t>
  </si>
  <si>
    <t>Journal of Applied Psychoanalytic Studies</t>
  </si>
  <si>
    <t>2001-09659-004</t>
  </si>
  <si>
    <t>10.1023/A:1012513306348</t>
  </si>
  <si>
    <t>John Wiley &amp; Sons</t>
  </si>
  <si>
    <t>Chinese Cultural Groups; Culture (Anthropological); Developmental Stages; Human Migration; Immigration; Acculturation; Age Differences; Object Relations; Psychoanalytic Theory; Childhood (birth-12 yrs); Adolescence (13-17 yrs); Adulthood (18 yrs &amp; older)</t>
  </si>
  <si>
    <t>The psychoanalytic literature suggests migration entails an intra-psychic challenge of separation-individuation that necessitates the assistance of internal and external objects. While this has been illustrated by anecdotal data and clinical case material, it has not been previously tested in the general migrant community. This study examined 3 Chinese-American groups (69 unaccompanied minors, mean age 13.87 yrs; 128 accompanied minors, mean age 8.66 yrs; and 33 unaccompanied adults, mean age 19.15 yrs) who varied in the availability of external objects and stability and solidity of internal object and self representations due to varying developmental stages at the time of migration, and assessed whether, as predicted by some psychoanalytic writers, they would have differential need to embrace their native culture to support their transition. Results showed that unaccompanied minors who migrated without their parents during adolescence evidenced a stronger Chinese cultural orientation than both accompanied minors who migrated with their parents during childhood and unaccompanied adults who migrated without their parents during adulthood, lending empirical support for the psychoanalytic postulation. Implications of the findings for further research and intervention are discussed. (PsycINFO Database Record (c) 2016 APA, all rights reserved)</t>
  </si>
  <si>
    <t>http://search.ebscohost.com.proxy-ub.rug.nl/login.aspx?direct=true&amp;db=psyh&amp;AN=2001-09659-004&amp;site=ehost-live&amp;scope=site</t>
  </si>
  <si>
    <t>Migration, medical care preferences and the lay referral system: A network theory of role assimilation.</t>
  </si>
  <si>
    <t>Pescosolido, Bernice A.</t>
  </si>
  <si>
    <t>American Sociological Review</t>
  </si>
  <si>
    <t>1987-35494-001</t>
  </si>
  <si>
    <t>American Sociological Assn</t>
  </si>
  <si>
    <t>Health Care Utilization; Human Migration; Social Support; Socialization; Roles; Urban Environments; Adulthood (18 yrs &amp; older)</t>
  </si>
  <si>
    <t>Documents a recurring pattern in adult socialization and proposes the mechanism that produces this regularity in role assimilation. Three broad stages (expectancy, disillusionment, and reconciliation) produce a curvilinear pattern over time in the adoption of ideal–typical role attitudes, beliefs, and values. The migration of individuals to and from urban areas and their medical care preferences provide a unique case for the illustration of 2 crucial, organizational elements of the socialization process: context and networks. Data from 618 Taiwanese from a survey by W. Grichting (1970) indicate that for both in- and out-migrants, preferences for Western as opposed to indigenous medical care paralleled proposed changes in initiate networks. Factors that might influence the duration of and fluctuation between socialization stages are discussed. (PsycINFO Database Record (c) 2016 APA, all rights reserved)</t>
  </si>
  <si>
    <t>http://search.ebscohost.com.proxy-ub.rug.nl/login.aspx?direct=true&amp;db=psyh&amp;AN=1987-35494-001&amp;site=ehost-live&amp;scope=site</t>
  </si>
  <si>
    <t>Moderated mediation regarding the sun-safe behaviors of U.S. Latinos: Advancing the theory and evidence for acculturation-focused research and interventions.</t>
  </si>
  <si>
    <t>Andreeva, Valentina A.; Yaroch, Amy L.; Unger, Jennifer B.; Cockburn, Myles G.; Rueda, Robert; Reynolds, Kim D.</t>
  </si>
  <si>
    <t>2010-18128-010</t>
  </si>
  <si>
    <t>10.1007/s10903-009-9302-3</t>
  </si>
  <si>
    <t>Acculturation; Health Attitudes; Health Insurance; Intervention; Latinos/Latinas; Experimentation; Mediation; Social Networks; Adulthood (18 yrs &amp; older); Male; Female</t>
  </si>
  <si>
    <t>Recent studies revealed a negative association between acculturation and sun-safe behaviors, possibly mediated by education level, health status, and social networks. We sought to elucidate this relationship by exploring the moderating effects of gender and health insurance on each mediated path. We used data from 496 Latino respondents to the 2005 Health Information National Trends Survey. Acculturation, assessed by a four-item index, was the primary predictor; use of sunscreen and protective clothing were the primary outcomes, assessed by frequency scales. Moderated mediation was tested with an established causal moderation method. The mediated association between acculturation, education level and sunscreen use might be stronger among women than men (P &lt; 0.08). We found no evidence of moderated mediation for use of protective clothing. The findings suggest ways of refining the theoretical and empirical rationale for sun safety research and interventions with Latinos. Studies should replicate these models with longitudinal data. (PsycINFO Database Record (c) 2016 APA, all rights reserved)</t>
  </si>
  <si>
    <t>http://search.ebscohost.com.proxy-ub.rug.nl/login.aspx?direct=true&amp;db=psyh&amp;AN=2010-18128-010&amp;site=ehost-live&amp;scope=site</t>
  </si>
  <si>
    <t>More than culture: Structural racism, intersectionality theory, and immigrant health.</t>
  </si>
  <si>
    <t>2012-31229-006</t>
  </si>
  <si>
    <t>Acculturation; Immigration; Racism; Health Disparities</t>
  </si>
  <si>
    <t>Explanations for immigrant health outcomes often invoke culture through the use of the concept of acculturation. The over reliance on cultural explanations for immigrant health outcomes has been the topic of growing debate, with the critics’ main concern being that such explanations obscure the impact of structural factors on immigrant health disparities. In this paper, we highlight the shortcomings of cultural explanations as currently employed in the health literature, and argue for a shift from individual culture-based frameworks, to perspectives that address how multiple dimensions of inequality intersect to impact health outcomes. Based on our review of the literature, we suggest specific lines of inquiry regarding immigrants’ experiences with day-to-day discrimination, as well as on the roles that place and immigration policies play in shaping immigrant health outcomes. The paper concludes with suggestions for integrating intersectionality theory in future research on immigrant health. (PsycINFO Database Record (c) 2016 APA, all rights reserved)</t>
  </si>
  <si>
    <t>http://search.ebscohost.com.proxy-ub.rug.nl/login.aspx?direct=true&amp;db=psyh&amp;AN=2012-31229-006&amp;site=ehost-live&amp;scope=site</t>
  </si>
  <si>
    <t>Negotiating cultural discrepancies in autonomy: A grounded theory of bicultural adjustment in college-age Asian Indian immigrant women.</t>
  </si>
  <si>
    <t>Daroowalla, Anahita Maneck</t>
  </si>
  <si>
    <t>3-B</t>
  </si>
  <si>
    <t>1999-95018-037</t>
  </si>
  <si>
    <t>Acculturation; Human Females; Immigration; Social Adjustment; Theory Formulation; Asians; Grounded Theory; South Asian Cultural Groups; Autonomy; Adulthood (18 yrs &amp; older); Young Adulthood (18-29 yrs); Female</t>
  </si>
  <si>
    <t>Most prior acculturation research has not been adequately grounded in the perspectives of acculturating individuals, has relied heavily on quantitative methods for measuring individuals' level of acculturation, and has not linked bicultural adjustment strategies to surrounding psychosocial and physical contexts. This qualitative study used grounded theory development to build a process-oriented and context-sensitive model of bicultural adjustment that was 'grounded' in the perspectives 14 college-age Asian Indian immigrant women living in the mid-Atlantic U.S. This qualitative methodology had the purpose of generating theory about how acculturating Indian women experience, think about, and cope with bicultural demands. Fourteen initial interviews and three follow-up interviews were conducted using a semi-structured and open-ended format. Interviews emphasized respondents' explanations while minimizing contamination from existing conceptual frameworks and observer-based assumptions. The emergent theoretical framework centered on the core category negotiating cultural discrepancies in autonomy, which was embedded within a rich network of linkages among contextual conditions, developmental demands, action strategies, and consequences. Respondents specified five central life domains or contexts (e.g., dating, marriage system, social activities, education and career development, and living independently) and numerous domain-specific rules. The immigrant women identified that decision-making autonomy and belief in individual vs. collective responsibility (please self vs. please others ) strongly influenced their choice of coping strategies. The framework also clarified numerous contextual influences comprised of people pulls, environmental pulls, developmental pulls, and gender role expectations. Additionally, the following process-mediating variables emerged as resources or obstacles across all respondents and life domains: effective vs. ineffective parent-child communication, parental familiarity vs. unfamiliarity with U.S. norms, and availability vs. lack of social support. Finally, the theoretical framework elucidated domain-specific bicultural negotiation strategies. Grounded theory methods clarified that the broad constructs of autonomy and negotiating intercultural discrepancies have divergent meanings both within life spheres and for different people. Current findings can inform preventive interventions that teach adaptive coping skills to young immigrants. (PsycINFO Database Record (c) 2016 APA, all rights reserved)</t>
  </si>
  <si>
    <t>http://search.ebscohost.com.proxy-ub.rug.nl/login.aspx?direct=true&amp;db=psyh&amp;AN=1999-95018-037&amp;site=ehost-live&amp;scope=site</t>
  </si>
  <si>
    <t>Negotiating identity development among undocumented immigrant college students: A grounded theory study.</t>
  </si>
  <si>
    <t>Journal of Counseling Psychology</t>
  </si>
  <si>
    <t>2013-05721-001</t>
  </si>
  <si>
    <t>Acculturation; Ethnic Identity; Identity Formation; Immigration; Cultural Identity; College Students; Educational Aspirations; Occupational Aspirations; Adulthood (18 yrs &amp; older); Young Adulthood (18-29 yrs); Male; Female</t>
  </si>
  <si>
    <t>This qualitative study explored the identity development process of 11 undocumented college students living in the United States, focusing on how undocumented college students negotiate the interplay of acculturation, ethnic identity, and educational and career pursuits. A semistructured interview protocol was used and data analysis was iterative, consistent with grounded theory methodology. Four major themes emerged from the data: (a) 'sewn with two threads' describes the salience of bicultural identity; (b) enhancement of positive attributes as a result of documentation struggles; (c) challenging reflections, addressing the ways in which documentation status challenges one's perception of oneself and the world; and (d) identity formation as an ongoing negotiation, capturing the long-term shifts in understanding of status implications and emotional response to this understanding. Findings are discussed in terms of their implications for educators, counseling psychologists, and career counselors. Suggestions regarding how mental health professionals can educate and empower undocumented immigrant youth are presented. (PsycInfo Database Record (c) 2020 APA, all rights reserved)</t>
  </si>
  <si>
    <t>http://search.ebscohost.com.proxy-ub.rug.nl/login.aspx?direct=true&amp;db=psyh&amp;AN=2013-05721-001&amp;site=ehost-live&amp;scope=site</t>
  </si>
  <si>
    <t>New insights into assimilation and integration theory: Introduction to the special issue.</t>
  </si>
  <si>
    <t>Schneider, Jens; Crul, Maurice</t>
  </si>
  <si>
    <t>2010-12961-001</t>
  </si>
  <si>
    <t>10.1080/01419871003777809</t>
  </si>
  <si>
    <t>Acculturation; Human Migration; Minority Groups; Social Integration; Racial and Ethnic Groups; Social Sciences</t>
  </si>
  <si>
    <t>In all Western countries which have been the destination for large-scale migration over the past decades, integration and assimilation issues are heavily debated. This has certainly helped making Migration Studies one of the fastest growing fields in the social sciences, but it also created a certain pressure to produce fast and 'digestible' results. To find about the actual 'state of knowledge' in integration/assimilation research is difficult, because of the increasing amount of studies on specific cases, groups or problems, but also because there is a lack of agreed-upon theoretical and methodological concepts and indicators. Segmented assimilation theory has also been quite influential here, and many scholars have tried to apply it to European contexts. More explicitly than 'assimilation', the term 'integration' includes structural aspects of incorporation into society, especially with regard to educational achievements and access to the labour market. As part of the tradition of the stronger welfare states in Western Europe, there are more actively designed policies targeting ethnic minority groups to overcome inequalities. The differences between 'assimilation' and 'integration' reflect different discourses and institutional arrangements responding to the challenge of rapidly changing demographic realities as much in the US as in Europe. (PsycINFO Database Record (c) 2016 APA, all rights reserved)</t>
  </si>
  <si>
    <t>http://search.ebscohost.com.proxy-ub.rug.nl/login.aspx?direct=true&amp;db=psyh&amp;AN=2010-12961-001&amp;site=ehost-live&amp;scope=site</t>
  </si>
  <si>
    <t>'Nowadays I think, 'Wow: I made it'': Exploring immigrant transitions drawing on dialogical self theory and the notion of symbolic resources.</t>
  </si>
  <si>
    <t>de Abreu, Guida; O'Sullivan-Lago, Ria; Hale, Hannah C.</t>
  </si>
  <si>
    <t>Interplays between dialogical learning and dialogical self.</t>
  </si>
  <si>
    <t>2013-16656-006</t>
  </si>
  <si>
    <t>Academic Self Concept; Acculturation; Immigration; School Adjustment; Student Attitudes; Adolescent Development; Sisters; Society; Symbolism</t>
  </si>
  <si>
    <t>This chapter will examine two young immigrant sisters' transitions to life, and their school life in particular, in their new host society. We will draw from two conceptual and analytical frameworks we have used independently in previous studies to explore how people make sense of their experiences as immigrants. Firstly, using concepts from dialogical self theory, we will investigate shifts in I-positions that emerge and dialogical strategies employed to restore continuity in the self that is disrupted by uncertainty (O'Sullivan-Lago &amp; Abreu, 2009, 2010). Secondly, we will explore the symbolic resources (Zittoun, 2006) used by the sisters to examine the developmental transitions they experience (Hale &amp; Abreu, 2010). The theory of dialogical self and the notion of symbolic resources will provide a complementary perspective to enhance current understandings of immigrant young people's experiences. The analysis revisits Portuguese young people's accounts of their immigration to Jersey and their experiences of schooling, collected as part of a larger project on the experiences of Portuguese students in British schools (Abreu &amp; Hale, 2009; Abreu &amp; Lambert; 2003; Abreu, Silva, &amp; Lambert, 2004). We have selected interviews with two sisters who recounted quite different transitions. We will question what new insights can be revealed by using concepts from both the dialogical self and the notion of symbolic resources to explore the accounts of these two sisters who, despite sharing many aspects of their background, recounted very different experiences of their life and schooling in Jersey. (PsycINFO Database Record (c) 2016 APA, all rights reserved)</t>
  </si>
  <si>
    <t>http://search.ebscohost.com.proxy-ub.rug.nl/login.aspx?direct=true&amp;db=psyh&amp;AN=2013-16656-006&amp;site=ehost-live&amp;scope=site</t>
  </si>
  <si>
    <t>Parental expectations of Chinese immigrants: A folk theory about children's school achievement.</t>
  </si>
  <si>
    <t>Li, Jun</t>
  </si>
  <si>
    <t>2002-95021-003</t>
  </si>
  <si>
    <t>Academic Achievement; Chinese Cultural Groups; Immigration; Parental Expectations; Adulthood (18 yrs &amp; older)</t>
  </si>
  <si>
    <t>Guided by the sociocultural approach (Wertsch, 1998; Wertsch, Del Rio &amp; Alvarez, 1995), the study explores the relationship between parental expectations of the Chinese immigrants and their children's school achievement by pursuing three objectives: (a) to depict how immigrant Chinese parents and children 'do things on the basis of their beliefs and desires, striving for goals, meeting obstacles which they best or which best them' (Brurier, 1990, p.43); (b) to obtain a better understanding of how immigrant Chinese parental expectations are constructed in a given sociocultural and historical context; and (c) to examine the affordances and constraints of immigrant Chinese parental expectations on their children's school achievement. With a qualitative grounded theory methodology (Strauss &amp; Corbin, 1990), multiple data collection methods (open-ended interviews, researcher's journal, and document review) and multiple sources of data (parents, children, and other Chinese informants) were employed to ensure research trustworthiness. Seven recent immigrant Chinese families were primary participants in the study. The convergence and divergence of the accounts of the participants and other informants put forward an immigrant Chinese folk theory. The findings comprise four sections: (a) accounts of the parents; (b) accounts of the children; (c) visible minority experiences; and (d) role of parental expectations. Based on their cultural beliefs and life experiences, the parents mainly addressed their expectations in five areas, namely school achievement, career aspirations, integration of two cultures, moral character, and leadership role. The children expressed their perceptions of parental expectations, their anxious thoughts and feelings, and their self-expectations. All participants shared their thoughts on racial discrimination, visible minority ideology, and dreams of prosperity. Both parents and children affirmed that parental expectations fostered goal orientation, mastery learning experiences, internal control beliefs, and study habits. The study has demonstrated that the relationship between parental expectations of the Chinese immigrants and their children's school achievement is significantly shaped by the dynamic and complex interplay of multiple forces such as indigenous cultural expectations, personal life experiences, and the challenges of acculturation. High parental expectations and children's striving for excellence are rooted in Chinese cultural heritage and are situationally motivated and historically transformed in different ways in response to the demands of the Canadian sociocultual context. By giving voice to this fastest-growing yet under-researched largest visible minority group in Canada, the study makes educational experiences of the Chinese immigrants intelligible to the general public as well as to policy makers. It lends insights to the importance and necessity of anti-racism education. It assists immigrant Chinese parents and children to achieve mutual understanding in the process of acculturation. It also helps teachers and counsellors understand the cultural and family factors involved in schooling for immigrant Chinese children, so as to provide more efficient social and academic mentoring for non-mainstream children, and ultimately to enhance future school-home collaboration. (PsycINFO Database Record (c) 2016 APA, all rights reserved)</t>
  </si>
  <si>
    <t>http://search.ebscohost.com.proxy-ub.rug.nl/login.aspx?direct=true&amp;db=psyh&amp;AN=2002-95021-003&amp;site=ehost-live&amp;scope=site</t>
  </si>
  <si>
    <t>Participating and belonging without papers: Theorizing the tensions between incorporation and exclusion for undocumented immigrant young adults.</t>
  </si>
  <si>
    <t>Enriquez, Laura Elise</t>
  </si>
  <si>
    <t>9-A(E)</t>
  </si>
  <si>
    <t>2015-99050-054</t>
  </si>
  <si>
    <t>Age Differences; Immigration; Latinos/Latinas; Belonging</t>
  </si>
  <si>
    <t>We know relatively little about how undocumented immigrant youth, who entered the U.S. as children, are being incorporated into U.S. society as young adults. To fill this gap, I draw on 123 in-depth interviews with 92 undocumented and 31 recently legalized Latino young adults, ages 20–35. Unlike existing scholarship, I examine the experiences of individuals from a range of education levels and address experiences outside of educational institutions (e.g. work, family formation). I find that undocumented young adults experience incomplete incorporation because structural barriers prevent them from fully participating in society in the ways that they desire and expect, giving rise to feelings of exclusion. Specifically, I explore how their undocumented status limits their participation and feelings of belonging in educational, economic, and social institutions. I also address how educational status and gender intersect with the limitations of their undocumented status to differentiate their experiences. While assimilation theorists conceptualize immigrant incorporation as participation in various social institutions, I contend that we must also examine feelings of belonging as a distinct aspect of incorporation. Thus, I re-conceptualize immigrant incorporation as the process through which an immigrant becomes a full member of society, not only by participating in social institutions but also by asserting feelings of belonging. This highlights the understudied dimension of emotional exclusion, and demonstrates how it intersects with structural exclusion to limit incorporation. (PsycINFO Database Record (c) 2016 APA, all rights reserved)</t>
  </si>
  <si>
    <t>http://search.ebscohost.com.proxy-ub.rug.nl/login.aspx?direct=true&amp;db=psyh&amp;AN=2015-99050-054&amp;site=ehost-live&amp;scope=site</t>
  </si>
  <si>
    <t>Perceived context of reception among recent Hispanic immigrants: Conceptualization, instrument development, and preliminary validation.</t>
  </si>
  <si>
    <t>Schwartz, Seth J.; Unger, Jennifer B.; Lorenzo-Blanco, Elma I.; Des Rosiers, Sabrina E.; Villamar, Juan A.; Soto, Daniel W.; Pattarroyo, Monica; Baezconde-Garbanati, Lourdes; Szapocznik, José</t>
  </si>
  <si>
    <t>Cultural Diversity and Ethnic Minority Psychology</t>
  </si>
  <si>
    <t>2013-34859-001</t>
  </si>
  <si>
    <t>Acculturation; Discrimination; Immigration; Test Construction; Latinos/Latinas; Test Validity; Adolescence (13-17 yrs); Adulthood (18 yrs &amp; older); Young Adulthood (18-29 yrs); Thirties (30-39 yrs); Middle Age (40-64 yrs); Male; Female</t>
  </si>
  <si>
    <t>Context of reception has been discussed widely in the sociological and anthropological literature, but no measures of this construct exist. We designed a measure of perceived context of reception and provide initial support for the factorial validity, internal consistency reliability, and incremental and discriminant validity of scores generated by this measure. A sample of 302 recent-immigrant Hispanic parent-adolescent dyads from Miami and Los Angeles completed the new perceived context of reception measure, as well as measures of perceived discrimination; Hispanic/American cultural practices, values, and identifications; and depressive symptoms. In Phase 1, exploratory and confirmatory factor analyses extracted a factor for negative perceived context of reception. A subscale corresponding to this factor was used in Phase 2; for parents and adolescents, negative perceived context of reception and perceived discrimination were differentially associated with acculturation-related variables—suggesting discriminant validity between perceived discrimination and negative perceived context of reception. For adolescents at both sites and for parents in Los Angeles only, the negative perceived context of reception dimensions were significantly associated with depressive symptoms 6 months later, over and above the contribution made by perceived discrimination—suggesting incremental validity. Results are discussed in terms of perceived context of reception as a new and emerging construct. (PsycINFO Database Record (c) 2019 APA, all rights reserved)</t>
  </si>
  <si>
    <t>http://search.ebscohost.com.proxy-ub.rug.nl/login.aspx?direct=true&amp;db=psyh&amp;AN=2013-34859-001&amp;site=ehost-live&amp;scope=site</t>
  </si>
  <si>
    <t>Placing assimilation theory: Mexican immigrants in urban and rural America.</t>
  </si>
  <si>
    <t>García, Angela S.; Schmalzbauer, Leah</t>
  </si>
  <si>
    <t>2017-28134-004</t>
  </si>
  <si>
    <t>Acculturation; Immigration; Rural Environments; Urban Environments; Adulthood (18 yrs &amp; older); Male; Female</t>
  </si>
  <si>
    <t>Assimilation theory typically conceptualizes native whites in metropolitan areas as the mainstream reference group to which immigrants’ adaptation is compared. Yet the majority of the U.S. population will soon be made up of ethnoracial minorities. The rise of new immigrant destinations has contributed to this demographic change in rural areas, in addition to already-diverse cities. In this article, we argue that assimilation is experienced in reference to the demographic populations within urban and rural destinations as well as the physical geography of these places. We analyze and compare the experiences of rural Mexicans who immigrated to urban Southern California and rural Montana, demonstrating the ways in which documentation status in the United States and the rurality of immigrants’ communities of origin in Mexico shape assimilation in these two destinations. (PsycINFO Database Record (c) 2017 APA, all rights reserved)</t>
  </si>
  <si>
    <t>http://search.ebscohost.com.proxy-ub.rug.nl/login.aspx?direct=true&amp;db=psyh&amp;AN=2017-28134-004&amp;site=ehost-live&amp;scope=site</t>
  </si>
  <si>
    <t>Primary prevention of acculturative stress among refugees: Application of psychological theory and practice.</t>
  </si>
  <si>
    <t>Williams, Carolyn L.; Berry, J. W.</t>
  </si>
  <si>
    <t>1991-28466-001</t>
  </si>
  <si>
    <t>10.1037/0003-066X.46.6.632</t>
  </si>
  <si>
    <t>Acculturation; Mental Health Services; Public Health Services; Refugees; Preventive Mental Health Services; Stress</t>
  </si>
  <si>
    <t>Primary prevention in refugee mental health requires information from clinical, health, and cross-cultural psychology. Primary prevention's roots are in public health, which is distinguished by a communitywide perspective for addressing mental health concerns. This article summarizes research suggesting that refugees are an at-risk population, making them especially suitable for public health interventions. Research on stress and acculturation is highlighted, given its importance to prevention in refugee mental health. The opportunities for primary prevention programs and policies at 3 levels (i.e., local community, national, and international) are illustrated with case examples from both the US and Canada. Prevention at the international level is highlighted by a World Health Organization Mental Health Mission to camps on the Thai-Cambodian border. (PsycInfo Database Record (c) 2020 APA, all rights reserved)</t>
  </si>
  <si>
    <t>http://search.ebscohost.com.proxy-ub.rug.nl/login.aspx?direct=true&amp;db=psyh&amp;AN=1991-28466-001&amp;site=ehost-live&amp;scope=site</t>
  </si>
  <si>
    <t>Promoting the well-being of immigrant youth: A framework for comparing outcomes and policies.</t>
  </si>
  <si>
    <t>Nolan, Brian</t>
  </si>
  <si>
    <t>2012-14793-017</t>
  </si>
  <si>
    <t>10.1017/CBO9781139094696.021</t>
  </si>
  <si>
    <t>Acculturation; Immigration; Social Integration; Socioeconomic Status; Well Being; Adolescent Development; Childhood Development; Social Inclusion; Childhood (birth-12 yrs); Adolescence (13-17 yrs)</t>
  </si>
  <si>
    <t>The well-being of immigrant youth – of the first or second generation –is intimately tied to their socioeconomic status and success, and these are important for social cohesion in society. Institutional settings and policies vary greatly from one country to the next, so studying key outcomes for immigrant youth in a comparative perspective illuminates which are most effective in promoting their well-being. In this chapter, a framework is presented for that exercise, highlighting recent literature on multidimensional well-being, social inclusion/exclusion, and child well-being. Then key findings from research on immigration and youth are examined within that framework in order to delineate the potential and the challenges associated with this approach to teasing out what works for immigrant youth. (PsycInfo Database Record (c) 2020 APA, all rights reserved)</t>
  </si>
  <si>
    <t>http://search.ebscohost.com.proxy-ub.rug.nl/login.aspx?direct=true&amp;db=psyh&amp;AN=2012-14793-017&amp;site=ehost-live&amp;scope=site</t>
  </si>
  <si>
    <t>Psychological help-seeking among Latin American immigrants in Canada: Testing a culturally-expanded model of the Theory of Reasoned Action using path analysis.</t>
  </si>
  <si>
    <t>International Journal for the Advancement of Counselling</t>
  </si>
  <si>
    <t>2015-20912-001</t>
  </si>
  <si>
    <t>Decision Making; Help Seeking Behavior; Immigration; Latinos/Latinas; Path Analysis; Reasoned Action; Adulthood (18 yrs &amp; older); Young Adulthood (18-29 yrs); Thirties (30-39 yrs); Middle Age (40-64 yrs); Aged (65 yrs &amp; older); Male; Female</t>
  </si>
  <si>
    <t>The current study investigated the psychosocial and cultural predictors of psychological help-seeking based on the Theory of Reasoned Action (TRA: Ajzen and Fishbein 1980) in a sample of 223 adult Latin American immigrants living in Canada. Using path analysis, the results provided empirical support for the TRA, as both help-seeking attitudes and subjective norms were found to influence participants’ help-seeking intentions. Moreover, the re-specified culturally-expanded model showed a good fit to the data and revealed the direct and indirect effects that bi-directional acculturation (Latino and Canadian Cultural orientations), familism, and collective coping had on help-seeking intentions. The results point to the integral roles familism and subjective norms of social referents (e.g., parents, siblings) play in the help-seeking decision process among Latin Americans. Limitations, future research directions and clinical implications are considered and discussed. (PsycINFO Database Record (c) 2016 APA, all rights reserved)</t>
  </si>
  <si>
    <t>http://search.ebscohost.com.proxy-ub.rug.nl/login.aspx?direct=true&amp;db=psyh&amp;AN=2015-20912-001&amp;site=ehost-live&amp;scope=site</t>
  </si>
  <si>
    <t>Psychological theories of immigration.</t>
  </si>
  <si>
    <t>Hernandez, Maria Y.</t>
  </si>
  <si>
    <t>Journal of Human Behavior in the Social Environment</t>
  </si>
  <si>
    <t>2010-11324-006</t>
  </si>
  <si>
    <t>10.1080/10911350902910898</t>
  </si>
  <si>
    <t>Immigration; Social Environments; Well Being; Psychological Theories</t>
  </si>
  <si>
    <t>Psychology provides a theoretical perspective for the analysis of human behavior and the social environment resulting from immigration. Acculturation outcomes have been of primary interest within the field of psychology as they connect to immigrant well-being. This review expands the focus from acculturation outcomes to the frameworks of acculturative stress, cultural learning, attachment theory, and ethnic identity to further explore the individual and social factors impacting immigrant psychological well-being. A review of each framework's interpretation for the varied immigrant adaptation responses is included. In addition, the coping strategies or mediating factors presented by each framework in connection to immigrant adaptation within a new environment are discussed. This review concludes with suggestions for psychological frameworks to expand their research in the immigrant experience to further contribute to the knowledge base of human behavior and the social environment. (PsycINFO Database Record (c) 2016 APA, all rights reserved)</t>
  </si>
  <si>
    <t>http://search.ebscohost.com.proxy-ub.rug.nl/login.aspx?direct=true&amp;db=psyh&amp;AN=2010-11324-006&amp;site=ehost-live&amp;scope=site</t>
  </si>
  <si>
    <t>Psychologická akulturace: Teoretické přístupy a metody měření.</t>
  </si>
  <si>
    <t>Chvojková, Petra; Hřebíčková, Martina</t>
  </si>
  <si>
    <t>Československá Psychologie: Časopis Pro Psychologickou Teorii a Praxi</t>
  </si>
  <si>
    <t>2018-20274-004</t>
  </si>
  <si>
    <t>Akademie věd České Republiky/The Academy of Sciences of the Czech Republic</t>
  </si>
  <si>
    <t>Acculturation; Measurement; Models; Theories</t>
  </si>
  <si>
    <t>Acculturation is most commonly defined as the process of cultural and psychological changes that occur when individuals from different cultural backgrounds come into direct and prolonged contact. Acculturation applies to indigenous peoples (e.g. Aborigines in Australia); established ethno-cultural groups which identify with their country of origin and its language (e.g. the Vietnamese minority in the Czech Republic); immigrants; people coming to the host country voluntarily for a limited period of time (e.g. students, diplomats, laborers); refugees and asylum seekers coming to the host country involuntarily. This review study introduces current knowledge of acculturation, briefly describes the history and development of its investigation, and defines the term acculturation in relation to ethnic identity, assimilation and multiculturalism. It briefly summarizes the sociological and anthropological approach. The study provides a critical review of the most important theories and models based on contact (e.g. Berry’s model of acculturation strategies), adoption of the host culture (e.g. Bourhis interactive acculturation model) and models aimed at identity (e.g. Bicultural identity integration by Benet-Martinez). The study also introduces the acculturation research in the Czech Republic and offers new directions of future research. Last but not least, two approaches to measuring acculturation are mentioned and some examples of the measuring methods are introduced. (PsycInfo Database Record (c) 2020 APA, all rights reserved)</t>
  </si>
  <si>
    <t>http://search.ebscohost.com.proxy-ub.rug.nl/login.aspx?direct=true&amp;db=psyh&amp;AN=2018-20274-004&amp;site=ehost-live&amp;scope=site</t>
  </si>
  <si>
    <t>Psychosomatic and psychosocial implications of environmental changes on migrants: A review of contemporary theories and findings.</t>
  </si>
  <si>
    <t>Israel Journal of Psychiatry and Related Sciences</t>
  </si>
  <si>
    <t>1986-02715-001</t>
  </si>
  <si>
    <t>Gefen Publishing House</t>
  </si>
  <si>
    <t>Crowding; Culture Change; Environment; Human Migration; Social Ecology</t>
  </si>
  <si>
    <t>Used a multidimensional approach to examine 3 parameters of interaction between physical and social environments and their effect on migrant populations: (1) Reactions to new physical environments are proposed to be related to the influences of climate, seasonal changes, and urban pollution. (2) The influence of cultural changes is described on the individual and family level, focusing on the differences between reaction patterns of traditional and Westernized migrant families. (3) Overcrowding as a precipitating factor of aggressive and violent behavior is reexamined. Implications for social ecology are noted. (22 ref) (PsycINFO Database Record (c) 2016 APA, all rights reserved)</t>
  </si>
  <si>
    <t>http://search.ebscohost.com.proxy-ub.rug.nl/login.aspx?direct=true&amp;db=psyh&amp;AN=1986-02715-001&amp;site=ehost-live&amp;scope=site</t>
  </si>
  <si>
    <t>Racial minority immigrant acculturation: Examining Filipino settlement experiences in Canada utilizing a community-focused acculturation framework.</t>
  </si>
  <si>
    <t>Liboro, Renato M.</t>
  </si>
  <si>
    <t>Community Psychology in Global Perspective</t>
  </si>
  <si>
    <t>2018-31145-004</t>
  </si>
  <si>
    <t>E S E - Universita del Salento Publishing</t>
  </si>
  <si>
    <t>Acculturation; Communities; Immigration; Racial and Ethnic Differences; Social Issues; Cross Cultural Psychology; Minority Groups; Racial and Ethnic Groups</t>
  </si>
  <si>
    <t>By incorporating perspectives from Community Psychology into Berry’s (1997) acculturation framework from Cross-cultural Psychology, a more community-focused acculturation framework was developed and proposed in this essay. Elements from Community Psychology that focus on group-specific settings, community-level analysis, sociocultural resources, sociopolitical forces, and roles of grassroots organizations and host societies in challenging institutional power were consolidated into Berry’s acculturation framework to establish a new framework with a stronger community focus. In a theoretical application utilizing the new community-focused framework, sociohistorical accounts of and discourse on Filipino experiences prior to the beginnings of the Filipino diaspora to Canada in the mid-1990s and more recent Filipino immigrant settlement experiences in Canada were used to examine and gain greater understanding of racial minority immigrant acculturation. The theoretical application of the new framework was presented not only to demonstrate the synthesis of elements derived from Cross-cultural and Community Psychology, as well as the methodological difference between Berry’s acculturation framework and the community-focused version proposed by the author, but also to underscore the value of community-level analysis in the study of racial minority immigrant acculturation. Implications for Psychology theory, research, and practice were subsequently presented. (PsycInfo Database Record (c) 2020 APA, all rights reserved)</t>
  </si>
  <si>
    <t>http://search.ebscohost.com.proxy-ub.rug.nl/login.aspx?direct=true&amp;db=psyh&amp;AN=2018-31145-004&amp;site=ehost-live&amp;scope=site</t>
  </si>
  <si>
    <t>Refugee economic adaptation: Theory, evidence, and implications for policy and practice.</t>
  </si>
  <si>
    <t>Potocky-Tripodi, Miriam</t>
  </si>
  <si>
    <t>Journal of Social Service Research</t>
  </si>
  <si>
    <t>2003-10953-004</t>
  </si>
  <si>
    <t>Haworth Press</t>
  </si>
  <si>
    <t>Adjustment; Economics; Employment Status; Income (Economic); Refugees; Acculturation; Asians; Demographic Characteristics; Stress; Adulthood (18 yrs &amp; older); Young Adulthood (18-29 yrs); Thirties (30-39 yrs); Middle Age (40-64 yrs); Aged (65 yrs &amp; older); Male; Female</t>
  </si>
  <si>
    <t>A theoretical model of predictors of refugee economic adaptation was tested using data from a telephone survey of a random sample of Hmong, Somali, and Russian refugees resettled in Minneapolis-St. Paul. The study examined the relative influence of demographic characteristics, flight-related characteristics, host-related characteristics, residency characteristics, acculturation characteristics, and adaptation stresses upon refugees' employment status and estimated earnings. Although previous studies have extensively examined demographic and residency characteristics, the relative influence of the other factors has not been comprehensively investigated. Multivariate analyses indicated that across the different refugee groups, the model explained 34-44% of the variance in employment status and 12-26% of the variance in estimated earnings. Consistent with previous findings, demographic characteristics, in particular, education, gender, and household composition, had the largest effects on the indicators of economic adaptation. The remaining factors had relatively small effects. The implications for refugee resettlement theory, policy, practice, and future research are discussed in light of these and previous findings. (PsycINFO Database Record (c) 2016 APA, all rights reserved)</t>
  </si>
  <si>
    <t>http://search.ebscohost.com.proxy-ub.rug.nl/login.aspx?direct=true&amp;db=psyh&amp;AN=2003-10953-004&amp;site=ehost-live&amp;scope=site</t>
  </si>
  <si>
    <t>Religiosität türkischer mi gran ten im generationenverlauf: Ein befund und einige erklärungsversuche.</t>
  </si>
  <si>
    <t>Zeitschrift für Soziologie</t>
  </si>
  <si>
    <t>2009-18119-003</t>
  </si>
  <si>
    <t>10.1515/zfsoz-2009-0403</t>
  </si>
  <si>
    <t>Lucius &amp; Lucius Verlag</t>
  </si>
  <si>
    <t>Immigration; Religiosity; Generational Differences; Social Structure</t>
  </si>
  <si>
    <t>Intergenerational stability of the religiosity of Turkish migrants is surprisingly high. In this article, several theoretical explanations for the maintenance of religiosity from generation to generation are presented and tested empirically against data from the German Generations- and Gender Surveys. We can show that classical versions of assimilation theories, concepts of symbolic religiosity, of religiosity as a compensation for a lack of social status, or of a high intergenerational stability of values in general cannot fully explain this phenomenon. Religiosity does not decline between the first and the second generation, nor does it become more symbolic in character. Furthermore, empirical evidence yields only limited support for the hypothesis that high levels of individual religiosity can only be found among structurally and socially less assimilated segments of the immigrant population. The same holds true for the argument that they just reflect generally high intergenerational value stability among immigrants. Concequently, in the final section we discuss the role of contextual factors in explaining intergenerational stability in migrants' religiosity such as an increasing diversity of the religious Islamic field or the salience religion as a symbolic boundary marker between natives and migrants. (PsycINFO Database Record (c) 2017 APA, all rights reserved)</t>
  </si>
  <si>
    <t>http://search.ebscohost.com.proxy-ub.rug.nl/login.aspx?direct=true&amp;db=psyh&amp;AN=2009-18119-003&amp;site=ehost-live&amp;scope=site</t>
  </si>
  <si>
    <t>Remote acculturation: Conceptualization, measurement, and implications for health outcomes.</t>
  </si>
  <si>
    <t>Ferguson, Gail M.; Tran, Steve P.; Mendez, Shawn N.; van de Vijver, Fons J. R.</t>
  </si>
  <si>
    <t>2017-43855-010</t>
  </si>
  <si>
    <t>Acculturation; Immigration; Measurement; Treatment Outcomes; Health Outcomes</t>
  </si>
  <si>
    <t>Globalization has accelerated the exposure of nonmigrants to remote cultures in which they have never lived, producing remote acculturation (RA). The health implications of RA may reach further than those of immigrant acculturation because nonmigrants constitute the majority of the world’s population. This chapter describes the conceptualization of RA, reviews the body of empirical research on RA, discusses measurement of RA, and explores the health implications of RA. The review suggests that RA to faraway cultures may have both negative and positive health outcomes, some of which are also common to immigrants (e.g., acculturation gap between adolescents and parents). Acculturation and health researchers, as well as health practitioners, need to be alert to this new cultural landscape if they are to effectively address the health needs of modern individuals who may be acculturating remotely in their own backyards. (PsycInfo Database Record (c) 2020 APA, all rights reserved)</t>
  </si>
  <si>
    <t>http://search.ebscohost.com.proxy-ub.rug.nl/login.aspx?direct=true&amp;db=psyh&amp;AN=2017-43855-010&amp;site=ehost-live&amp;scope=site</t>
  </si>
  <si>
    <t>Research with Immigrant Populations: The Application of an Ecological Framework to Mental Health Research with Immigrant Populations.</t>
  </si>
  <si>
    <t>Serdarevic, Mirsad; Chronister, Krista M.</t>
  </si>
  <si>
    <t>International Journal of Mental Health Promotion</t>
  </si>
  <si>
    <t>2005-06197-004</t>
  </si>
  <si>
    <t>10.1080/14623730.2005.9721864</t>
  </si>
  <si>
    <t>Clifford Beers Foundation</t>
  </si>
  <si>
    <t>Cross Cultural Psychology; Ecological Psychology; Immigration; Mental Health</t>
  </si>
  <si>
    <t>The purpose of this article is to outline the benefits of an ecological model framework for conducting cross-cultural psychological research with immigrant populations. There are four ways we hope to add to the existing literature. First, we propose an ecological framework to assess the developmental processes and mental health outcomes for immigrants over time. Second, we present interdisciplinary and international research on immigrants' experiences to further efforts to share knowledge and enhance understanding of the impact of globalization on immigrants' experiences. Third, we describe factors leading to immigrants' positive and negative mental health outcomes. Fourth, we discuss the processes of acculturation and adaptation using an ecological framework. We conclude with recommendations for how scholars may use the ecological model to enhance research on immigrants' acculturation experiences. (PsycINFO Database Record (c) 2016 APA, all rights reserved)</t>
  </si>
  <si>
    <t>http://search.ebscohost.com.proxy-ub.rug.nl/login.aspx?direct=true&amp;db=psyh&amp;AN=2005-06197-004&amp;site=ehost-live&amp;scope=site</t>
  </si>
  <si>
    <t>Rethinking cross-cultural adaptability using behavioral developmental theory: An analysis of different migrant behaviors.</t>
  </si>
  <si>
    <t>Ramakrishnan, Saranya; Barker, Cory David; Vervoordt, Samantha; Zhang, Anne</t>
  </si>
  <si>
    <t>Behavioral Development</t>
  </si>
  <si>
    <t>2017-05868-001</t>
  </si>
  <si>
    <t>10.1037/bdb0000061</t>
  </si>
  <si>
    <t>Adaptability (Personality); Adaptive Behavior; Human Migration; Immigration; Memes; Acculturation; Cross Cultural Psychology; Needs; Theories</t>
  </si>
  <si>
    <t>The rate of international migration has reached unprecedented levels over the past few decades (Schwartz, Unger, Zamboanga, &amp; Szapocznik, 2010). According to the International Organization for Migration, the number of migrants worldwide was 244 million in 2015. Current literature in cross-cultural adaptability describes acculturation as a 4-phase process, namely honeymoon, crisis, adjustment, and biculturalism (Sawyer, 2012). This approach characterizes all migrants equally, regardless of the type of migrant. This approach however is missing other factors such as an individual’s developmental stage, needs, interests, and exposed/reinforcing memes. Orientations of these characteristics can vary drastically from one immigrant to another, and play an important role in acculturation outcomes. For a successful transition, immigrants and natives alike need to form successful relationships, while immigrants discover how systems work in the new country, and learn how to pursue their goals using the new resources in their new environment. These adaptive behaviors displayed by immigrants and natives are analyzed using stage theory, Maslow’s hierarchy of needs, interests, and memes. In this article, we explore why some individuals and groups adapt better than others. A low-acculturated immigrant operates at a lower stage, may have been and continue to be exposed to memes that are less diverse, have lower needs, and choose more traditional careers. A highly acculturated immigrant operates at a higher stage, may be exposed to more diverse memes, have higher needs and choose more nontraditional careers. Through this analysis, we hope to contribute to a better understanding of immigration processes of different immigrants. (PsycINFO Database Record (c) 2019 APA, all rights reserved)</t>
  </si>
  <si>
    <t>http://search.ebscohost.com.proxy-ub.rug.nl/login.aspx?direct=true&amp;db=psyh&amp;AN=2017-05868-001&amp;site=ehost-live&amp;scope=site</t>
  </si>
  <si>
    <t>Rethinking the acculturation gap-distress theory among asian americans: Testing bidirectional indirect relations.</t>
  </si>
  <si>
    <t>2018-06920-001</t>
  </si>
  <si>
    <t>Acculturation; Conflict; Immigration; Intergenerational Relations; Generational Differences; Asians; Mediation; Negative Emotions; Adolescence (13-17 yrs); Adulthood (18 yrs &amp; older); Male; Female</t>
  </si>
  <si>
    <t>The acculturation gap-distress theory postulates that parent–offspring acculturation mismatch precipitates greater intergenerational conflict in immigrant families, which in turn increases the risk for psychological problems among offspring. Whereas cross-sectional studies have shown support for these theory-informed relations, comparatively little is known about whether acculturation mismatch negatively affects psychological functioning, or whether offspring’s psychological problems precipitate greater perceived acculturation mismatch via intergenerational cultural conflict. Furthermore, more research is needed to investigate how acculturation and family conflict affect Asian Americans transitioning into college and emerging adulthood. Across two measurement occasions, two cohorts of Asian American first-year college students (N = 555, Mage = 17.99, 56.0% women) completed survey questionnaires assessing their perception of parent–offspring acculturation discrepancies, acculturation-related intergenerational conflict, and internalizing and externalizing symptoms. For both sets of psychological functioning, gender invariant structural equation models testing the bidirectional relations demonstrated adequate fit for the data. In the case of externalizing symptoms, acculturation mismatch marginally significantly predicted subsequent intergenerational conflict, but acculturation mismatch did not predict externalizing symptoms via intergenerational cultural conflict. By contrast, offspring’s internalizing and externalizing symptoms respectively predicted greater self-reported intergenerational cultural conflict, which in turn predicted perceived parent–offspring acculturation mismatch over time. These indirect relations suggested that both internalizing and externalizing symptoms indirectly contributed to greater acculturation mismatch through the presence of intergenerational cultural conflict, but data did not support the acculturation gap-distress theory. Theoretical and clinical implications as they pertain to Asian American emerging adults are discussed. (PsycINFO Database Record (c) 2018 APA, all rights reserved)</t>
  </si>
  <si>
    <t>http://search.ebscohost.com.proxy-ub.rug.nl/login.aspx?direct=true&amp;db=psyh&amp;AN=2018-06920-001&amp;site=ehost-live&amp;scope=site</t>
  </si>
  <si>
    <t>Rethinking the concept of acculturation: Implications for theory and research.</t>
  </si>
  <si>
    <t>Schwartz, Seth J.; Unger, Jennifer B.; Zamboanga, Byron L.; Szapocznik, José</t>
  </si>
  <si>
    <t>2010-08987-001</t>
  </si>
  <si>
    <t>Acculturation; Immigration; Sociocultural Factors; Values</t>
  </si>
  <si>
    <t>This article presents an expanded model of acculturation among international migrants and their immediate descendants. Acculturation is proposed as a multidimensional process consisting of the confluence among heritage-cultural and receiving-cultural practices, values, and identifications. The implications of this reconceptualization for the acculturation construct, as well as for its relationship to psychosocial and health outcomes, are discussed. In particular, an expanded operationalization of acculturation is needed to address the 'immigrant paradox,' whereby international migrants with more exposure to the receiving cultural context report poorer mental and physical health outcomes. We discuss the role of ethnicity, cultural similarity, and discrimination in the acculturation process, offer an operational definition for context of reception, and call for studies on the role that context of reception plays in the acculturation process. The new perspective on acculturation presented in this article is intended to yield a fuller understanding of complex acculturation processes and their relationships to contextual and individual functioning. (PsycINFO Database Record (c) 2016 APA, all rights reserved)</t>
  </si>
  <si>
    <t>http://search.ebscohost.com.proxy-ub.rug.nl/login.aspx?direct=true&amp;db=psyh&amp;AN=2010-08987-001&amp;site=ehost-live&amp;scope=site</t>
  </si>
  <si>
    <t>Review of Acculturation: Advances in Theory, Measurement, and Applied Research.</t>
  </si>
  <si>
    <t>Westermeyer, Joseph</t>
  </si>
  <si>
    <t>Journal of Nervous and Mental Disease</t>
  </si>
  <si>
    <t>2004-95112-011</t>
  </si>
  <si>
    <t>10.1097/01.nmd.0000126737.31049.5a</t>
  </si>
  <si>
    <t>Review-Book</t>
  </si>
  <si>
    <t>Acculturation; Experimentation; Measurement; Minority Groups; Theories; American Indians; Asians; Blacks; Latinos/Latinas</t>
  </si>
  <si>
    <t>Reviews the book 'Acculturation: Advances in theory, measurement, and applied research,' edited by Kelvin M. Chun, Pamela B. Organista and Geraldo Marin (see record [rid]2002-18425-000[/rid]). Six of the 11 chapters concentrate on normal dimensions of acculturation from psychological perspectives. Their topics cover general concepts, psychometric challenges, identity, values, and family. The last five chapters encompass health psychology and abnormal psychology from an acculturation perspective. These chapters are more data-focused, with 12 tables and only one figure of a model of health and illness. Some chapters address enculturation for minority groups rather than acculturation, although these authors use the term acculturation rather than enculturation. This book should prove interesting and perhaps helpful to several groups of psychiatrists. Those working with immigrants, refugees, and internal migrants (e.g., rural-to-urban migrants) will confirm many of their clinical hunches and perhaps broaden their conceptual horizons regarding migration and its concomitants. Cultural psychiatrists early in their careers will find the volume an excellent entree to recent work on acculturation, particularly the work performed by cultural psychologists. (PsycINFO Database Record (c) 2016 APA, all rights reserved)</t>
  </si>
  <si>
    <t>http://search.ebscohost.com.proxy-ub.rug.nl/login.aspx?direct=true&amp;db=psyh&amp;AN=2004-95112-011&amp;site=ehost-live&amp;scope=site</t>
  </si>
  <si>
    <t>Risk factors of suicide with reference to the theory of social integration by Émile Durkheim.</t>
  </si>
  <si>
    <t>Kołodziej-Sarzyńska, Małgorzata; Majewska, Magdalena; Juchnowicz, Dariusz; Karakuła-Juchnowicz, Hanna</t>
  </si>
  <si>
    <t>Psychiatria Polska</t>
  </si>
  <si>
    <t>2020-67398-009</t>
  </si>
  <si>
    <t>Polish Psychiatric Society</t>
  </si>
  <si>
    <t>Risk Factors; Social Integration; Suicide; Suicide Prevention; Suicidology</t>
  </si>
  <si>
    <t>Aim: The aim of the paper was to: (1) present economic, socio-demographic and other indicators related to suicide, useful from the perspective of social integration theory, and (2) identify new indicators of special importance to contemporary Poland. Method: A narrative literature review on the sociological approach to suicide was undertaken by searching MEDLINE/PubMed, PsycINFO, Google Scholar databases using the following key words: suicide, suicide risk factors, Durkheim’s theory of suicide, integration and disintegration of society, sociodemographic factors, economic factors, religion, and the time descriptors: 2000–2017. Results: Suicide risk was analyzed in relation to: family integration (including the rates of divorce, marriage, fertility, and women’s participation in the labour market); economy (including the unemployment rate, gross domestic product per capita, Gini social inequality index, and social welfare indicators); social issues (including the indicators of the healthcare system quality, the rates of alcohol consumption per capita and migration); religion (including the parameters of conventional religiosity, Gallup index, and percentage of religious books). The issues relevant for Poland were addressed while discussing Balanced Development Index in economic aspect, and dominicantes and communicantes rates in religious aspect. Conclusions: This literature review may be useful in the assessment of suicide risk when designing suicide prevention programs and for mental health clinicians in their daily practice. (PsycInfo Database Record (c) 2021 APA, all rights reserved)</t>
  </si>
  <si>
    <t>http://search.ebscohost.com.proxy-ub.rug.nl/login.aspx?direct=true&amp;db=psyh&amp;AN=2020-67398-009&amp;site=ehost-live&amp;scope=site</t>
  </si>
  <si>
    <t>Romanian-american spouses' perception of gender roles: A grounded theory.</t>
  </si>
  <si>
    <t>Chelbegean, Romulus</t>
  </si>
  <si>
    <t>9-B</t>
  </si>
  <si>
    <t>2011-99060-018</t>
  </si>
  <si>
    <t>Immigration; Sex Roles; Spouses; Male; Female</t>
  </si>
  <si>
    <t>This grounded theory qualitative study explored the perception of gender roles in Romanian-American first generation immigrant couples living in Southeastern California. Using a semi-structured in-depth interview format, twenty-two wives and twenty-eight husbands who have been married at least two years in Romania and two years in America have been asked to describe their experience in each of the two cultures regarding gender roles, including the part played by their religion in perceiving, understanding and constructing spouses' marital role. The three theoretical frames chosen to create the necessary context for this study are (1) Acculturation, (2) Cultural Hermeneutics, and (3) Constructivism. Chapter III explains and justifies the use of Charmaz' (2000) grounded theory research method for finding an answer to the three following research questions: (1) How do Romanian-American spouses perceive their gender roles throughout their immigration experience? (2) Why do Romanian-American spouses perceive their gender roles the way they do? (3) How does Romanian-American spouses' perception of gender roles affect their marital relationship? The Results chapter presents the grounded theory which emerged from the present study directly correlated with the two types of choices first generation Romanian-American spouses have concerning their gender role perception. The final chapter discusses implications of the present study's results on MFT theory and practice, limitations of the current approach and recommendations for future research. (PsycINFO Database Record (c) 2016 APA, all rights reserved)</t>
  </si>
  <si>
    <t>http://search.ebscohost.com.proxy-ub.rug.nl/login.aspx?direct=true&amp;db=psyh&amp;AN=2011-99060-018&amp;site=ehost-live&amp;scope=site</t>
  </si>
  <si>
    <t>Saudi deaf students post-secondary transitioning experience: A grounded theory study.</t>
  </si>
  <si>
    <t>Almotiri, Abdullah</t>
  </si>
  <si>
    <t>Deafness &amp; Education International</t>
  </si>
  <si>
    <t>2018-07174-007</t>
  </si>
  <si>
    <t>10.1080/14643154.2018.1429731</t>
  </si>
  <si>
    <t>Acculturation; College Academic Achievement; Hearing Disorders; School Based Intervention; School Transition; Deaf; Immigration; Adulthood (18 yrs &amp; older); Young Adulthood (18-29 yrs); Thirties (30-39 yrs); Male; Female</t>
  </si>
  <si>
    <t>Understanding how deaf and hard-of-hearing (DHH) international students transition to post-secondary institutions is important for ensuring their academic and personal success. In this grounded theory study, five Saudi Arabian students who are DHH and enrolled at Gallaudet University were interviewed about their transition experience. Participants reported positive transition experiences and revealed that successful transition depended on resolving the tensions between Saudi and American cultures, accepting more personal responsibility, and social and academic integration. The results revealed that professors who are also DHH are influential role models, mentors are beneficial, remedial English language classes are necessary, and both male and female Saudi DHH students should attend social events on campus. This study is the first to focus on Saudi students who are DHH transitioning to academic institutions in the U.S. (PsycINFO Database Record (c) 2018 APA, all rights reserved)</t>
  </si>
  <si>
    <t>http://search.ebscohost.com.proxy-ub.rug.nl/login.aspx?direct=true&amp;db=psyh&amp;AN=2018-07174-007&amp;site=ehost-live&amp;scope=site</t>
  </si>
  <si>
    <t>Segmented assimilation theory and perinatal health disparities among women of Mexican descent.</t>
  </si>
  <si>
    <t>2009-09281-014</t>
  </si>
  <si>
    <t>Acculturation; Perinatal Period; Prenatal Care; Health Disparities; Latinos/Latinas; Birth Weight; Immigration; Risk Factors; Theories; Adolescence (13-17 yrs); Adulthood (18 yrs &amp; older); Young Adulthood (18-29 yrs); Thirties (30-39 yrs); Middle Age (40-64 yrs); Male; Female</t>
  </si>
  <si>
    <t>A higher prevalence of infant low birth weight (&lt;2500 g) has been observed among more acculturated mothers of Mexican descent living in the U.S. when compared to their less acculturated counterparts. Tests of the 'acculturation hypothesis' have established that disparities in certain risks for low birth weight exist between subgroups of women of Mexican-origin. However, disparities observed by neighborhood of residence have yet to be explained. Most tests of the acculturation hypothesis assume a classical path of assimilation, whereby Mexican American health is expected to deteriorate with time spent residing in the U.S. and across the generations. The theory of segmented assimilation suggests that alternative paths are possible depending upon individual characteristics and the context of the neighborhood into which immigrant families and their children reside. This study tested the theory of segmented assimilation as a framework for examining the geographic, cultural, and socioeconomic underpinnings of population differences in infant low birth weight among women of Mexican descent in California using the 2000 U.S. Census and population-based data from the Maternal and Infant Health Assessment (1999–2005) (n = 6442). Little support was found for the theory’s hypotheses. Rather, increased odds for infant low birth weight were observed for English speakers residing in Latino immigrant neighborhoods when compared to English speakers in other neighborhoods, an effect attenuated for Spanish speakers. Elevated odds of low birth weight were also observed among English speakers residing in Latino immigrant neighborhoods when compared to Spanish speakers in the same neighborhoods. Findings suggest the transfer of health-specific social capital in ethnic neighborhoods may depend upon sociocultural consonance between individuals and neighborhood residents. The authors call for additional research that sheds light on the sociocultural dynamics of maternal and infant health at multiple levels. (PsycINFO Database Record (c) 2016 APA, all rights reserved)</t>
  </si>
  <si>
    <t>http://search.ebscohost.com.proxy-ub.rug.nl/login.aspx?direct=true&amp;db=psyh&amp;AN=2009-09281-014&amp;site=ehost-live&amp;scope=site</t>
  </si>
  <si>
    <t>Segmented assimilation theory and the life model: An integrated approach to understanding immigrants and their children.</t>
  </si>
  <si>
    <t>2009-09527-009</t>
  </si>
  <si>
    <t>Immigration; Social Casework; Ecology; Social Workers; Theories</t>
  </si>
  <si>
    <t>The life model offers social workers a promising framework to use in assisting immigrant families. However, the complexities of adaptation to a new country may make it difficult for social workers to operate from a purely ecological approach. The authors use segmented assimilation theory to better account for the specificities of the immigrant experience. They argue that by adding concepts from segmented assimilation theory to the life model, social workers can better understand the environmental stressors that increase the vulnerabilities of immigrants to the potentially harsh experience of adapting to a new country. With these concepts, social workers who work with immigrant families will be better positioned to achieve their central goal: enhancing person and environment fit. (PsycINFO Database Record (c) 2018 APA, all rights reserved)</t>
  </si>
  <si>
    <t>http://search.ebscohost.com.proxy-ub.rug.nl/login.aspx?direct=true&amp;db=psyh&amp;AN=2009-09527-009&amp;site=ehost-live&amp;scope=site</t>
  </si>
  <si>
    <t>Segmented paths of immigrant incorporation? Assimilation theory and the new second generation.</t>
  </si>
  <si>
    <t>Faulkner, Caroline L.</t>
  </si>
  <si>
    <t>2009-99150-448</t>
  </si>
  <si>
    <t>Immigration; Occupational Status; Offspring; Social Issues; Life Span; Psychosocial Factors</t>
  </si>
  <si>
    <t>This dissertation examines segmented assimilation theory, the recent, highly influential theoretical statement on immigrant incorporation. I focus on the theory's claim that immigrants and their offspring experience multiple paths of assimilation. Using National Educational Longitudinal Study and Children of Immigrants Longitudinal Study data, I examine how context of reception, adaptation obstacles, and protective factors—including family relationships and cultural attachments—are associated with paths of economic mobility and acculturation among children of immigrants. I operationalize these paths as the direction of change between two points for the following indicators: educational and occupational status, English use, non-English ability, and ethnic identity. I also take into account five key social structural factors that segmented assimilation theory and research overlook: (1) the intergenerational nature of assimilation, (2) life course stage, (3) where immigrants start out on their paths of assimilation, or their 'starting points,' (4) gender, and (5) immigrant generational status. Binomial and multinomial logistic regression analyses reveal that paths of assimilation and the factors associated with them differ according to starting point, gender, immigrant generational status, and, in the case of intragenerational assimilation, life course stage. These associations are enormously complicated and do not follow a coherent pattern. Nonetheless, a number of my findings contradict segmented assimilation's claims. For example, blacks from intermediate economic starting points have more positive mobility outcomes than whites. Additionally, elements traditionally associated with minority oppositional subcultures, such as negative views of race relations in the U.S. and experiences of discrimination, are related to positive economic mobility and classical acculturation paths for children of immigrants. These results indicate that exposure to native minorities may not have the detrimental effects that segmented assimilation alleges. Among the protective factors, while parent-youth relationships are consistently important for predicting economic and cultural assimilation, I find little evidence that cultural attachments promote greater economic success among immigrants' offspring. These results suggest that immigrants' cultural attributes may be less important for their success than the quality of their family relationships. (PsycINFO Database Record (c) 2016 APA, all rights reserved)</t>
  </si>
  <si>
    <t>http://search.ebscohost.com.proxy-ub.rug.nl/login.aspx?direct=true&amp;db=psyh&amp;AN=2009-99150-448&amp;site=ehost-live&amp;scope=site</t>
  </si>
  <si>
    <t>Shifts in Hmong culture: Competing medical frameworks.</t>
  </si>
  <si>
    <t>Franzen-Castle, Lisa; Smith, Chery</t>
  </si>
  <si>
    <t>2013-24031-022</t>
  </si>
  <si>
    <t>10.1007/s10903-012-9659-6</t>
  </si>
  <si>
    <t>Acculturation; Cross Cultural Differences; Immigration; Modernization; Southeast Asian Cultural Groups; Language; Childhood (birth-12 yrs); School Age (6-12 yrs); Adolescence (13-17 yrs); Adulthood (18 yrs &amp; older); Young Adulthood (18-29 yrs); Thirties (30-39 yrs); Middle Age (40-64 yrs); Male; Female</t>
  </si>
  <si>
    <t>The objective of this study was to examine how language contraction, acculturation, and perception of modernity impact medicinal practices among younger and older generations of Hmong. Focus groups were conducted with newly immigrated and well established Hmong adults (n = 69) and children (n = 68) in St. Paul/Minneapolis, MN, USA. Dominant themes were language contraction and cultural loss, with subthemes on household dynamics, the educational system, and Western versus traditional Hmong medicinal practices. As younger generations acculturate to the United States (US) environment, there is potential for a restructuring of their medical culture resulting in a loss or silencing of pertinent cultural information regarding traditional medicine and therapies. The information from this study will be useful for educators, community leaders and health professionals to better understand changes occurring within the Hmong culture as traditions and cultural practices acculturate to the US environment. (PsycINFO Database Record (c) 2016 APA, all rights reserved)</t>
  </si>
  <si>
    <t>http://search.ebscohost.com.proxy-ub.rug.nl/login.aspx?direct=true&amp;db=psyh&amp;AN=2013-24031-022&amp;site=ehost-live&amp;scope=site</t>
  </si>
  <si>
    <t>Sleep and development: Advancing theory and research: III. Sleep assessment methods.</t>
  </si>
  <si>
    <t>Sadeh, Avi</t>
  </si>
  <si>
    <t>Monographs of the Society for Research in Child Development</t>
  </si>
  <si>
    <t>2015-08252-004</t>
  </si>
  <si>
    <t>10.1111/mono.12143</t>
  </si>
  <si>
    <t>Childhood Development; Infant Development; Measurement; Methodology; Sleep; Observation Methods; Polysomnography; Journal Writing; Actigraphy; Childhood (birth-12 yrs); Infancy (2-23 mo); Preschool Age (2-5 yrs); School Age (6-12 yrs)</t>
  </si>
  <si>
    <t>ABSTRACT Sleep is a complex phenomenon that could be understood and assessed at many levels. Sleep could be described at the behavioral level (relative lack of movements and awareness and responsiveness) and at the brain level (based on EEG activity). Sleep could be characterized by its duration, by its distribution during the 24‐hr day period, and by its quality (e.g., consolidated versus fragmented). Different methods have been developed to assess various aspects of sleep. This chapter covers the most established and common methods used to assess sleep in infants and children. These methods include polysomnography, videosomnography, actigraphy, direct observations, sleep diaries, and questionnaires. The advantages and disadvantages of each method are highlighted. (PsycINFO Database Record (c) 2018 APA, all rights reserved)</t>
  </si>
  <si>
    <t>http://search.ebscohost.com.proxy-ub.rug.nl/login.aspx?direct=true&amp;db=psyh&amp;AN=2015-08252-004&amp;site=ehost-live&amp;scope=site</t>
  </si>
  <si>
    <t>Social identities: A framework for studying the adaptations of immigrants and ethnics: The adaptations of Mexicans in the United States.</t>
  </si>
  <si>
    <t>Hurtado, Aída; Gurin, Patricia; Peng, Timothy</t>
  </si>
  <si>
    <t>Social Problems</t>
  </si>
  <si>
    <t>1994-37107-001</t>
  </si>
  <si>
    <t>10.1525/sp.1994.41.1.03x0429m</t>
  </si>
  <si>
    <t>Acculturation; Ethnic Identity; Immigration; Mexican Americans; Social Identity; Adulthood (18 yrs &amp; older)</t>
  </si>
  <si>
    <t>Examined how 2 groups of Mexicans in the US, Mexicanos and Chicanos, differ in their social identities and in their cultural adaptations. Ss were 318 Mexicanos (individuals born in Mexico) and 445 Chicanos (born in the US). As predicted by social identity theory, the differences in the structural and historical conditions experienced by immigrants and ethnics resulted in a more differentiated identity structure for Chicanos than for Mexicanos. The content of the social identities of the 2 groups also showed important differences according to their accessibility to outgroup comparisons through mastery of the English language. Ethnicity was infused in nearly all of the social identities of both groups, but ethnicity was constructed differently by the Mexicanos and Chicanos. (PsycINFO Database Record (c) 2016 APA, all rights reserved)</t>
  </si>
  <si>
    <t>http://search.ebscohost.com.proxy-ub.rug.nl/login.aspx?direct=true&amp;db=psyh&amp;AN=1994-37107-001&amp;site=ehost-live&amp;scope=site</t>
  </si>
  <si>
    <t>Social markers of acculturation: A new research framework on intercultural adaptation.</t>
  </si>
  <si>
    <t>2013-32535-001</t>
  </si>
  <si>
    <t>Acculturation; Cross Cultural Communication; Immigration; Social Adjustment; Social Influences; Cross Cultural Differences; Economic Security; Society; Socioeconomic Status; Adulthood (18 yrs &amp; older); Middle Age (40-64 yrs); Male; Female</t>
  </si>
  <si>
    <t>The research examines the social construction of acculturation and naturalization from the perspectives of both native and immigrant citizens in Singapore. More specifically, what and by how much must immigrants do in order to be considered a full participating member in the adopted society? The convergence and divergence of viewpoints will illuminate the perceptual gaps between native and immigrant communities. In addition, the composite score of the markers will provide a measurement of social inclusiveness; it reflects the depth of psychological barriers imposed by the individual in preserving the distinct boundaries of citizenship. Multivariate analyzes showed that the two groups reacted differently to the challenges and benefits from immigration. Surprisingly, naturalized citizens were more sensitive to the impact of perceived immigrant threats and contribution even though they imposed fewer barriers to the new arrivals in becoming a part of the mainstream society. The definition of socio-economic confidence and how it may moderate acculturation attitude will also be discussed. (PsycINFO Database Record (c) 2017 APA, all rights reserved)</t>
  </si>
  <si>
    <t>http://search.ebscohost.com.proxy-ub.rug.nl/login.aspx?direct=true&amp;db=psyh&amp;AN=2013-32535-001&amp;site=ehost-live&amp;scope=site</t>
  </si>
  <si>
    <t>Social representations, social identity, and inter-group acculturation theories: An integrative model of adolescent immigrant identity construction.</t>
  </si>
  <si>
    <t>Mana, Adi; Orr, Emda; Mana, Yosef</t>
  </si>
  <si>
    <t>Megamot</t>
  </si>
  <si>
    <t>2009-05477-002</t>
  </si>
  <si>
    <t>National Inst for Research in the Behavioral Sciences</t>
  </si>
  <si>
    <t>Acculturation; Adolescent Development; Immigration; Psychosocial Development; Social Identity; Models; Theories; Adolescence (13-17 yrs)</t>
  </si>
  <si>
    <t>The manuscript describes a comparison between construction of representations of adolescents' immigrant identity by immigrant high school students from the former USSR and Ethiopia, and identity representations attributed to them by Israeli native students. The model is derived from an integration of three distinct theoretical traditions: Social Representations Theory (SRT), Social Identity Theory (SIT), and Berry's model of acculturation tendencies (BAT). SRT describes the content of identities, and contends that they are context and time specific constructions largely shared by members of a society, by which they locate themselves relative to other social sectors within a shared meta-system. SRT theory does not offer specific instrumental operations for its measurement. SIT and BAT, in contrast, offer instrumental operations (strategies) derived from each theory. According to Tajfei, immigrants as well as minority groups seek ways to enhance their social status. Berry, however, focuses on immigrant acculturation tendencies resulting from their positioning between their original culture and their new one. In our model, we combined strategies from each of the theories, but instead of choosing between them, based on SRT, we used Gunman's method of Smallest Space Analysis to explore how the immigrants and their non-immigrant peers constructed the strategies discussed in the SIT and BAT models. Based on this theoretical rationale, the research hypothesis predicted that a shared construction of immigrant identities would be found for immigrants and native high school students (as suggested by SRT), and that immigrant identities would be constructed according to dimensions of power and acculturation tendencies (in line with SIT and BAT). The findings, based on 621 high school students, supported these hypotheses. (PsycINFO Database Record (c) 2016 APA, all rights reserved)</t>
  </si>
  <si>
    <t>http://search.ebscohost.com.proxy-ub.rug.nl/login.aspx?direct=true&amp;db=psyh&amp;AN=2009-05477-002&amp;site=ehost-live&amp;scope=site</t>
  </si>
  <si>
    <t>Social-developmental perspective on intergroup attitudes towards immigrants and refugees in childhood and adolescence: A roadmap from theory to practice for an inclusive society.</t>
  </si>
  <si>
    <t>Gönültaş, Seçil; Mulvey, Kelly Lynn</t>
  </si>
  <si>
    <t>2019-70359-003</t>
  </si>
  <si>
    <t>Adolescent Development; Attitudes; Immigration; Intergroup Dynamics; Refugees; Childhood Development; Ingroup Outgroup; Social Groups; Childhood (birth-12 yrs); Adolescence (13-17 yrs)</t>
  </si>
  <si>
    <t>The unprecedented rates of migration throughout the world have raised concerns about the social integration of immigrants and refugees due to possible experiences of prejudice, discrimination, and hostility from members of the host society. In this article, we review developmental and social theories and related research outlining children’s and adolescents’ intergroup attitudes towards immigrants and refugees. The discussion then moves to social agents that help shape children’s and adolescents’ attitudes regarding these relations. Theory-driven, empirically tested intervention studies that could potentially promote children’s and adolescents’ attitudes towards immigrants and refugees are discussed. We also address the limitations of current interventions, which were the starting points for this paper. Finally, we highlight important avenues for future research and make specific recommendations for practitioners and policy makers striving to promote harmonious intergroup relations across childhood and adolescence in social settings. (PsycInfo Database Record (c) 2020 APA, all rights reserved)</t>
  </si>
  <si>
    <t>http://search.ebscohost.com.proxy-ub.rug.nl/login.aspx?direct=true&amp;db=psyh&amp;AN=2019-70359-003&amp;site=ehost-live&amp;scope=site</t>
  </si>
  <si>
    <t>Sociological theories of immigration: Pathways to integration for U.S. immigrants.</t>
  </si>
  <si>
    <t>Lee, Chris</t>
  </si>
  <si>
    <t>2010-11324-007</t>
  </si>
  <si>
    <t>10.1080/10911350902910906</t>
  </si>
  <si>
    <t>Immigration; Social Interaction; Sociology; Theories; Society</t>
  </si>
  <si>
    <t>This literature review examines major theoretical frameworks utilized by sociologists in examining the processes by which immigrants are incorporated into a host society. Beginning with classical assimilation theory in the 1920s, theorists defined the incorporation process as a linear path for all immigrants, regardless of group characteristics or social context. The responsibility for change was placed solely on the immigrant group. By the 1960s, theorists had redefined assimilation to acknowledge different paths of integration influenced by interactions of immigrant group characteristics with the host society context. Modern theories branching from classic assimilation theory include segmented assimilation and spatial assimilation and theories focusing on ethnic group influences. The review concludes with implications for better understanding influences of interactions between human behavior and the social environment as they relate to immigrant populations. (PsycINFO Database Record (c) 2016 APA, all rights reserved)</t>
  </si>
  <si>
    <t>http://search.ebscohost.com.proxy-ub.rug.nl/login.aspx?direct=true&amp;db=psyh&amp;AN=2010-11324-007&amp;site=ehost-live&amp;scope=site</t>
  </si>
  <si>
    <t>Socio-structural barriers, problem drinking behaviors, and intimate partner violence within a Bhutanese-Nepali refugee community: A qualitative examination using a general strain theory framework.</t>
  </si>
  <si>
    <t>Carter, James</t>
  </si>
  <si>
    <t>2020-79978-035</t>
  </si>
  <si>
    <t>Alcohol Abuse; Coping Behavior; Drinking Behavior; Intimate Partner Violence; Refugees; Stress; Violence; Treatment Barriers</t>
  </si>
  <si>
    <t>Beginning in 2008, thousands of Bhutanese-Nepali refugees who had been forcefully displaced from their homes were re-settled in northeast Ohio. Service providers that work within this community noted significant levels of problematic alcohol consumption among Bhutanese-Nepali refugees. This alcohol misuse was noted to be associated with intimate partner violence and major health problems among refugees. The goal of this dissertation was twofold; to examine the relationships between social barriers and the sources of strain that refugees deal with in their daily lives, and to explore the link between these barriers and adverse behavioral outcomes such as problem drinking and violence. Agnew's (1992) General Strain Theory (GST) is used to explain the relationship between refugee barriers and deviant behavioral outcomes. This research is based on an analysis of 66 qualitative interviews collected from April to July 2017 with 100 Bhutanese-Nepali refugees from a single community. Findings show that major sources of strain for Bhutanese-Nepali refugees include language acquisition, employment problems, and acculturation stress. These sources of strain contribute to problem drinking behaviors due to a lack of coping resources among Bhutanese-Nepali refugees that would support non-deviant coping. The use of alcohol to cope may then contribute to criminal behavioral outcomes such as intimate partner violence. These findings imply that interventions aimed at reducing problematic alcohol use within this community must also be aimed at reducing the underlying sources of refugee strains that can lead to the misuse of alcohol and the negative consequences thereof. (PsycInfo Database Record (c) 2020 APA, all rights reserved)</t>
  </si>
  <si>
    <t>http://search.ebscohost.com.proxy-ub.rug.nl/login.aspx?direct=true&amp;db=psyh&amp;AN=2020-79978-035&amp;site=ehost-live&amp;scope=site</t>
  </si>
  <si>
    <t>Some theoretical problems in the study of youth.</t>
  </si>
  <si>
    <t>Allen, S.</t>
  </si>
  <si>
    <t>The Sociological Review</t>
  </si>
  <si>
    <t>2011-19344-002</t>
  </si>
  <si>
    <t>10.1111/j.1467-954X.1968.tb01300.x</t>
  </si>
  <si>
    <t>Routledge &amp; Kegan Paul</t>
  </si>
  <si>
    <t>Immigration; Socialization; Society; Sociology</t>
  </si>
  <si>
    <t>Young people in industrialized societies share in a common experience of being considered non-adult and are excluded from full participation in adult society. They are admitted into adult status by formal and informal processes, which can be abrupt or gradual and which in Britain take place at different ages in different areas of social activity. In investigating the position of coloured, immigrant youth in Great Britain this model of an integrative social system articulated through common values is inadequate and moreover misleading. It leads to conceptualizing the problems in terms of value differences and sees the resolution of these problems in terms of adequate socialization for integration into British society. The social position of youth cannot be separated from the overall social structure in which it is located nor can the approach to youth, as a sociological problem, be understood apart from the general theoretical scheme which is used, implicitly or explicitly, to define and analyze the problem. In putting forward a perspective in which the 'problems' associated with youth can be seen as more general problems, many areas frequently associated with youth have been neglected. The aim of the paper has been, however, not to cover 'youth problems' comprehensively but to argue that a new approach to the subject, which puts it firmly into a framework of dialectical structural change, will prove more fruitful both for the analysis of past work and for future research. (PsycINFO Database Record (c) 2017 APA, all rights reserved)</t>
  </si>
  <si>
    <t>http://search.ebscohost.com.proxy-ub.rug.nl/login.aspx?direct=true&amp;db=psyh&amp;AN=2011-19344-002&amp;site=ehost-live&amp;scope=site</t>
  </si>
  <si>
    <t>Strategies for health education: Theoretical models.</t>
  </si>
  <si>
    <t>Elder, John P.; Apodaca, J. Xavier; Parra-Medina, Deborah; Zuñiga de Nuncio, Maria Luisa</t>
  </si>
  <si>
    <t>Handbook of immigrant health.</t>
  </si>
  <si>
    <t>1998-06602-023</t>
  </si>
  <si>
    <t>10.1007/978-1-4899-1936-6_27</t>
  </si>
  <si>
    <t>Plenum Press</t>
  </si>
  <si>
    <t>Behavior Change; Health Attitudes; Health Behavior; Immigration; Sociocultural Factors; Disorders; Politics; Socioeconomic Status; Theories; Latinos/Latinas</t>
  </si>
  <si>
    <t>Discusses the 6 health behavior change theories: the Health Belief model, the PRECEDE model, the theory of Reasoned Action, social cognitive theory, behavior analysis, and the Stages of Change model. These theories are deemed relevant to immigrant health due more to their popularity among health psychologists and public educators in the US and industrialized countries than to their necessary relevance to immigrant populations and their cultures. Three factors common to the 6 theories of behavior change are reviewed and examples of their application to Latinos and especially Mexican immigrants are given. The 3 factors are: intention, environmental facilitators and constraints, and skills. To support the argument that health behavior may be driven by broader societal factors than theoretical factors typically addressed in health behavior theory, the authors present the 3 most salient issues affecting immigrants: SES, the geographical proximity of the homeland, and the political atmosphere in which new immigrants may find themselves. Latino cultural beliefs surrounding illness, factors influencing Latino health beliefs and practices, and acculturation and health are also discussed. (PsycInfo Database Record (c) 2020 APA, all rights reserved)</t>
  </si>
  <si>
    <t>http://search.ebscohost.com.proxy-ub.rug.nl/login.aspx?direct=true&amp;db=psyh&amp;AN=1998-06602-023&amp;site=ehost-live&amp;scope=site</t>
  </si>
  <si>
    <t>Stress and coping strategies in the lives of recent immigrants: A grounded theory model.</t>
  </si>
  <si>
    <t>Yakushko, Oksana</t>
  </si>
  <si>
    <t>2010-23342-004</t>
  </si>
  <si>
    <t>10.1007/s10447-010-9105-1</t>
  </si>
  <si>
    <t>Coping Behavior; Grounded Theory; Immigration; Stress; Acculturation; Communities; Strategies; Male; Female</t>
  </si>
  <si>
    <t>A grounded theory was utilized to develop a model of stress and coping experienced by recent immigrants to the United States. Maximum variation sampling was used to gather data from 20 leaders within immigrant and refugee communities in a Midwest U.S. city. A theoretical model was developed by identifying causal conditions, contexts, intervening conditions, and consequences related to experiences of stress and coping. Specific propositions in regard to the process of stress, coping, and adaptation among recent immigrants were made. Implications for clinical services and research with this population are considered. (PsycINFO Database Record (c) 2016 APA, all rights reserved)</t>
  </si>
  <si>
    <t>http://search.ebscohost.com.proxy-ub.rug.nl/login.aspx?direct=true&amp;db=psyh&amp;AN=2010-23342-004&amp;site=ehost-live&amp;scope=site</t>
  </si>
  <si>
    <t>Test of a cultural framework of parenting with Latino families of young children.</t>
  </si>
  <si>
    <t>2012-15530-001</t>
  </si>
  <si>
    <t>Early Experience; Ethnic Values; Socialization; Parenting; Latinos/Latinas; Family; Childhood (birth-12 yrs); Preschool Age (2-5 yrs); Adulthood (18 yrs &amp; older); Male; Female</t>
  </si>
  <si>
    <t>This study examined the mental health and academic functioning of 442 4- and 5-year old children of Mexican (MA) and Dominican (DA) immigrant mothers using a cultural framework of Latino parenting. Data were collected on mothers' self-reported acculturative status, parenting practices and cultural socialization, and on children's behavioral functioning (mother- and teacher-report) and school readiness (child test). Results provide partial support for the validity of the framework in which mothers' acculturative status and socialization of respeto (a Latino cultural value of respect) and independence (a U.S. American cultural value) predict parenting practices. For both groups, English language competence was related to less socialization of respeto, and other domains of acculturative status (i.e., U.S. American/ethnic identity, and U.S. American/ethnic cultural competence) were related to more socialization of respeto and independence. Socialization of respeto was related to the use of authoritarian practices and socialization of independence was related to the use of authoritative practices. Socialization of respeto was also related to lower school readiness for DA children, whereas socialization of independence was related to higher school readiness for MA children. Independence was also related to higher teacher-rated externalizing problems for MA children. For both groups, authoritarian parenting was associated with more parent-reported internalizing and externalizing problems. The discussion focuses on ethnic subgroup differences and similarities to further understanding of Latino parenting from a cultural perspective. (PsycINFO Database Record (c) 2016 APA, all rights reserved)</t>
  </si>
  <si>
    <t>http://search.ebscohost.com.proxy-ub.rug.nl/login.aspx?direct=true&amp;db=psyh&amp;AN=2012-15530-001&amp;site=ehost-live&amp;scope=site</t>
  </si>
  <si>
    <t>Testing the influence of cultural determinants on help-seeking theory.</t>
  </si>
  <si>
    <t>Saint Arnault, Denise; Woo, Seoyoon</t>
  </si>
  <si>
    <t>2018-43268-001</t>
  </si>
  <si>
    <t>10.1037/ort0000353</t>
  </si>
  <si>
    <t>Health Care Seeking Behavior; Human Females; Mental Disorders; Risk Factors; Social Influences; Distress; Health Care Utilization; Immigration; Japanese Americans; Sociocultural Factors; Test Construction; Theories; Adulthood (18 yrs &amp; older); Female</t>
  </si>
  <si>
    <t>Despite increased risks for mental health problems, East Asian immigrant women have the lowest overall service-utilization rates of any cultural group in the United States. Although the influence of cultural processes as the cause of low service use is widely speculated, no empirical study has tested cultural determinants (including culturally specific idioms of distress, culture-based illness interpretations, or concerns about social consequences), social contextual factors, perceived need (PN), and help-seeking (HS) behaviors. In the present study, we examined how cultural determinants, such as symptom experience, beliefs and interpretations, and perceptions about the social environment, affect PN and HS type for Japanese women living in the United States. Increasing physical symptom severity increased the predicted probability of endorsing PN. For those participants with PN, 48.6% of them used medical HS (χ2 = 11.27, p = .00), and 12.5% of them used the psychological HS (χ2 = 7.43, p = .01). Multivariate logistic regression revealed that, when PN is considered with the other cultural variables while controlling for structural variables, PN increases the odds of medical HS (OR = 2.78, 95% CI [1.0–5.8], p &lt; .01). The odds of medical HS are also increased with higher social support (OR = 1.07, 95% CI [1.0–1.1], p &lt; .01). Finally, the presence of interpersonal stigma beliefs decreased the odds of medical HS (OR = 2.4, 95% CI [1.1–5.3], p &lt; .03). Clinical and research implications are discussed. (PsycINFO Database Record (c) 2018 APA, all rights reserved)</t>
  </si>
  <si>
    <t>http://search.ebscohost.com.proxy-ub.rug.nl/login.aspx?direct=true&amp;db=psyh&amp;AN=2018-43268-001&amp;site=ehost-live&amp;scope=site</t>
  </si>
  <si>
    <t>The complexities of immigration and families: Theoretical perspectives and current issues.</t>
  </si>
  <si>
    <t>Chuang, Susan S.</t>
  </si>
  <si>
    <t>APA handbook of contemporary family psychology: Applications and broad impact of family psychology., Vol. 2.</t>
  </si>
  <si>
    <t>2018-59955-027</t>
  </si>
  <si>
    <t>10.1037/0000100-027</t>
  </si>
  <si>
    <t>Acculturation; Culture (Anthropological); Family Relations; Family; Immigration; Cross Cultural Differences</t>
  </si>
  <si>
    <t>This chapter begins with a brief overview of global immigration patterns, with a particular focus on Canada and the United States, to illustrate how neighboring countries may differ in their approach to immigration. It then discusses some of the key historical concepts and frameworks that have guided the research on immigrant families, followed by more recent acculturation theories. The chapter focuses particularly on immigrant families and their cultural contexts, with some discussion of worldviews on cultural orientation (i.e., individualism and collectivism). It explores parent-child discrepancies in acculturation processes and the extent to which they impact child development. In addition, it discusses the acculturation process as it relates to families' dynamics, intergenerational gaps and conflicts, and cultural and language brokering. The chapter also reviews the increasing attention to fathering in the immigration literature, and discusses how fathers may have unique contributions to child and youth development. (PsycInfo Database Record (c) 2020 APA, all rights reserved)</t>
  </si>
  <si>
    <t>http://search.ebscohost.com.proxy-ub.rug.nl/login.aspx?direct=true&amp;db=psyh&amp;AN=2018-59955-027&amp;site=ehost-live&amp;scope=site</t>
  </si>
  <si>
    <t>The conceptualization of depression and acculturative stress among Latino immigrants: A comparison of scores from Non-Hispanic Whites and persons of Mexican origin on the Center for Epidemiologic Studies Depression Scale-Revised (CESD-R).</t>
  </si>
  <si>
    <t>Walsh, Tasanee</t>
  </si>
  <si>
    <t>1-B(E)</t>
  </si>
  <si>
    <t>2015-99140-217</t>
  </si>
  <si>
    <t>Acculturation; Foreign Language Translation; Psychometrics; Test Reliability; Test Validity; Major Depression; Rating Scales; Stress</t>
  </si>
  <si>
    <t>This dissertation examines and compares the influence of acculturative stress on the experience of depressive symptoms among Non-Hispanic Whites and persons of Mexican origin. The objectives of this dissertation are threefold: First, to develop an expanded and integrated explanatory model of Latino acculturative stress that accounts for culture, stress and coping, cognitive appraisal, timing, and family and neighborhood factors; second, to evaluate the reliability and validity evidence of the English language version of the CESD-R; and third, to evaluate the reliability and validity evidence of the Spanish language version of the CESD-R. The first manuscript posits an explanatory model that expands upon and integrates work by Berry (2006) and most notably adds the dimension of family and neighborhood. Recent research findings on Latino immigrant depression point toward the importance of understanding and leveraging the protective nature of neighborhood and family (Breslau, 2011; Shell, Peek, &amp; Eschbach, 2013). The second manuscript evaluates the validity and reliability evidence of the English language version of the CESD-R. The results of an EFA, CFAs, and a multiple-group CFA of the English version of the CESD-R suggest that a 15-item version of the CESD-R best fit the study data. The final two-factor solution of negative mood and functional impairment and suicide, fit the data well. The third manuscript evaluates the reliability and validity evidence of the Spanish language version of the CESD-R. The scores of the Spanish Language version of the CESD-R fit the same CESD-R factor structure of Manuscript II. The results support the use of the 15-item version of the CESD-R with a Spanish speaking sample. This suggests that despite cultural differences, there are common cross-cultural components of depression that relate to negative mood and functional impairment and suicide. (PsycINFO Database Record (c) 2016 APA, all rights reserved)</t>
  </si>
  <si>
    <t>http://search.ebscohost.com.proxy-ub.rug.nl/login.aspx?direct=true&amp;db=psyh&amp;AN=2015-99140-217&amp;site=ehost-live&amp;scope=site</t>
  </si>
  <si>
    <t>The culture of Mexican migration: A theoretical and empirical analysis.</t>
  </si>
  <si>
    <t>Kandel, William; Massey, Douglas S.</t>
  </si>
  <si>
    <t>Social Forces</t>
  </si>
  <si>
    <t>2002-12703-004</t>
  </si>
  <si>
    <t>10.1353/sof.2002.0009</t>
  </si>
  <si>
    <t>University of North Carolina Press</t>
  </si>
  <si>
    <t>Acculturation; Adolescent Attitudes; Human Migration; Latinos/Latinas; Occupational Aspirations; Childhood (birth-12 yrs); School Age (6-12 yrs); Adolescence (13-17 yrs); Adulthood (18 yrs &amp; older); Young Adulthood (18-29 yrs); Male; Female</t>
  </si>
  <si>
    <t>Many field investigators have observed the evolution of a 'culture of migration' in certain Mexican communities characterized by a high rate of out-migration to the US. Within such communities, international migration becomes so deeply rooted that the prospect of transnational movement becomes normative: young people 'expect' to live and work in the US at some point in their lives. Males, especially, come to see migration as a normal part of the life course, representing a marker of the transition to manhood, in addition to being a widely accepted vehicle for economic mobility. International migration is cultural in the sense that the aspiration to migrate is transmitted across generations and between people through social networks. In this article, the authors develop a formal theory of the culture of migration and test it using 7,061 students in grades 6-12 (ages 9-23). Results show that children from families involved in US migration are more likely to aspire to live and work in the US and that these aspirations, in turn, influence their behavior, lowering the odds that they will continue in school, and raising the odds of their eventual out-migration to the US. (PsycINFO Database Record (c) 2016 APA, all rights reserved)</t>
  </si>
  <si>
    <t>http://search.ebscohost.com.proxy-ub.rug.nl/login.aspx?direct=true&amp;db=psyh&amp;AN=2002-12703-004&amp;site=ehost-live&amp;scope=site</t>
  </si>
  <si>
    <t>The emergence of self in the bicultural space among Polish immigrant women: A critical integration of self psychology and Winnicott's theory (D. W. Winnicott).</t>
  </si>
  <si>
    <t>Byskosh, Maria Magdalena</t>
  </si>
  <si>
    <t>4-B</t>
  </si>
  <si>
    <t>2007-99200-326</t>
  </si>
  <si>
    <t>Ethnic Identity; Immigration; Self-Concept; Self Psychology; Sociocultural Factors; Cultural Identity; Female</t>
  </si>
  <si>
    <t>Every year a great number of women immigrate from Poland to the United States. Adjustment to a new culture is a difficult process and can have an impact on a woman's self, self image, and identity. The creation of identity requires a culture with systems, language, and images. Therefore, how can a woman recreate her own identity and find new meaning of the self in a new culture? This is an important question not only for the individuals themselves but for those who work with them. Due to the lack of attention paid to this group, mental health professionals and others who provide services to them may be unaware of the particular issues these women face. These women face challenges to their identity and sense of self that can be best explained from a psychodynamic point of view. Therefore, using the heuristic research model, this theoretical research investigates the impact of immigration and living in the bicultural environment on the self structure of young Polish immigrant women. Concepts from two different theoretical orientations, self psychology and Winnicott's and his followers' theories, are used to examine the emergence of the self in this particular immigrant group. Specific emphasis is put on the process of reconstruction of the self in the bicultural environment. The dissertation begins with an explanation of pre-immigration and immigration stages and a discussion of the structure of the self among young Polish immigrant women. Next, an investigation of the process of assimilation to a new environment is conducted. After this, the concept of the bicultural space, seen as significant in understanding the bicultural woman's inner experience, is introduced. Then, in order to illustrate these concepts and provide a portrayal of a typical Polish immigrant, the hypothetical case of a young Polish woman named Anna is presented. Finally, the concept of the bicultural identity is presented, followed by a discussion of the research, including the analysis of five models of second culture acquisition and the incorporation of new findings. (PsycInfo Database Record (c) 2020 APA, all rights reserved)</t>
  </si>
  <si>
    <t>http://search.ebscohost.com.proxy-ub.rug.nl/login.aspx?direct=true&amp;db=psyh&amp;AN=2007-99200-326&amp;site=ehost-live&amp;scope=site</t>
  </si>
  <si>
    <t>The Experiences of Young Korean Immigrants: A Grounded Theory of Negotiating Social, Cultural, and Generational Boundaries.</t>
  </si>
  <si>
    <t>Kim, Sun Seog</t>
  </si>
  <si>
    <t>2004-95072-007</t>
  </si>
  <si>
    <t>10.1080/01612840490443464</t>
  </si>
  <si>
    <t>Boundaries (Psychological); Immigration; Korean Cultural Groups; Theories; Generational Differences; Adjustment; Grounded Theory; Sociocultural Factors; Adulthood (18 yrs &amp; older); Male; Female</t>
  </si>
  <si>
    <t>The experiences of young Korean immigrants in the U.S. were explored through in-depth interviews with 19 participants. The research method employed was Grounded Theory whereby data collection and analysis were conducted concurrently. Study findings indicated that the young immigrants engaged in the process of negotiating social, cultural, and generational boundaries in order to adapt in the new country. Several structural and personal factors were identified as salient conditions of the process. These findings will help health care professionals have a better understanding of how young immigrants adapt in their new environment and what structural and personal conditions play a main role in this adaptation. (PsycINFO Database Record (c) 2016 APA, all rights reserved)</t>
  </si>
  <si>
    <t>http://search.ebscohost.com.proxy-ub.rug.nl/login.aspx?direct=true&amp;db=psyh&amp;AN=2004-95072-007&amp;site=ehost-live&amp;scope=site</t>
  </si>
  <si>
    <t>The impact of the assimilation of migrants on the well-being of native inhabitants: A theory.</t>
  </si>
  <si>
    <t>Journal of Economic Behavior &amp; Organization</t>
  </si>
  <si>
    <t>2015-10015-006</t>
  </si>
  <si>
    <t>Acculturation; Immigration; Well Being; Prediction; Theories</t>
  </si>
  <si>
    <t>We present a theory that systematically and causally links the well-being of native inhabitants with variation in the extent of the assimilation of migrants. Recent empirical findings are yielded as predictions of the theory. (PsycInfo Database Record (c) 2020 APA, all rights reserved)</t>
  </si>
  <si>
    <t>http://search.ebscohost.com.proxy-ub.rug.nl/login.aspx?direct=true&amp;db=psyh&amp;AN=2015-10015-006&amp;site=ehost-live&amp;scope=site</t>
  </si>
  <si>
    <t>The process of acculturation: Theoretical perspectives and an empirical investigation in Peru.</t>
  </si>
  <si>
    <t>Richman, Judith A.; Gaviria, Moises; Flaherty, Joseph A.; Birz, Susan; Wintrob, Ronald M.</t>
  </si>
  <si>
    <t>1988-32467-001</t>
  </si>
  <si>
    <t>10.1016/0277-9536(87)90042-6</t>
  </si>
  <si>
    <t>Acculturation; Human Migration; Rural Environments; Urban Environments; Ethnic Identity; Language; Sociability; Social Discrimination; Social Perception; Adulthood (18 yrs &amp; older)</t>
  </si>
  <si>
    <t>Examined overall acculturation and 5 subdimensions (language use, customs, sociability, perceived discrimination, and ethnic identity) in 209 Indian rural and urban migrants and 64 White nonmigrants in Lima, Peru. Data show that 2nd generation migrants were more highly acculturated across subareas and perceived less ethnic discrimination than 1st generation migrants. The 1st generation varied in acculturative level across subdimensions as a function of their age at the time of migration. Contrasts between migrant and dominant groups depicted a 2-way process of culture change, but a process characterized by an inequality in the content exchanged in each direction. Sociodemographic correlates of acculturation were also found. Results are discussed in terms of the potential psychological consequences of alternative acculturative adaptations within the Peruvian social-structural context. (PsycINFO Database Record (c) 2016 APA, all rights reserved)</t>
  </si>
  <si>
    <t>http://search.ebscohost.com.proxy-ub.rug.nl/login.aspx?direct=true&amp;db=psyh&amp;AN=1988-32467-001&amp;site=ehost-live&amp;scope=site</t>
  </si>
  <si>
    <t>The psychosocial adjustment of the Southeast Asian refugee: An overview of empirical findings and theoretical models.</t>
  </si>
  <si>
    <t>Nicassio, Perry M.</t>
  </si>
  <si>
    <t>1986-14283-001</t>
  </si>
  <si>
    <t>10.1177/0022002185016002002</t>
  </si>
  <si>
    <t>Acculturation; Asians; Emotional Adjustment; Immigration; Social Adjustment; Individual Differences; Learned Helplessness; Southeast Asian Cultural Groups; Stress Management</t>
  </si>
  <si>
    <t>Reviews the clinical and research literature on the psychosocial adjustment of the Southeast Asian refugees in the US and proposes the adoption of theoretical models that may be helpful in explaining individual differences in adjustment processes. Available evidence indicates that depression and stress-related symptoms are commonly found in refugees, whereas age, English proficiency, and socioeconomic indicators have been correlated with adjustment variables. Acculturation, learned helplessness, and stress management models appear to be beneficial in conceptualizing refugee adjustment problems and in providing a rational foundation for future research efforts. (43 ref) (PsycINFO Database Record (c) 2016 APA, all rights reserved)</t>
  </si>
  <si>
    <t>http://search.ebscohost.com.proxy-ub.rug.nl/login.aspx?direct=true&amp;db=psyh&amp;AN=1986-14283-001&amp;site=ehost-live&amp;scope=site</t>
  </si>
  <si>
    <t>The retreat of multiculturalism in the liberal state: Theory and policy.</t>
  </si>
  <si>
    <t>Joppke, Christian</t>
  </si>
  <si>
    <t>British Journal of Sociology</t>
  </si>
  <si>
    <t>2004-16317-004</t>
  </si>
  <si>
    <t>10.1111/j.1468-4446.2004.00017.x</t>
  </si>
  <si>
    <t>Cross Cultural Differences; Minority Groups; Multiculturalism; Public Opinion; Socioeconomic Status</t>
  </si>
  <si>
    <t>This article discusses a recent retreat of multiculturalism in the liberal state. This retreat has occurred both at the level of theory and policy. With the help of some recent liberal critiques of multiculturalism, the first part maps out some shortcomings of the notion of minority integration through cultural recognition, particularly with respect to immigrants. The second part discusses a retreat from multiculturalism policies in three states that had been prominently committed to them: Australia, the Netherlands, and Britain. This practical retreat of multiculturalism is due to a variety of factors, their importance differing across cases: the chronic lack of public support for multiculturalism policies; inherent deficits and failures of multiculturalism policies, especially in socio-economic respect; and a new assertiveness of the liberal state to impose liberal principles. (PsycINFO Database Record (c) 2016 APA, all rights reserved)</t>
  </si>
  <si>
    <t>http://search.ebscohost.com.proxy-ub.rug.nl/login.aspx?direct=true&amp;db=psyh&amp;AN=2004-16317-004&amp;site=ehost-live&amp;scope=site</t>
  </si>
  <si>
    <t>The role of cultural variables in the victimization-delinquency overlap among Latino youth: A general strain theory perspective.</t>
  </si>
  <si>
    <t>Cudmore, Rebecca M.</t>
  </si>
  <si>
    <t>8-A(E)</t>
  </si>
  <si>
    <t>2017-23160-125</t>
  </si>
  <si>
    <t>Juvenile Delinquency; Victimization; Latinos/Latinas; Sociocultural Factors; Adolescence (13-17 yrs)</t>
  </si>
  <si>
    <t>Although criminological research has provided support for the relationship between victimization and delinquency more broadly, little is known about the relationship between victimization and delinquency (i.e. the victimization-delinquency overlap) among certain ethno-racial minorities, including Latino adolescents. Among Latinos, important cultural factors include familial support, immigration, and acculturation/enculturation. Previous research has emphasized the importance of taking into account stressors related to immigration and the acculturation process. These findings highlight the importance of examining these cultural factors to further our understanding of the victimization-delinquency overlap among Latino youth. Extending this body of literature to include factors salient to Latinos is particularly timely given the recent rapid growth of this population in the United States. One approach for conceptualizing the victimization-delinquency overlap is to examine the relationship within a general strain theory (GST) framework. However, there are several gaps in the GST literature that this study intends to address. First, a more nuanced, culturally-sensitive understanding of the victimization-delinquency overlap among Latino youth will be gained from the proposed study. Second, the concept of victimization will be expanded to include a measure of polyvictimization, which has not been examined in previous GST studies. Finally, this study proposes to evaluate the role of several key emotions as mediators in the GST process. The findings of this study are important for shaping policy and clinical practice, including school- and family-based interventions, and mental health treatment. The overarching goal of research on the victimization-delinquency overlap, and GST more specifically, is to better understand how victimized individuals go on to commit crime and thus develop prevention programs to dissuade criminal behavior. It is important to consider, however, that a one-size-fits-all approach to crime prevention may not be most effective. Thus, incorporating cultural factors into the study of GST among Latino youth can help elucidate which cultural factors protect these adolescents from engaging in criminal activity and provide recommendations for relevant crime prevention policy. (PsycINFO Database Record (c) 2017 APA, all rights reserved)</t>
  </si>
  <si>
    <t>http://search.ebscohost.com.proxy-ub.rug.nl/login.aspx?direct=true&amp;db=psyh&amp;AN=2017-23160-125&amp;site=ehost-live&amp;scope=site</t>
  </si>
  <si>
    <t>The Role of Identity in Acculturation among Immigrant People: Theoretical Propositions, Empirical Questions, and Applied Recommendations.</t>
  </si>
  <si>
    <t>Schwartz, Seth J.; Montgomery, Marilyn J.; Briones, Ervin</t>
  </si>
  <si>
    <t>2006-03287-001</t>
  </si>
  <si>
    <t>The present paper advances theoretical propositions regarding the relationship between acculturation and identity. The most central thesis argued is that acculturation represents changes in cultural identity and that personal identity has the potential to 'anchor' immigrant people during their transition to a new society. The article emphasizes the experiences of nonwhite, non-Western immigrant people moving to Western nations. The article also calls for research on heretofore unexplored aspects of the relationship of acculturation to personal and social identity. Ideas are proposed for interventions to promote cultural identity change and personal identity coherence. (PsycInfo Database Record (c) 2020 APA, all rights reserved)</t>
  </si>
  <si>
    <t>http://search.ebscohost.com.proxy-ub.rug.nl/login.aspx?direct=true&amp;db=psyh&amp;AN=2006-03287-001&amp;site=ehost-live&amp;scope=site</t>
  </si>
  <si>
    <t>The social context of assimilation: Testing implications of segmented assimilation theory.</t>
  </si>
  <si>
    <t>2011-07197-020</t>
  </si>
  <si>
    <t>Acculturation; Immigration; Social Processes; Well Being; Adolescence (13-17 yrs); Female</t>
  </si>
  <si>
    <t>Segmented assimilation theory has been a popular explanation for the diverse experiences of assimilation among new waves of immigrants and their children. While the theory has been interpreted in many different ways, we emphasize its implications for the important role of social context: both processes and consequences of assimilation should depend on the local social context in which immigrants are embedded. We derive empirically falsifiable hypotheses about the interaction effects between social context and assimilation on immigrant children’s well-being. We then test the hypotheses using data from the National Longitudinal Study of Adolescent Health. Our empirical analyses yield two main findings. First, for immigrant adolescents living in non-poverty neighborhoods, we find assimilation to be positively associated with educational achievement and psychological well-being but also positively associated with at-risk behavior. Second, there is little empirical evidence supporting our hypotheses derived from segmented assimilation theory. We interpret these results to mean that future research would be more fruitful focusing on differential processes of assimilation rather than differential consequences of assimilation. (PsycINFO Database Record (c) 2017 APA, all rights reserved)</t>
  </si>
  <si>
    <t>http://search.ebscohost.com.proxy-ub.rug.nl/login.aspx?direct=true&amp;db=psyh&amp;AN=2011-07197-020&amp;site=ehost-live&amp;scope=site</t>
  </si>
  <si>
    <t>The spectre of Japan: The influence of foreign relations on race relations theory, 1905–24.</t>
  </si>
  <si>
    <t>Patterns of Prejudice</t>
  </si>
  <si>
    <t>2015-41388-001</t>
  </si>
  <si>
    <t>International Relations; Racial and Ethnic Relations; Blacks; Riots</t>
  </si>
  <si>
    <t>Race relations became the dominant paradigm by the time the official report on the 1919 Chicago riot, The Negro in Chicago, was published. It expressed a new appreciation of the danger to Whites of conflict based on colour. Before 1905 most observers assumed the inferiority of Blacks and saw race conflict as the fault of African Americans. But a new possibility arose when the fate of African Americans was linked to the rising power of Japan, occurring after the defeat of Russia by Japan in 1904–5. Race conflict, in this new model, was a form of conflict between nations. Race relations pioneer Robert E. Park, in his 1913 article, ‘Racial Assimilation in Secondary Groups’, noted that ‘under conditions . . . of individual liberty and individual competition, characteristic of modern civilization, depressed racial groups tend to assume the form of nationalities. A nationality, in this narrower sense, may be defined as the racial group which has attained self-consciousness, no matter whether it has at the same time gained political independence or not.’ Yuill's paper will explore the thesis that a liberal perspective based on developments in contemporary international relations slowly changed the way race was regarded in the United States. From 1905 onwards, a new liberal paradigm sought to manage race conflict. It was this—rather than labour-based racial antipathies or commitment to racial equality—that shaped US race relations in the twentieth century. (PsycINFO Database Record (c) 2016 APA, all rights reserved)</t>
  </si>
  <si>
    <t>http://search.ebscohost.com.proxy-ub.rug.nl/login.aspx?direct=true&amp;db=psyh&amp;AN=2015-41388-001&amp;site=ehost-live&amp;scope=site</t>
  </si>
  <si>
    <t>Theoretical perspectives on acculturation and immigration.</t>
  </si>
  <si>
    <t>Chuang, Susan S.; Moreno, Robert P.</t>
  </si>
  <si>
    <t>Handbook of family theories: A content-based approach.</t>
  </si>
  <si>
    <t>2013-00425-018</t>
  </si>
  <si>
    <t>Acculturation; Culture (Anthropological); Family; Immigration; Theories; Childhood Development; Refugees; Risk Factors; Socioeconomic Status; Childhood (birth-12 yrs); Adolescence (13-17 yrs); Adulthood (18 yrs &amp; older)</t>
  </si>
  <si>
    <t>Immigration is a global phenomenon, with nearly 200 million immigrants and refugees worldwide since the beginning of the millennium (United Nations, 2005). Understanding the various pathways of immigration is important as cultural cognitions (acculturation, collectivism, individualism) moderate the effectiveness of parenting and family functioning, which, in turn, influence child development (Bornstein &amp; Cote, 2004). This chapter begins with an overview of immigration patterns and the various issues such as socioeconomic status and demographic risk factors that must be considered in understanding immigrant families. We then discuss some of the key historical concepts and frameworks that have guided our current field of immigration, followed by contemporary theories. A particular focus will be on the context of immigrant families and their cultural contexts, placing this section within the world-views on cultural orientation. The acculturation processes and parent-child discrepancies will be explored and the extent to which they impact child development. Some attention to the gendered experiences of acculturation and parenting will follow. We conclude by discussing some of the limitations of this field and provide suggestions for theory development and advancing our understanding of immigration and families. (PsycInfo Database Record (c) 2020 APA, all rights reserved)</t>
  </si>
  <si>
    <t>http://search.ebscohost.com.proxy-ub.rug.nl/login.aspx?direct=true&amp;db=psyh&amp;AN=2013-00425-018&amp;site=ehost-live&amp;scope=site</t>
  </si>
  <si>
    <t>Theoretical perspectives on issues and interventions related to migrant resettlement in Canada.</t>
  </si>
  <si>
    <t>2017-21109-002</t>
  </si>
  <si>
    <t>Acculturation; Health; Immigration; Life Changes; Well Being; Social Integration</t>
  </si>
  <si>
    <t>International migration has increased at a significant rate over the past several decades as many migrants relocate in the hope of finding better living conditions. Unfortunately, not all migrants realize their dreams but instead find themselves in poor living conditions and are less satisfied with their health and well-being. The purpose of this article is to explore the factors that influence the integration of migrants into a new culture through two theoretical lenses: transitions theory and acculturation theory. The authors propose that acculturation and transition are influenced by factors at both the societal and individual level and therefore interventions aimed at promoting successful integration should be focused at both those levels. This article adds a new perspective to the migrant health framework and offers a new approach for researchers, clinicians, and program developers. The overall health and well-being of migrants may improve by focusing on individual factors that contribute to successful settlement through predeparture or early arrival preparation programs. (PsycINFO Database Record (c) 2017 APA, all rights reserved)</t>
  </si>
  <si>
    <t>http://search.ebscohost.com.proxy-ub.rug.nl/login.aspx?direct=true&amp;db=psyh&amp;AN=2017-21109-002&amp;site=ehost-live&amp;scope=site</t>
  </si>
  <si>
    <t>Theoretical, empirical, and practice literature on language brokering: Family, academic, and psychological outcomes.</t>
  </si>
  <si>
    <t>2019-34746-001</t>
  </si>
  <si>
    <t>Language is an important characteristic of culture. Importantly, with the ever-present migration of persons across countries and cultures, physical boundaries of language have been blurred creating a robust area of study: language brokering in the context of globalization. Migration and immigration often necessitate the learning of a new language and in immigrant families, open an opportunity for language skill differences and language brokering. Language brokering is a process by which a bilingual individual, often the children of immigrants, assists in communication between two parties speaking distinct languages. This common practice has generated an increased focus and body of research on the current and aftereffects of language brokering on individuals who broker. The present article provides a brief review of the literature on language brokering including identified antecedents and select outcomes such as family, academic, and psychological outcomes. Overall, the literature shows the associations among language brokering, the contexts in which it may occur, and the outcomes (family, academic, and psychological) for language brokers remain less than clearly understood, although inroads are being made as researchers delve more deeply into specific areas such as parentification, age, child development, and family dynamics. (PsycINFO Database Record (c) 2019 APA, all rights reserved)</t>
  </si>
  <si>
    <t>http://search.ebscohost.com.proxy-ub.rug.nl/login.aspx?direct=true&amp;db=psyh&amp;AN=2019-34746-001&amp;site=ehost-live&amp;scope=site</t>
  </si>
  <si>
    <t>Theories of acculturation and cultural identity.</t>
  </si>
  <si>
    <t>López, Irene; Escoto, Ernesto R.; Monford-Dent, Tyffani; Prado-Steiman, Marina</t>
  </si>
  <si>
    <t>Working with immigrant families: A practical guide for counselors.</t>
  </si>
  <si>
    <t>2010-25382-002</t>
  </si>
  <si>
    <t>Acculturation; Cross Cultural Treatment; Cultural Sensitivity; Family Members; Immigration; Ethnic Identity; Family Therapy; Sociocultural Factors; Cultural Identity</t>
  </si>
  <si>
    <t>Key to understanding the life experiences of immigrants is obtaining an appropriate understanding of what the term immigrant means. Immigrants may be legal or undocumented residents, permanent residents or short-term guest workers, refugees, asylum seekers, naturalized citizens, or, in the case of Puerto Ricans, American citizens who migrate to the continental United States. In short, the term immigrant encapsulates a variety of experiences and historical legacies that may often mask important distinctions between subgroups. However, despite these varied definitions and experiences, there are a host of commonalities that immigrants may share as they migrate to the United States and acculturate to their new environment. In this chapter, we will review the research and various models associated with acculturation and immigrants to demonstrate how working with immigrant families may be different from working with domestic clients. (PsycInfo Database Record (c) 2020 APA, all rights reserved)</t>
  </si>
  <si>
    <t>http://search.ebscohost.com.proxy-ub.rug.nl/login.aspx?direct=true&amp;db=psyh&amp;AN=2010-25382-002&amp;site=ehost-live&amp;scope=site</t>
  </si>
  <si>
    <t>Theories of family therapy.</t>
  </si>
  <si>
    <t>Shulman, Julie; Lamba, Garima</t>
  </si>
  <si>
    <t>2010-25382-003</t>
  </si>
  <si>
    <t>Acculturation; Cultural Sensitivity; Family Therapy; Immigration; Psychological Theories; Cross Cultural Treatment; Psychotherapeutic Techniques; Racial and Ethnic Groups</t>
  </si>
  <si>
    <t>Many have begun to draw attention to and critique the previous, dominant focus on acculturation in therapy with immigrant families, an approach that has often viewed the therapist's primary role as one of an agent of assimilation to the new culture. Research suggests, however, that immigrant families who maintain a balance between retaining pieces of their home culture while incorporating parts of the new (in other words, who find an integration of the different cultures) experience the best outcomes. Maintaining some values and customs from the country of origin may be better for the mental health of the family members. Moreover, involvement in ethnic community networks in the new country is also critical in buffering against discrimination, creating some continuity, and coping with some of the inevitable social and cultural losses. Indeed, recreating ethnic community networks highly correlates with general health and mental health as well. With the ever-increasing diversity among immigrant families in the United States, each with distinct cultural norms and values, varying migration, and living arrangements, as well as unique familial patterns, the validity and usefulness of traditional models of family therapy may be outdated, at least when universally applied. Family therapists are finding it increasingly necessary to both select relevant techniques among various models and fit their approaches to the needs of the clients rather than the other way around. (PsycInfo Database Record (c) 2020 APA, all rights reserved)</t>
  </si>
  <si>
    <t>http://search.ebscohost.com.proxy-ub.rug.nl/login.aspx?direct=true&amp;db=psyh&amp;AN=2010-25382-003&amp;site=ehost-live&amp;scope=site</t>
  </si>
  <si>
    <t>Theories on Immigrant Women's Health.</t>
  </si>
  <si>
    <t>Im, Eun-Ok; Yang, Kyeongra</t>
  </si>
  <si>
    <t>Health Care for Women International</t>
  </si>
  <si>
    <t>2006-11135-001</t>
  </si>
  <si>
    <t>10.1080/07399330600817535</t>
  </si>
  <si>
    <t>Health; Human Females; Immigration; Theories; South Asian Cultural Groups; Adulthood (18 yrs &amp; older); Female</t>
  </si>
  <si>
    <t>Our purpose in this article is to review theories critically that have been used to explain immigrant women's health based on 4 case studies of Korean immigrant women's experiences in the United States and suggest directions for future development of theories on immigrant women's health. First, 3 existing theories on immigration and health (selective migration, negative effect of immigration, and acculturation) are concisely described. Then, the daily experiences of 4 low-income Korean immigrant women are described in a narrative mode, and the 3 existing theories are critiqued in terms of how they can explain the women's narratives. Finally, implications for future theory development on immigrant women's health experience are proposed based on the discussion. (PsycINFO Database Record (c) 2016 APA, all rights reserved)</t>
  </si>
  <si>
    <t>http://search.ebscohost.com.proxy-ub.rug.nl/login.aspx?direct=true&amp;db=psyh&amp;AN=2006-11135-001&amp;site=ehost-live&amp;scope=site</t>
  </si>
  <si>
    <t>Theorizing identity in transnational and diaspora cultures: A critical approach to acculturation.</t>
  </si>
  <si>
    <t>2009-06761-005</t>
  </si>
  <si>
    <t>This paper examines the various ways in which the concept of 'diaspora' has important implications for rethinking traditional notions of acculturation in Psychology. In this paper, we argue that the idea of a fixed, invariant, and apolitical notion of acculturation dominates much of Psychology, and as such it needs to be revised and reexamined in light of transnational migration and global movements. Drawing on our previous and current scholarship on acculturation and identity [Bhatia, S., &amp; Ram, A. (2001). Rethinking 'acculturation' in relation to diasporic cultures and postcolonial identities. Human Development, 44, 1–17; Bhatia, S., &amp; Ram, A. (2004). Culture, hybridity and the dialogical self: Cases from the South-Asian diaspora. Mind, Culture, and Activity, 11(3), 224–241; Bhatia, S. (2007a). American Karma: Race, culture, and identity and the Indian diaspora. New York, NY: New York University Press; Bhatia, S. (2008). Rethinking culture and identity in psychology: Towards a transnational cultural psychology. Journal of Theoretical and Philosophical Psychology, 28, 301–322], we provide a counterargument to models of acculturation that claim that all immigrants undergo a universal psychological process of acculturation and adaptation. More specifically, we show how members from the Indian diaspora reexamined their acculturation status after the events of 9/11. We use interdisciplinary research to critically examine the role of race in the acculturation process. In addition, we provide a new analytical framework to understand the larger structural forces that shape the acculturation and assimilation process of transnational and diasporic migrants. (PsycINFO Database Record (c) 2016 APA, all rights reserved)</t>
  </si>
  <si>
    <t>http://search.ebscohost.com.proxy-ub.rug.nl/login.aspx?direct=true&amp;db=psyh&amp;AN=2009-06761-005&amp;site=ehost-live&amp;scope=site</t>
  </si>
  <si>
    <t>Theory and measurement of acculturation.</t>
  </si>
  <si>
    <t>Szapocznik, José; Scopetta, Mercedes A.; Kurtines, William; Aranalde, María D.</t>
  </si>
  <si>
    <t>Revista Interamericana de Psicología</t>
  </si>
  <si>
    <t>1992-70557-001</t>
  </si>
  <si>
    <t>Interamerican Society of Psychology</t>
  </si>
  <si>
    <t>Acculturation; Age Differences; Immigration; Rating Scales; Test Construction; Test Reliability; Test Validity; Whites; Latinos/Latinas; Adolescence (13-17 yrs); Adulthood (18 yrs &amp; older); Aged (65 yrs &amp; older); Very Old (85 yrs &amp; older)</t>
  </si>
  <si>
    <t>Describes a psychosocial model of acculturation (ACC) intended to account for the occurrence of intergenerational/acculturational differences in immigrant families. The development of 2 scales measuring self-reported behaviors and value dimensions is discussed. 334 Cuban (aged 13–85 yrs) and 251 White (aged 14–74 yrs) Americans were used in the development and reliability testing of the ACC scales. The behavioral scale provided a reliable and valid measure of ACC and proved superior to the value scale in almost every respect. Behavioral and value ACC were linear functions of the amount of time a person was exposed to the host culture. The rate at which the behavioral ACC process took place was a function of the age and sex of the individual. Findings suggest that intergenerational/acculturational differences develop because younger members of the family acculturate more rapidly than older family members. (Spanish abstract) (PsycINFO Database Record (c) 2016 APA, all rights reserved)</t>
  </si>
  <si>
    <t>http://search.ebscohost.com.proxy-ub.rug.nl/login.aspx?direct=true&amp;db=psyh&amp;AN=1992-70557-001&amp;site=ehost-live&amp;scope=site</t>
  </si>
  <si>
    <t>Theory and measurement of foreigner objectification.</t>
  </si>
  <si>
    <t>Lee, Joyce P.; Lee, Richard M.; Tran, Alisia G. T. T.</t>
  </si>
  <si>
    <t>2017-43855-009</t>
  </si>
  <si>
    <t>Mental Health; Minority Groups; Physical Health; Racial and Ethnic Attitudes; Objectification; Measurement</t>
  </si>
  <si>
    <t>This chapter investigates the phenomenon of foreigner objectification, or the labeling (implicit or otherwise) of members of racial/ethnic minority groups as foreigners regardless of citizenship, migration status, or length of residence. As the majority of research on foreigner objectification has emerged out of the United States, the chapter focuses on the foreigner objectification experiences of two rapidly growing US racial/ethnic groups: Latinos/as and Asian Americans. It first contextualizes foreigner objectification within the larger literature on attitudes toward racial/ethnic minority groups. It then discusses how foreigner objectification has been measured in psychological research and examines the limited but growing literature on the association between foreigner objectification and mental and physical health. (PsycInfo Database Record (c) 2020 APA, all rights reserved)</t>
  </si>
  <si>
    <t>http://search.ebscohost.com.proxy-ub.rug.nl/login.aspx?direct=true&amp;db=psyh&amp;AN=2017-43855-009&amp;site=ehost-live&amp;scope=site</t>
  </si>
  <si>
    <t>Theory and practice in matching treatment to the special characteristics and problems of Cuban immigrants.</t>
  </si>
  <si>
    <t>Szapocznik, José; Scopetta, Mercedes A.; King, Olga E.</t>
  </si>
  <si>
    <t>Journal of Community Psychology</t>
  </si>
  <si>
    <t>1979-21566-001</t>
  </si>
  <si>
    <t>10.1002/1520-6629(197804)6:2&lt;112::AID-JCOP2290060203&gt;3.0.CO;2-R</t>
  </si>
  <si>
    <t>Acculturation; Cross Cultural Differences; Immigration; Psychotherapeutic Techniques; Latinos/Latinas; Family Therapy</t>
  </si>
  <si>
    <t>Considers that mutuality of patient–therapist expectations for treatment can be attained by adapting treatment to the special characteristics of, and focusing treatment on, the unique problems of client populations. Culturally sensitive treatment is defined as a treatment mode built on a set of therapeutic assumptions that complements the patients' basic value structure. The implications for treatment of Cuban immigrants' preference for lineality in interpersonal relationships, a present-time orientation, an activity orientation, and subjugation to natural and environmental conditions are discussed. Acculturation problems facing Cuban immigrant families and their implications for treatment are also discussed. It is concluded that Ecological Structural Family Therapy is a treatment of choice for acculturation-related dysfunctions of Cuban immigrant families. (39 ref) (PsycINFO Database Record (c) 2016 APA, all rights reserved)</t>
  </si>
  <si>
    <t>http://search.ebscohost.com.proxy-ub.rug.nl/login.aspx?direct=true&amp;db=psyh&amp;AN=1979-21566-001&amp;site=ehost-live&amp;scope=site</t>
  </si>
  <si>
    <t>Theory of mind ability in the preadolescent language broker: Connections between language brokering, social cognition, and academic achievement.</t>
  </si>
  <si>
    <t>Love, Julia Anne</t>
  </si>
  <si>
    <t>1-B</t>
  </si>
  <si>
    <t>2007-99014-009</t>
  </si>
  <si>
    <t>Academic Achievement; Cognitive Ability; Language; Social Cognition; Human Sex Differences; Childhood (birth-12 yrs); School Age (6-12 yrs); Male; Female</t>
  </si>
  <si>
    <t>This study examined the connections between language brokering, social cognition, and academic achievement for preadolescent Latinos. Gender differences in language brokering activity, theory of mind ability, and academic achievement were also examined. There is a paucity of research on theory of mind development in older children from low SES and ethnic minority communities, as well as children from cultures outside the United States and Western Europe. There is no research on the relation between language brokering, theory of mind ability, and academic achievement. This study uses both a cultural approach and a theory of mind approach to study the socio-cognitive development of Latino preadolescents from immigrant families. Participants were 117 Mexican American 6th graders (M = 11.33 years; 56 girls, 61 boys) from a semi-rural agricultural community in Oregon. Each participant completed a questionnaire consisting of the Language Brokering Scale, the Short Acculturation Scale for Hispanic Youth, the Parent-Child Bonding Scale, and demographic information. Participants also completed tests of receptive English vocabulary (PPVT-III), receptive Spanish vocabulary (TVIP), and responded to two theory of mind vignettes developed to assess higher order theory of mind ability. Participants who reported being chosen as the primary language broker out-performed non-primary language brokers on theory of mind ability, things brokered, GPA, and reading achievement test scores. Girls out-performed boys on theory of mind ability, biculturalism, Spanish vocabulary, and GPA. Non-primary girls language brokered for more people than primary girls, and non-primary boys language brokered for less people than primary boys. Non-primary girls also reported more biculturalism than any other sub-group. English vocabulary, language broker order, and feelings about brokering were positively related to theory of mind ability for boys. Language broker order and biculturalism were positively related to theory of mind ability for girls. The relationship between theory of mind ability and academic achievement was non-existent for girls, and seemed to be masked by language brokering variables for boys. These results are discussed in relation to cultural variation in theory of mind, and traditional Latino gender socialization goals. Implications for the classroom and suggestions for future research are also discussed. (PsycINFO Database Record (c) 2016 APA, all rights reserved)</t>
  </si>
  <si>
    <t>http://search.ebscohost.com.proxy-ub.rug.nl/login.aspx?direct=true&amp;db=psyh&amp;AN=2007-99014-009&amp;site=ehost-live&amp;scope=site</t>
  </si>
  <si>
    <t>Theory of segmented assimilation and the adoption of marijuana use and delinquent behavior by Asian Pacific youth.</t>
  </si>
  <si>
    <t>Nagasawa, Richard; Qian, Zhenchao; Wong, Paul</t>
  </si>
  <si>
    <t>The Sociological Quarterly</t>
  </si>
  <si>
    <t>2002-00640-003</t>
  </si>
  <si>
    <t>Asians; Cross Cultural Differences; Juvenile Delinquency; Marijuana Usage; Adolescence (13-17 yrs); Male; Female</t>
  </si>
  <si>
    <t>Examines the adoption of behaviors of the teen drug and delinquent subcultures among Asian Pacific youth within the framework of the theory of segmented assimilation. Alejandro Portes and Min Zhou's theory offers a new perspective to the question: Under what conditions are youth susceptible to marijuana use and delinquent behavior? In contrast to Milton Gordon's classic one-path theory, segmented assimilation theory looks to the immigrant culture and social capital as critical factors in the assimilation process. The theory suggests several different types of adaptation by immigrant youth and Asian youth born in the US. The data from the Asian Student Drug Survey were used to analyze the patterns of marijuana use and delinquent behavior among Japanese, Chinese, Filipino, Korean, Southeast Asian, Asian Indian, and Pacific Islander youth, controlling for human capital and social capital, as well as other relevant factors. The likelihood of marijuana use differed significantly among the ethnic groups. Segmented assimilation theory points to the importance of the human and social capital that serve to insulate youth from the influence of the teen drug and delinquent cultures. (PsycINFO Database Record (c) 2017 APA, all rights reserved)</t>
  </si>
  <si>
    <t>http://search.ebscohost.com.proxy-ub.rug.nl/login.aspx?direct=true&amp;db=psyh&amp;AN=2002-00640-003&amp;site=ehost-live&amp;scope=site</t>
  </si>
  <si>
    <t>Toward a Theory-Driven Model of Acculturation in Public Health Research.</t>
  </si>
  <si>
    <t>Abraído-Lanza, Ana F.; Armbrister, Adria N.; Flórez, Karen R.; Aguirre, Alejandra N.</t>
  </si>
  <si>
    <t>American Journal of Public Health</t>
  </si>
  <si>
    <t>2006-10339-001</t>
  </si>
  <si>
    <t>10.2105/AJPH.2005.064980</t>
  </si>
  <si>
    <t>American Public Health Assn</t>
  </si>
  <si>
    <t>Acculturation; Experimentation; Immigration; Public Health; Latinos/Latinas; Theories; Treatment Outcomes; Public Health Research</t>
  </si>
  <si>
    <t>Interest in studying the impact of acculturation on immigrant health has increased in tandem with the growth of the Latino population in the United States. Linear assimilation models continue to dominate public health research despite the availability of more complex acculturation theories that propose multidimensional frameworks, reciprocal interactions between the individual and the environment, and other acculturative processes among various Latino groups. Because linear and unidimensional assessments (e.g., nativity, length of stay in the United States, and language use) provide constricted measures of acculturation, the rare use of multidimensional acculturation measures and models has inhibited a more comprehensive understanding of the association between specific components of acculturation and particular health outcomes. A public health perspective that incorporates the roles of structural and cultural forces in acculturation may help identify mechanisms underlying links between acculturation and health among Latinos. (PsycInfo Database Record (c) 2020 APA, all rights reserved)</t>
  </si>
  <si>
    <t>http://search.ebscohost.com.proxy-ub.rug.nl/login.aspx?direct=true&amp;db=psyh&amp;AN=2006-10339-001&amp;site=ehost-live&amp;scope=site</t>
  </si>
  <si>
    <t>Training to think culturally: A multidimensional comparative framework.</t>
  </si>
  <si>
    <t>Family Process</t>
  </si>
  <si>
    <t>1996-02854-001</t>
  </si>
  <si>
    <t>Cultural Sensitivity; Family Therapy; Psychotherapy Training; Multiculturalism; Cultural Diversity; Environment; Family Structure; Human Migration</t>
  </si>
  <si>
    <t>Describes a multidimensional comparative framework (MCF) for the inclusion of cultural concerns in family therapy (FT) training. Implied conceptual approaches are social constructionist and multicultural or cultural diversity. Family therapists are said to have taken universalist, particularist, ethnic-focused, or multidimensional positions. The rationale for a MCF is based on the assumption that in a multicultural society, each person is raised in several cultural subgroups and draws selectively from the groups' relative influences. Concepts addressed include cultural borderlands and ecological niches. Training objectives include taking culture in the mainstream of FT and generating an attitude of interest, sociological imagination, and respectful curiosity about culture. Key comparative parameters are the ecological context, migration and acculturation, family organization, and family life cycle. (PsycInfo Database Record (c) 2020 APA, all rights reserved)</t>
  </si>
  <si>
    <t>http://search.ebscohost.com.proxy-ub.rug.nl/login.aspx?direct=true&amp;db=psyh&amp;AN=1996-02854-001&amp;site=ehost-live&amp;scope=site</t>
  </si>
  <si>
    <t>Understanding immigrants: Acculturation theory and research.</t>
  </si>
  <si>
    <t>Roysircar, Gargi</t>
  </si>
  <si>
    <t>Culture and counseling: New approaches.</t>
  </si>
  <si>
    <t>2003-88258-011</t>
  </si>
  <si>
    <t>Allyn &amp; Bacon</t>
  </si>
  <si>
    <t>Acculturation; Ethnic Identity; Immigration; Mental Health; Psychological Theories; Cross Cultural Counseling; Experimentation; Psychometrics; Stress</t>
  </si>
  <si>
    <t>The phenomenon of 'new immigrants' or post-World War II immigrants from Asia and Latin America and the large birthrate of U.S.-born second-generation children have begun to change U.S. society with the visibility of people of color who are different from even those who have been traditionally considered as ethnic minorities in the United States. New immigrants constitute the majority of immigrants to this country. At the individual level of acculturation, a person must confront two general issues that are in opposition and may create conflict: (1) the maintenance and development of one's ethnic distinctiveness by retaining one's cultural identity, and (2) the desire to seek interethnic contact by valuing and maintaining positive relations with the dominant society. Subsumed in these dimensions are changes in multiple domains for immigrants: physical changes, biological changes, social relationships, language change, cognitive processes, personality, identity, cultural attitudes and values, and acculturative stress. Acculturation studies to date have been involved in the measurement of length of residence in the United States, age of entry into the United States, language change, ethnic identity, social behaviors and orientation, cultural attitudes and values, family differences, and generational differences. This writing describes the constructs and empirical findings in the measurement of acculturation and ethnic identity. Acceptable measures are identified and listed, and the measurement perspectives behind the development of these measures are explored. (PsycINFO Database Record (c) 2016 APA, all rights reserved)</t>
  </si>
  <si>
    <t>http://search.ebscohost.com.proxy-ub.rug.nl/login.aspx?direct=true&amp;db=psyh&amp;AN=2003-88258-011&amp;site=ehost-live&amp;scope=site</t>
  </si>
  <si>
    <t>Understanding intimate partner violence among immigrant and refugee women: A grounded theory analysis.</t>
  </si>
  <si>
    <t>Journal of Aggression, Maltreatment &amp; Trauma</t>
  </si>
  <si>
    <t>2020-74020-001</t>
  </si>
  <si>
    <t>ABSTRACT Immigrant and refugee women may experience considerable multifaceted and interrelated barriers that place them at heightened risk for intimate partner violence (IPV). The objective of this analysis was to increase our understanding of immigrant and refugee women’s responses to abuse. We conducted in-depth interviews with 84 women who immigrated from Africa, Asia, and Latin America. Engendering Resilience to Survive emerged as the core category explaining women’s strength to stay safe and survive IPV experiences. In the face of the violence they experienced, women in this sample demonstrated remarkable resilience and the ability to harness their strength to survive. Resilience as a process and outcome could facilitate empowerment, and self-directedness to access health services and resources to stay safe. The developed Engendering Resilience to Survive Model can be utilized as a framework to inform research, policy, and practice to support abused women. (PsycInfo Database Record (c) 2020 APA, all rights reserved)</t>
  </si>
  <si>
    <t>http://search.ebscohost.com.proxy-ub.rug.nl/login.aspx?direct=true&amp;db=psyh&amp;AN=2020-74020-001&amp;site=ehost-live&amp;scope=site</t>
  </si>
  <si>
    <t>Understanding the dynamics among acculturative stress, coping, and growth: A grounded theory of the Korean immigrant adolescent experience.</t>
  </si>
  <si>
    <t>Children and Youth Services Review</t>
  </si>
  <si>
    <t>2018-56761-015</t>
  </si>
  <si>
    <t>Acculturation; Coping Behavior; Immigration; Psychosocial Development; Stress; Adolescent Development; Adolescence (13-17 yrs); Adulthood (18 yrs &amp; older); Young Adulthood (18-29 yrs); Male; Female</t>
  </si>
  <si>
    <t>The purpose of the present study is two-fold. First, it aims to develop a theoretical model of the acculturative process of immigrant adolescents based on the understanding of the relationships among acculturative stress, coping, and growth. Second, it aims to propose a typology that offers distinct patterns in the process of acculturation and the resulting outcomes. Using the grounded theory method, the study identified stress related to communication problems, ethnic prejudice, academic pressure, homesickness, and interpersonal conflict. The lack of social support and the school climate were identified as contextual factors of perceived stress. Peer mediation and motivation were identified as intervention factors of coping behaviors. The immigrant adolescent coping behaviors included media use for emotional release, focus on a goal, connectedness to the home country, and the creation of social capital in the host country. The typology of different acculturative patterns classified immigrant adolescents into three types: adaptive, academic, and competent. Based on the findings, the significance of family functioning, peer mediation, self-expansion motivation, and coping behaviors to create social capital for immigrant adolescents' normal development was discussed. (PsycInfo Database Record (c) 2020 APA, all rights reserved)</t>
  </si>
  <si>
    <t>http://search.ebscohost.com.proxy-ub.rug.nl/login.aspx?direct=true&amp;db=psyh&amp;AN=2018-56761-015&amp;site=ehost-live&amp;scope=site</t>
  </si>
  <si>
    <t>Usefulness of psychosocial theory variables in explaining fat-related dietary behavior in Chinese Americans: Association with degree of acculturation.</t>
  </si>
  <si>
    <t>Liou, Doreen; Contento, Isobel R.</t>
  </si>
  <si>
    <t>Journal of Nutrition Education</t>
  </si>
  <si>
    <t>2003-06426-002</t>
  </si>
  <si>
    <t>BC Decker</t>
  </si>
  <si>
    <t>Chinese Cultural Groups; Diets; Fatty Acids; Health Behavior; Psychosocial Factors; Acculturation; Food Preferences; Intention; Models; Theories; Adulthood (18 yrs &amp; older); Young Adulthood (18-29 yrs); Thirties (30-39 yrs); Middle Age (40-64 yrs); Aged (65 yrs &amp; older); Male; Female</t>
  </si>
  <si>
    <t>Examined the usefulness of variables from psychosocial models of health behavior in explaining fat-related dietary behavior among Chinese Americans. 600 Chinese Americans (aged 25-70 yrs) completed questionnaires regarding demographic factors, degree of acculturation, food preferences, and 13 social psychological scales derived from the Theory of Planned Behavior, the Healthy Belief Model, and Social Cognitive Theory, intention to reduce dietary fat, and behaviors related to the selection of reduced-fat diets. Results show that attitude, overall health concern, and self-efficacy accounted for 58% of the variance in behavioral intention for all Ss. Attitude, perceived barriers, and self-efficacy accounted for 19% of the variance in the prediction of dietary fat reduction behaviors. In general, a gradient was seen in the increased predictiveness of each regression model by degree of acculturation of the immigrants to US culture: predictiveness for behavior ranged from 15% for the least to 34% for the most acculturated. Acculturation was significantly related to declines in the influence of habit and of social norms. These effects were not seen by length of residency. (PsycINFO Database Record (c) 2016 APA, all rights reserved)</t>
  </si>
  <si>
    <t>http://search.ebscohost.com.proxy-ub.rug.nl/login.aspx?direct=true&amp;db=psyh&amp;AN=2003-06426-002&amp;site=ehost-live&amp;scope=site</t>
  </si>
  <si>
    <t>Using culturally appropriate, trauma-informed support to promote bicultural self-efficacy among resettled refugees: A conceptual model.</t>
  </si>
  <si>
    <t>Ballard-Kang, Jennifer L.</t>
  </si>
  <si>
    <t>Journal of Ethnic &amp; Cultural Diversity in Social Work: Innovation in Theory, Research &amp; Practice</t>
  </si>
  <si>
    <t>2020-41388-002</t>
  </si>
  <si>
    <t>10.1080/15313204.2017.1409676</t>
  </si>
  <si>
    <t>Mental Health; Self-Efficacy; Trauma; Refugees; Social Integration</t>
  </si>
  <si>
    <t>Resettled refugees face pressure to integrate successfully into the culture of their resettlement country within a relatively short period of time. Though successful integration is important, research has shown that ethnic identity and participation in the ethnic culture of origin play a key role in supporting the mental health of resettled refugees. This paper presents a model that draws on social-cognitive theory, trauma theory, and models of second culture acquisition to reflect relationships between trauma, mental health, and self-efficacy. The model presents the concept of bicultural self-efficacy as a potential outcome measure for facilitating inter-disciplinary research and practice efforts. (PsycInfo Database Record (c) 2020 APA, all rights reserved)</t>
  </si>
  <si>
    <t>http://search.ebscohost.com.proxy-ub.rug.nl/login.aspx?direct=true&amp;db=psyh&amp;AN=2020-41388-002&amp;site=ehost-live&amp;scope=site</t>
  </si>
  <si>
    <t>Viewing alcohol and other drug use cross culturally: A cultural framework for clinical practice.</t>
  </si>
  <si>
    <t>Amodeo, Maryann; Jones, L. Kay</t>
  </si>
  <si>
    <t>1997-05171-002</t>
  </si>
  <si>
    <t>Cross Cultural Differences; Cultural Sensitivity; Drug Usage; Drug Usage Attitudes; Social Casework; Minority Groups; Rehabilitation Counseling; Substance Use Treatment</t>
  </si>
  <si>
    <t>Presents a conceptual framework for cross-cultural investigation of alcohol and other drug (AOD) issues, including attitudes, values, and behaviors. Elements include cultural views of using alcohol and other drugs, life problems, seeking help, relapse, and recovery. Acculturation, subgroup identity, and migration are critically important variables in the framework. The framework can be used to view a single culture or to compare several and can help clinicians explore clients' earliest exposure to alcohol and other drugs, family and community messages regarding AOD use, and stigma and shame. It can stimulate clinicians' thinking about culturally specific intervention methods and family and community supports for recovery. (PsycINFO Database Record (c) 2019 APA, all rights reserved)</t>
  </si>
  <si>
    <t>http://search.ebscohost.com.proxy-ub.rug.nl/login.aspx?direct=true&amp;db=psyh&amp;AN=1997-05171-002&amp;site=ehost-live&amp;scope=site</t>
  </si>
  <si>
    <t>Voting rights and naturalization for the Korean residents in Japan: Theoretical categorization and structural analysis.</t>
  </si>
  <si>
    <t>Nakahara, Kojiro</t>
  </si>
  <si>
    <t>The Japanese Journal of Social Psychology</t>
  </si>
  <si>
    <t>2004-11536-001</t>
  </si>
  <si>
    <t>Japanese Society of Social Psychology</t>
  </si>
  <si>
    <t>Acculturation; Citizenship; Ethnic Identity; Intention; Voting Behavior; Immigration</t>
  </si>
  <si>
    <t>This study discussed, theoretically and empirically, the intention to acquire voting rights and citizenship for the Korean Residents in Japan. First, their intentions were categorized as either purposeful or expedient, and either differential or assimilative. With basic analyses, the validity of the categorization was supported. Causal factors explaining intention were examined through hierarchical logistic regression models. The intention to acquire local voting right increased through differential factors, while it decreased through factors that pointed toward resistance against assimilation. The intention to acquire voting rights increased through general attitudes and attributions independent of individual factors, and these variables had little to do with assimilation. The intention to naturalize increased through affection toward Japan, and decreased through ethnic self-esteem as 9 Korean. This suggests that the intent to naturalize is assimilative. These analyses indicate the necessity of an active role on the part of the social environment for purposeful naturalization which preserves the ethnic identity of the Koreans. (PsycINFO Database Record (c) 2017 APA, all rights reserved)</t>
  </si>
  <si>
    <t>http://search.ebscohost.com.proxy-ub.rug.nl/login.aspx?direct=true&amp;db=psyh&amp;AN=2004-11536-001&amp;site=ehost-live&amp;scope=site</t>
  </si>
  <si>
    <t>Source</t>
  </si>
  <si>
    <t>Search</t>
  </si>
  <si>
    <t>WebOfScience</t>
  </si>
  <si>
    <t>PsychInfo</t>
  </si>
  <si>
    <t>TOPIC: (acculturation  OR enculturation  OR transculturation  OR assimilation  OR "social integration"  OR "cultural adaptation"  OR "cultural adjustment"  OR "cultural transition") AND TOPIC: (Immigration  OR migration  OR migrant  OR immigrant  OR refugee) AND TITLE: (theor*  OR conceptual*  OR framework)
Timespan: All years. Indexes: SCI-EXPANDED, SSCI, A&amp;HCI, ESCI.</t>
  </si>
  <si>
    <t>(acculturation OR enculturation OR transculturation OR assimilation OR "social integration" OR "cultural adaptation" OR "cultural adjustment" OR "cultural transition" ) AND ( Immigration OR migration OR migrant OR immigrant OR refugee ) AND TI (theor*  OR conceptual*  OR framework) 
Expanders: Apply equivalent subjects. Search modes: Boolean/Phrase</t>
  </si>
  <si>
    <t>PublicationType</t>
  </si>
  <si>
    <t>year</t>
  </si>
  <si>
    <t>AuthorFull</t>
  </si>
  <si>
    <t>Title</t>
  </si>
  <si>
    <t>TitleScreening</t>
  </si>
  <si>
    <t>TitleNote</t>
  </si>
  <si>
    <t>AbstractScreening</t>
  </si>
  <si>
    <t>AbstractNote</t>
  </si>
  <si>
    <t>PublicationTitle</t>
  </si>
  <si>
    <t>PublicationDate</t>
  </si>
  <si>
    <t>FirstPage</t>
  </si>
  <si>
    <t>LastPage</t>
  </si>
  <si>
    <t>PageCount</t>
  </si>
  <si>
    <t>Pages</t>
  </si>
  <si>
    <t>AccessionNumber</t>
  </si>
  <si>
    <t>PublisherCity</t>
  </si>
  <si>
    <t>PublisherAddress</t>
  </si>
  <si>
    <t>Url</t>
  </si>
  <si>
    <t>SearchDuplicate</t>
  </si>
  <si>
    <t>ID</t>
  </si>
  <si>
    <t>IDDuplicate</t>
  </si>
  <si>
    <t>Downloaded</t>
  </si>
  <si>
    <t>empirical</t>
  </si>
  <si>
    <t>Method</t>
  </si>
  <si>
    <t>term</t>
  </si>
  <si>
    <t>MeasureDefinition</t>
  </si>
  <si>
    <t>Affect</t>
  </si>
  <si>
    <t>Behavior</t>
  </si>
  <si>
    <t>Cognition</t>
  </si>
  <si>
    <t>Desire</t>
  </si>
  <si>
    <t>Affect2</t>
  </si>
  <si>
    <t>Behavior2</t>
  </si>
  <si>
    <t>Cognition2</t>
  </si>
  <si>
    <t>Desire2</t>
  </si>
  <si>
    <t>MissingABCD</t>
  </si>
  <si>
    <t>NoteMissing</t>
  </si>
  <si>
    <t>TypeComplexity</t>
  </si>
  <si>
    <t>MeasurementLevels</t>
  </si>
  <si>
    <t>domainScale</t>
  </si>
  <si>
    <t>domainPaper</t>
  </si>
  <si>
    <t>MainAnalysis</t>
  </si>
  <si>
    <t>VariableType</t>
  </si>
  <si>
    <t>Sample</t>
  </si>
  <si>
    <t>MigrationTime</t>
  </si>
  <si>
    <t>IncludesMajority</t>
  </si>
  <si>
    <t>Host Country 1</t>
  </si>
  <si>
    <t>Host Country 2</t>
  </si>
  <si>
    <t>Host Country 3</t>
  </si>
  <si>
    <t>Host Country 4</t>
  </si>
  <si>
    <t>HostCountry</t>
  </si>
  <si>
    <t>Origin Country 1</t>
  </si>
  <si>
    <t>Origin Country 2</t>
  </si>
  <si>
    <t>Origin Country 3</t>
  </si>
  <si>
    <t>Origin Country 4</t>
  </si>
  <si>
    <t>Origin Country 5</t>
  </si>
  <si>
    <t>Origin Country 6</t>
  </si>
  <si>
    <t>OriginCountry</t>
  </si>
  <si>
    <t>Comment</t>
  </si>
  <si>
    <t>PubMed</t>
  </si>
  <si>
    <t>TitleAlphaNum</t>
  </si>
  <si>
    <t>PublicationTitleProper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</si>
</sst>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0"/>
      <name val="Arial"/>
    </font>
    <font>
      <sz val="10"/>
      <name val="Arial"/>
      <family val="2"/>
    </font>
    <font>
      <b/>
      <sz val="11"/>
      <name val="Calibri"/>
      <family val="2"/>
    </font>
    <font>
      <b/>
      <sz val="1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4">
    <xf numFmtId="0" fontId="0" fillId="0" borderId="0" xfId="0"/>
    <xf numFmtId="16" fontId="0" fillId="0" borderId="0" xfId="0" applyNumberFormat="1"/>
    <xf numFmtId="0" fontId="1" fillId="0" borderId="0" xfId="0" applyFont="1"/>
    <xf numFmtId="0" fontId="1"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3" fillId="0" borderId="0" xfId="0" applyFont="1" applyAlignment="1">
      <alignment vertical="top" wrapText="1"/>
    </xf>
    <xf numFmtId="0" fontId="2" fillId="0" borderId="0" xfId="0" applyFont="1" applyAlignment="1">
      <alignment horizontal="right" vertical="top" wrapText="1"/>
    </xf>
    <xf numFmtId="0" fontId="0" fillId="0" borderId="0" xfId="0" applyAlignment="1">
      <alignment vertical="top" wrapText="1"/>
    </xf>
    <xf numFmtId="0" fontId="0" fillId="0" borderId="0" xfId="0" applyAlignment="1">
      <alignment horizontal="right" vertical="top" wrapText="1"/>
    </xf>
    <xf numFmtId="0" fontId="0" fillId="0" borderId="0" xfId="0" applyAlignment="1">
      <alignment vertical="top"/>
    </xf>
    <xf numFmtId="0" fontId="0" fillId="0" borderId="0" xfId="0" applyNumberFormat="1" applyAlignment="1">
      <alignment horizontal="right" vertical="top" wrapText="1"/>
    </xf>
    <xf numFmtId="16" fontId="0" fillId="0" borderId="0" xfId="0" applyNumberFormat="1" applyAlignment="1">
      <alignment vertical="top" wrapText="1"/>
    </xf>
    <xf numFmtId="0" fontId="0" fillId="0" borderId="0" xfId="0" applyAlignment="1">
      <alignment horizontal="righ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O262" totalsRowShown="0">
  <autoFilter ref="A1:BO262" xr:uid="{00000000-0009-0000-0100-000001000000}"/>
  <tableColumns count="67">
    <tableColumn id="1" xr3:uid="{00000000-0010-0000-0000-000001000000}" name="Publication Type"/>
    <tableColumn id="2" xr3:uid="{00000000-0010-0000-0000-000002000000}" name="Authors"/>
    <tableColumn id="3" xr3:uid="{00000000-0010-0000-0000-000003000000}" name="Book Authors"/>
    <tableColumn id="4" xr3:uid="{00000000-0010-0000-0000-000004000000}" name="Book Editors"/>
    <tableColumn id="5" xr3:uid="{00000000-0010-0000-0000-000005000000}" name="Book Group Authors"/>
    <tableColumn id="6" xr3:uid="{00000000-0010-0000-0000-000006000000}" name="Author Full Names"/>
    <tableColumn id="7" xr3:uid="{00000000-0010-0000-0000-000007000000}" name="Book Author Full Names"/>
    <tableColumn id="8" xr3:uid="{00000000-0010-0000-0000-000008000000}" name="Group Authors"/>
    <tableColumn id="9" xr3:uid="{00000000-0010-0000-0000-000009000000}" name="Article Title"/>
    <tableColumn id="10" xr3:uid="{00000000-0010-0000-0000-00000A000000}" name="Source Title"/>
    <tableColumn id="11" xr3:uid="{00000000-0010-0000-0000-00000B000000}" name="Book Series Title"/>
    <tableColumn id="12" xr3:uid="{00000000-0010-0000-0000-00000C000000}" name="Book Series Subtitle"/>
    <tableColumn id="13" xr3:uid="{00000000-0010-0000-0000-00000D000000}" name="Language"/>
    <tableColumn id="14" xr3:uid="{00000000-0010-0000-0000-00000E000000}" name="Document Type"/>
    <tableColumn id="15" xr3:uid="{00000000-0010-0000-0000-00000F000000}" name="Conference Title"/>
    <tableColumn id="16" xr3:uid="{00000000-0010-0000-0000-000010000000}" name="Conference Date"/>
    <tableColumn id="17" xr3:uid="{00000000-0010-0000-0000-000011000000}" name="Conference Location"/>
    <tableColumn id="18" xr3:uid="{00000000-0010-0000-0000-000012000000}" name="Conference Sponsor"/>
    <tableColumn id="19" xr3:uid="{00000000-0010-0000-0000-000013000000}" name="Conference Host"/>
    <tableColumn id="20" xr3:uid="{00000000-0010-0000-0000-000014000000}" name="Author Keywords"/>
    <tableColumn id="21" xr3:uid="{00000000-0010-0000-0000-000015000000}" name="Keywords Plus"/>
    <tableColumn id="22" xr3:uid="{00000000-0010-0000-0000-000016000000}" name="Abstract"/>
    <tableColumn id="23" xr3:uid="{00000000-0010-0000-0000-000017000000}" name="Addresses"/>
    <tableColumn id="24" xr3:uid="{00000000-0010-0000-0000-000018000000}" name="Reprint Addresses"/>
    <tableColumn id="25" xr3:uid="{00000000-0010-0000-0000-000019000000}" name="Email Addresses"/>
    <tableColumn id="26" xr3:uid="{00000000-0010-0000-0000-00001A000000}" name="Researcher Ids"/>
    <tableColumn id="27" xr3:uid="{00000000-0010-0000-0000-00001B000000}" name="ORCIDs"/>
    <tableColumn id="28" xr3:uid="{00000000-0010-0000-0000-00001C000000}" name="Funding Orgs"/>
    <tableColumn id="29" xr3:uid="{00000000-0010-0000-0000-00001D000000}" name="Funding Text"/>
    <tableColumn id="30" xr3:uid="{00000000-0010-0000-0000-00001E000000}" name="Cited References"/>
    <tableColumn id="31" xr3:uid="{00000000-0010-0000-0000-00001F000000}" name="Cited Reference Count"/>
    <tableColumn id="32" xr3:uid="{00000000-0010-0000-0000-000020000000}" name="Times Cited, WoS Core"/>
    <tableColumn id="33" xr3:uid="{00000000-0010-0000-0000-000021000000}" name="Times Cited, All Databases"/>
    <tableColumn id="34" xr3:uid="{00000000-0010-0000-0000-000022000000}" name="180 Day Usage Count"/>
    <tableColumn id="35" xr3:uid="{00000000-0010-0000-0000-000023000000}" name="Since 2013 Usage Count"/>
    <tableColumn id="36" xr3:uid="{00000000-0010-0000-0000-000024000000}" name="Publisher"/>
    <tableColumn id="37" xr3:uid="{00000000-0010-0000-0000-000025000000}" name="Publisher City"/>
    <tableColumn id="38" xr3:uid="{00000000-0010-0000-0000-000026000000}" name="Publisher Address"/>
    <tableColumn id="39" xr3:uid="{00000000-0010-0000-0000-000027000000}" name="ISSN"/>
    <tableColumn id="40" xr3:uid="{00000000-0010-0000-0000-000028000000}" name="eISSN"/>
    <tableColumn id="41" xr3:uid="{00000000-0010-0000-0000-000029000000}" name="ISBN"/>
    <tableColumn id="42" xr3:uid="{00000000-0010-0000-0000-00002A000000}" name="Journal Abbreviation"/>
    <tableColumn id="43" xr3:uid="{00000000-0010-0000-0000-00002B000000}" name="Journal ISO Abbreviation"/>
    <tableColumn id="44" xr3:uid="{00000000-0010-0000-0000-00002C000000}" name="Publication Date"/>
    <tableColumn id="45" xr3:uid="{00000000-0010-0000-0000-00002D000000}" name="Publication Year"/>
    <tableColumn id="46" xr3:uid="{00000000-0010-0000-0000-00002E000000}" name="Volume"/>
    <tableColumn id="47" xr3:uid="{00000000-0010-0000-0000-00002F000000}" name="Issue"/>
    <tableColumn id="48" xr3:uid="{00000000-0010-0000-0000-000030000000}" name="Part Number"/>
    <tableColumn id="49" xr3:uid="{00000000-0010-0000-0000-000031000000}" name="Supplement"/>
    <tableColumn id="50" xr3:uid="{00000000-0010-0000-0000-000032000000}" name="Special Issue"/>
    <tableColumn id="51" xr3:uid="{00000000-0010-0000-0000-000033000000}" name="Meeting Abstract"/>
    <tableColumn id="52" xr3:uid="{00000000-0010-0000-0000-000034000000}" name="Start Page"/>
    <tableColumn id="53" xr3:uid="{00000000-0010-0000-0000-000035000000}" name="End Page"/>
    <tableColumn id="54" xr3:uid="{00000000-0010-0000-0000-000036000000}" name="Article Number"/>
    <tableColumn id="55" xr3:uid="{00000000-0010-0000-0000-000037000000}" name="DOI"/>
    <tableColumn id="56" xr3:uid="{00000000-0010-0000-0000-000038000000}" name="Book DOI"/>
    <tableColumn id="57" xr3:uid="{00000000-0010-0000-0000-000039000000}" name="Early Access Date"/>
    <tableColumn id="58" xr3:uid="{00000000-0010-0000-0000-00003A000000}" name="Number of Pages"/>
    <tableColumn id="59" xr3:uid="{00000000-0010-0000-0000-00003B000000}" name="WoS Categories"/>
    <tableColumn id="60" xr3:uid="{00000000-0010-0000-0000-00003C000000}" name="Research Areas"/>
    <tableColumn id="61" xr3:uid="{00000000-0010-0000-0000-00003D000000}" name="IDS Number"/>
    <tableColumn id="62" xr3:uid="{00000000-0010-0000-0000-00003E000000}" name="UT (Unique WOS ID)"/>
    <tableColumn id="63" xr3:uid="{00000000-0010-0000-0000-00003F000000}" name="Pubmed Id"/>
    <tableColumn id="64" xr3:uid="{00000000-0010-0000-0000-000040000000}" name="Open Access Designations"/>
    <tableColumn id="65" xr3:uid="{00000000-0010-0000-0000-000041000000}" name="Highly Cited Status"/>
    <tableColumn id="66" xr3:uid="{00000000-0010-0000-0000-000042000000}" name="Hot Paper Status"/>
    <tableColumn id="67" xr3:uid="{00000000-0010-0000-0000-000043000000}" name="Date of Export"/>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R217" totalsRowShown="0">
  <autoFilter ref="A1:R217" xr:uid="{00000000-0009-0000-0100-000002000000}"/>
  <tableColumns count="18">
    <tableColumn id="1" xr3:uid="{00000000-0010-0000-0100-000001000000}" name="Article Title"/>
    <tableColumn id="2" xr3:uid="{00000000-0010-0000-0100-000002000000}" name="Author"/>
    <tableColumn id="3" xr3:uid="{00000000-0010-0000-0100-000003000000}" name="Journal Title"/>
    <tableColumn id="4" xr3:uid="{00000000-0010-0000-0100-000004000000}" name="ISSN"/>
    <tableColumn id="5" xr3:uid="{00000000-0010-0000-0100-000005000000}" name="ISBN"/>
    <tableColumn id="6" xr3:uid="{00000000-0010-0000-0100-000006000000}" name="Publication Date"/>
    <tableColumn id="7" xr3:uid="{00000000-0010-0000-0100-000007000000}" name="Volume"/>
    <tableColumn id="8" xr3:uid="{00000000-0010-0000-0100-000008000000}" name="Issue"/>
    <tableColumn id="9" xr3:uid="{00000000-0010-0000-0100-000009000000}" name="First Page"/>
    <tableColumn id="10" xr3:uid="{00000000-0010-0000-0100-00000A000000}" name="Page Count"/>
    <tableColumn id="11" xr3:uid="{00000000-0010-0000-0100-00000B000000}" name="Accession Number"/>
    <tableColumn id="12" xr3:uid="{00000000-0010-0000-0100-00000C000000}" name="DOI"/>
    <tableColumn id="13" xr3:uid="{00000000-0010-0000-0100-00000D000000}" name="Publisher"/>
    <tableColumn id="14" xr3:uid="{00000000-0010-0000-0100-00000E000000}" name="Doctype"/>
    <tableColumn id="15" xr3:uid="{00000000-0010-0000-0100-00000F000000}" name="Subjects"/>
    <tableColumn id="16" xr3:uid="{00000000-0010-0000-0100-000010000000}" name="Keywords"/>
    <tableColumn id="17" xr3:uid="{00000000-0010-0000-0100-000011000000}" name="Abstract"/>
    <tableColumn id="18" xr3:uid="{00000000-0010-0000-0100-000012000000}" name="PLink"/>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P262"/>
  <sheetViews>
    <sheetView topLeftCell="AK1" workbookViewId="0">
      <pane ySplit="1" topLeftCell="A2" activePane="bottomLeft" state="frozen"/>
      <selection pane="bottomLeft" activeCell="BK2" sqref="BK2:BK262"/>
    </sheetView>
  </sheetViews>
  <sheetFormatPr baseColWidth="10" defaultRowHeight="13" x14ac:dyDescent="0.15"/>
  <cols>
    <col min="1" max="1" width="17.1640625" customWidth="1"/>
    <col min="2" max="2" width="9.83203125" customWidth="1"/>
    <col min="3" max="3" width="14.5" customWidth="1"/>
    <col min="4" max="4" width="14" customWidth="1"/>
    <col min="5" max="5" width="20" customWidth="1"/>
    <col min="6" max="6" width="18.5" customWidth="1"/>
    <col min="7" max="7" width="23.1640625" customWidth="1"/>
    <col min="8" max="8" width="15.33203125" customWidth="1"/>
    <col min="9" max="9" width="12.83203125" customWidth="1"/>
    <col min="10" max="10" width="13.33203125" customWidth="1"/>
    <col min="11" max="11" width="17.5" customWidth="1"/>
    <col min="12" max="12" width="20.1640625" customWidth="1"/>
    <col min="13" max="13" width="11.5" customWidth="1"/>
    <col min="14" max="14" width="16.1640625" customWidth="1"/>
    <col min="15" max="15" width="16.83203125" customWidth="1"/>
    <col min="16" max="16" width="17" customWidth="1"/>
    <col min="17" max="17" width="20.33203125" customWidth="1"/>
    <col min="18" max="18" width="20.1640625" customWidth="1"/>
    <col min="19" max="19" width="17" customWidth="1"/>
    <col min="20" max="20" width="17.5" customWidth="1"/>
    <col min="21" max="21" width="15.83203125" customWidth="1"/>
    <col min="22" max="22" width="10.33203125" customWidth="1"/>
    <col min="23" max="23" width="12.33203125" customWidth="1"/>
    <col min="24" max="24" width="18.6640625" customWidth="1"/>
    <col min="25" max="25" width="17.5" customWidth="1"/>
    <col min="26" max="26" width="16" customWidth="1"/>
    <col min="27" max="27" width="9.83203125" customWidth="1"/>
    <col min="28" max="28" width="14.5" customWidth="1"/>
    <col min="29" max="29" width="14" customWidth="1"/>
    <col min="30" max="30" width="17.5" customWidth="1"/>
    <col min="31" max="31" width="21.6640625" customWidth="1"/>
    <col min="32" max="32" width="22.1640625" customWidth="1"/>
    <col min="33" max="33" width="25.5" customWidth="1"/>
    <col min="34" max="34" width="21" customWidth="1"/>
    <col min="35" max="35" width="23.5" customWidth="1"/>
    <col min="36" max="36" width="11.33203125" customWidth="1"/>
    <col min="37" max="37" width="15" customWidth="1"/>
    <col min="38" max="38" width="18.6640625" customWidth="1"/>
    <col min="39" max="41" width="8.83203125" customWidth="1"/>
    <col min="42" max="42" width="20.5" customWidth="1"/>
    <col min="43" max="43" width="24" customWidth="1"/>
    <col min="44" max="44" width="16.83203125" customWidth="1"/>
    <col min="45" max="45" width="17" customWidth="1"/>
    <col min="46" max="46" width="9.6640625" customWidth="1"/>
    <col min="47" max="47" width="8.83203125" customWidth="1"/>
    <col min="48" max="48" width="13.6640625" customWidth="1"/>
    <col min="49" max="49" width="13.1640625" customWidth="1"/>
    <col min="50" max="50" width="14.6640625" customWidth="1"/>
    <col min="51" max="51" width="17.1640625" customWidth="1"/>
    <col min="52" max="52" width="12" customWidth="1"/>
    <col min="53" max="53" width="11.33203125" customWidth="1"/>
    <col min="54" max="54" width="15.6640625" customWidth="1"/>
    <col min="55" max="55" width="8.83203125" customWidth="1"/>
    <col min="56" max="56" width="11.1640625" customWidth="1"/>
    <col min="57" max="57" width="18.6640625" customWidth="1"/>
    <col min="58" max="58" width="17.5" customWidth="1"/>
    <col min="59" max="59" width="16.5" customWidth="1"/>
    <col min="60" max="60" width="16.6640625" customWidth="1"/>
    <col min="61" max="61" width="13.1640625" customWidth="1"/>
    <col min="62" max="62" width="19.5" customWidth="1"/>
    <col min="63" max="63" width="12.1640625" customWidth="1"/>
    <col min="64" max="64" width="25.6640625" customWidth="1"/>
    <col min="65" max="65" width="19" customWidth="1"/>
    <col min="66" max="66" width="17.1640625" customWidth="1"/>
    <col min="67" max="67" width="15" customWidth="1"/>
    <col min="68" max="256" width="8.83203125" customWidth="1"/>
  </cols>
  <sheetData>
    <row r="1" spans="1:68" x14ac:dyDescent="0.1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47</v>
      </c>
      <c r="AW1" t="s">
        <v>48</v>
      </c>
      <c r="AX1" t="s">
        <v>49</v>
      </c>
      <c r="AY1" t="s">
        <v>50</v>
      </c>
      <c r="AZ1" t="s">
        <v>51</v>
      </c>
      <c r="BA1" t="s">
        <v>52</v>
      </c>
      <c r="BB1" t="s">
        <v>53</v>
      </c>
      <c r="BC1" t="s">
        <v>54</v>
      </c>
      <c r="BD1" t="s">
        <v>55</v>
      </c>
      <c r="BE1" t="s">
        <v>56</v>
      </c>
      <c r="BF1" t="s">
        <v>57</v>
      </c>
      <c r="BG1" t="s">
        <v>58</v>
      </c>
      <c r="BH1" t="s">
        <v>59</v>
      </c>
      <c r="BI1" t="s">
        <v>60</v>
      </c>
      <c r="BJ1" t="s">
        <v>61</v>
      </c>
      <c r="BK1" t="s">
        <v>62</v>
      </c>
      <c r="BL1" t="s">
        <v>63</v>
      </c>
      <c r="BM1" t="s">
        <v>64</v>
      </c>
      <c r="BN1" t="s">
        <v>65</v>
      </c>
      <c r="BO1" t="s">
        <v>66</v>
      </c>
    </row>
    <row r="2" spans="1:68" x14ac:dyDescent="0.15">
      <c r="A2" t="s">
        <v>67</v>
      </c>
      <c r="B2" t="s">
        <v>68</v>
      </c>
      <c r="C2" t="s">
        <v>69</v>
      </c>
      <c r="D2" t="s">
        <v>69</v>
      </c>
      <c r="E2" t="s">
        <v>69</v>
      </c>
      <c r="F2" t="s">
        <v>70</v>
      </c>
      <c r="G2" t="s">
        <v>69</v>
      </c>
      <c r="H2" t="s">
        <v>69</v>
      </c>
      <c r="I2" t="s">
        <v>71</v>
      </c>
      <c r="J2" t="s">
        <v>72</v>
      </c>
      <c r="K2" t="s">
        <v>69</v>
      </c>
      <c r="L2" t="s">
        <v>69</v>
      </c>
      <c r="M2" t="s">
        <v>73</v>
      </c>
      <c r="N2" t="s">
        <v>74</v>
      </c>
      <c r="O2" t="s">
        <v>69</v>
      </c>
      <c r="P2" t="s">
        <v>69</v>
      </c>
      <c r="Q2" t="s">
        <v>69</v>
      </c>
      <c r="R2" t="s">
        <v>69</v>
      </c>
      <c r="S2" t="s">
        <v>69</v>
      </c>
      <c r="T2" t="s">
        <v>75</v>
      </c>
      <c r="U2" t="s">
        <v>69</v>
      </c>
      <c r="V2" t="s">
        <v>76</v>
      </c>
      <c r="W2" t="s">
        <v>77</v>
      </c>
      <c r="X2" t="s">
        <v>78</v>
      </c>
      <c r="Y2" t="s">
        <v>79</v>
      </c>
      <c r="Z2" t="s">
        <v>69</v>
      </c>
      <c r="AA2" t="s">
        <v>69</v>
      </c>
      <c r="AB2" t="s">
        <v>80</v>
      </c>
      <c r="AC2" t="s">
        <v>81</v>
      </c>
      <c r="AD2" t="s">
        <v>69</v>
      </c>
      <c r="AE2">
        <v>46</v>
      </c>
      <c r="AF2">
        <v>0</v>
      </c>
      <c r="AG2">
        <v>0</v>
      </c>
      <c r="AH2">
        <v>0</v>
      </c>
      <c r="AI2">
        <v>0</v>
      </c>
      <c r="AJ2" t="s">
        <v>82</v>
      </c>
      <c r="AK2" t="s">
        <v>83</v>
      </c>
      <c r="AL2" t="s">
        <v>84</v>
      </c>
      <c r="AM2" t="s">
        <v>69</v>
      </c>
      <c r="AN2" t="s">
        <v>85</v>
      </c>
      <c r="AO2" t="s">
        <v>69</v>
      </c>
      <c r="AP2" t="s">
        <v>86</v>
      </c>
      <c r="AQ2" t="s">
        <v>87</v>
      </c>
      <c r="AR2" t="s">
        <v>88</v>
      </c>
      <c r="AS2">
        <v>2021</v>
      </c>
      <c r="AT2">
        <v>13</v>
      </c>
      <c r="AU2">
        <v>7</v>
      </c>
      <c r="AV2" t="s">
        <v>69</v>
      </c>
      <c r="AW2" t="s">
        <v>69</v>
      </c>
      <c r="AX2" t="s">
        <v>69</v>
      </c>
      <c r="AY2" t="s">
        <v>69</v>
      </c>
      <c r="AZ2" t="s">
        <v>69</v>
      </c>
      <c r="BA2" t="s">
        <v>69</v>
      </c>
      <c r="BB2">
        <v>3849</v>
      </c>
      <c r="BC2" t="s">
        <v>89</v>
      </c>
      <c r="BD2" t="s">
        <v>69</v>
      </c>
      <c r="BE2" t="s">
        <v>69</v>
      </c>
      <c r="BF2">
        <v>16</v>
      </c>
      <c r="BG2" t="s">
        <v>90</v>
      </c>
      <c r="BH2" t="s">
        <v>91</v>
      </c>
      <c r="BI2" t="s">
        <v>92</v>
      </c>
      <c r="BJ2" t="s">
        <v>93</v>
      </c>
      <c r="BK2" t="s">
        <v>69</v>
      </c>
      <c r="BL2" t="s">
        <v>94</v>
      </c>
      <c r="BM2" t="s">
        <v>69</v>
      </c>
      <c r="BN2" t="s">
        <v>69</v>
      </c>
      <c r="BO2" t="s">
        <v>95</v>
      </c>
      <c r="BP2" t="s">
        <v>69</v>
      </c>
    </row>
    <row r="3" spans="1:68" x14ac:dyDescent="0.15">
      <c r="A3" t="s">
        <v>67</v>
      </c>
      <c r="B3" t="s">
        <v>96</v>
      </c>
      <c r="C3" t="s">
        <v>69</v>
      </c>
      <c r="D3" t="s">
        <v>69</v>
      </c>
      <c r="E3" t="s">
        <v>69</v>
      </c>
      <c r="F3" t="s">
        <v>97</v>
      </c>
      <c r="G3" t="s">
        <v>69</v>
      </c>
      <c r="H3" t="s">
        <v>69</v>
      </c>
      <c r="I3" t="s">
        <v>98</v>
      </c>
      <c r="J3" t="s">
        <v>99</v>
      </c>
      <c r="K3" t="s">
        <v>69</v>
      </c>
      <c r="L3" t="s">
        <v>69</v>
      </c>
      <c r="M3" t="s">
        <v>73</v>
      </c>
      <c r="N3" t="s">
        <v>100</v>
      </c>
      <c r="O3" t="s">
        <v>69</v>
      </c>
      <c r="P3" t="s">
        <v>69</v>
      </c>
      <c r="Q3" t="s">
        <v>69</v>
      </c>
      <c r="R3" t="s">
        <v>69</v>
      </c>
      <c r="S3" t="s">
        <v>69</v>
      </c>
      <c r="T3" t="s">
        <v>101</v>
      </c>
      <c r="U3" t="s">
        <v>69</v>
      </c>
      <c r="V3" t="s">
        <v>102</v>
      </c>
      <c r="W3" t="s">
        <v>103</v>
      </c>
      <c r="X3" t="s">
        <v>104</v>
      </c>
      <c r="Y3" t="s">
        <v>105</v>
      </c>
      <c r="Z3" t="s">
        <v>69</v>
      </c>
      <c r="AA3" t="s">
        <v>69</v>
      </c>
      <c r="AB3" t="s">
        <v>106</v>
      </c>
      <c r="AC3" t="s">
        <v>107</v>
      </c>
      <c r="AD3" t="s">
        <v>69</v>
      </c>
      <c r="AE3">
        <v>40</v>
      </c>
      <c r="AF3">
        <v>0</v>
      </c>
      <c r="AG3">
        <v>0</v>
      </c>
      <c r="AH3">
        <v>2</v>
      </c>
      <c r="AI3">
        <v>2</v>
      </c>
      <c r="AJ3" t="s">
        <v>108</v>
      </c>
      <c r="AK3" t="s">
        <v>109</v>
      </c>
      <c r="AL3" t="s">
        <v>110</v>
      </c>
      <c r="AM3" t="s">
        <v>111</v>
      </c>
      <c r="AN3" t="s">
        <v>112</v>
      </c>
      <c r="AO3" t="s">
        <v>69</v>
      </c>
      <c r="AP3" t="s">
        <v>113</v>
      </c>
      <c r="AQ3" t="s">
        <v>114</v>
      </c>
      <c r="AR3" t="s">
        <v>69</v>
      </c>
      <c r="AS3" t="s">
        <v>69</v>
      </c>
      <c r="AT3" t="s">
        <v>69</v>
      </c>
      <c r="AU3" t="s">
        <v>69</v>
      </c>
      <c r="AV3" t="s">
        <v>69</v>
      </c>
      <c r="AW3" t="s">
        <v>69</v>
      </c>
      <c r="AX3" t="s">
        <v>69</v>
      </c>
      <c r="AY3" t="s">
        <v>69</v>
      </c>
      <c r="AZ3" t="s">
        <v>69</v>
      </c>
      <c r="BA3" t="s">
        <v>69</v>
      </c>
      <c r="BB3" t="s">
        <v>69</v>
      </c>
      <c r="BC3" t="s">
        <v>115</v>
      </c>
      <c r="BD3" t="s">
        <v>69</v>
      </c>
      <c r="BE3" t="s">
        <v>116</v>
      </c>
      <c r="BF3">
        <v>22</v>
      </c>
      <c r="BG3" t="s">
        <v>117</v>
      </c>
      <c r="BH3" t="s">
        <v>117</v>
      </c>
      <c r="BI3" t="s">
        <v>118</v>
      </c>
      <c r="BJ3" t="s">
        <v>119</v>
      </c>
      <c r="BK3" t="s">
        <v>69</v>
      </c>
      <c r="BL3" t="s">
        <v>69</v>
      </c>
      <c r="BM3" t="s">
        <v>69</v>
      </c>
      <c r="BN3" t="s">
        <v>69</v>
      </c>
      <c r="BO3" t="s">
        <v>95</v>
      </c>
      <c r="BP3" t="s">
        <v>69</v>
      </c>
    </row>
    <row r="4" spans="1:68" x14ac:dyDescent="0.15">
      <c r="A4" t="s">
        <v>67</v>
      </c>
      <c r="B4" t="s">
        <v>120</v>
      </c>
      <c r="C4" t="s">
        <v>69</v>
      </c>
      <c r="D4" t="s">
        <v>69</v>
      </c>
      <c r="E4" t="s">
        <v>69</v>
      </c>
      <c r="F4" t="s">
        <v>121</v>
      </c>
      <c r="G4" t="s">
        <v>69</v>
      </c>
      <c r="H4" t="s">
        <v>69</v>
      </c>
      <c r="I4" t="s">
        <v>122</v>
      </c>
      <c r="J4" t="s">
        <v>123</v>
      </c>
      <c r="K4" t="s">
        <v>69</v>
      </c>
      <c r="L4" t="s">
        <v>69</v>
      </c>
      <c r="M4" t="s">
        <v>73</v>
      </c>
      <c r="N4" t="s">
        <v>74</v>
      </c>
      <c r="O4" t="s">
        <v>69</v>
      </c>
      <c r="P4" t="s">
        <v>69</v>
      </c>
      <c r="Q4" t="s">
        <v>69</v>
      </c>
      <c r="R4" t="s">
        <v>69</v>
      </c>
      <c r="S4" t="s">
        <v>69</v>
      </c>
      <c r="T4" t="s">
        <v>124</v>
      </c>
      <c r="U4" t="s">
        <v>69</v>
      </c>
      <c r="V4" t="s">
        <v>125</v>
      </c>
      <c r="W4" t="s">
        <v>126</v>
      </c>
      <c r="X4" t="s">
        <v>127</v>
      </c>
      <c r="Y4" t="s">
        <v>128</v>
      </c>
      <c r="Z4" t="s">
        <v>129</v>
      </c>
      <c r="AA4" t="s">
        <v>130</v>
      </c>
      <c r="AB4" t="s">
        <v>69</v>
      </c>
      <c r="AC4" t="s">
        <v>69</v>
      </c>
      <c r="AD4" t="s">
        <v>69</v>
      </c>
      <c r="AE4">
        <v>86</v>
      </c>
      <c r="AF4">
        <v>0</v>
      </c>
      <c r="AG4">
        <v>0</v>
      </c>
      <c r="AH4">
        <v>0</v>
      </c>
      <c r="AI4">
        <v>0</v>
      </c>
      <c r="AJ4" t="s">
        <v>131</v>
      </c>
      <c r="AK4" t="s">
        <v>132</v>
      </c>
      <c r="AL4" t="s">
        <v>133</v>
      </c>
      <c r="AM4" t="s">
        <v>134</v>
      </c>
      <c r="AN4" t="s">
        <v>135</v>
      </c>
      <c r="AO4" t="s">
        <v>69</v>
      </c>
      <c r="AP4" t="s">
        <v>136</v>
      </c>
      <c r="AQ4" t="s">
        <v>137</v>
      </c>
      <c r="AR4" t="s">
        <v>138</v>
      </c>
      <c r="AS4">
        <v>2021</v>
      </c>
      <c r="AT4">
        <v>23</v>
      </c>
      <c r="AU4">
        <v>1</v>
      </c>
      <c r="AV4" t="s">
        <v>69</v>
      </c>
      <c r="AW4" t="s">
        <v>69</v>
      </c>
      <c r="AX4" t="s">
        <v>69</v>
      </c>
      <c r="AY4" t="s">
        <v>69</v>
      </c>
      <c r="AZ4">
        <v>44</v>
      </c>
      <c r="BA4">
        <v>58</v>
      </c>
      <c r="BB4" t="s">
        <v>69</v>
      </c>
      <c r="BC4" t="s">
        <v>139</v>
      </c>
      <c r="BD4" t="s">
        <v>69</v>
      </c>
      <c r="BE4" t="s">
        <v>69</v>
      </c>
      <c r="BF4">
        <v>15</v>
      </c>
      <c r="BG4" t="s">
        <v>140</v>
      </c>
      <c r="BH4" t="s">
        <v>140</v>
      </c>
      <c r="BI4" t="s">
        <v>141</v>
      </c>
      <c r="BJ4" t="s">
        <v>142</v>
      </c>
      <c r="BK4" t="s">
        <v>69</v>
      </c>
      <c r="BL4" t="s">
        <v>69</v>
      </c>
      <c r="BM4" t="s">
        <v>69</v>
      </c>
      <c r="BN4" t="s">
        <v>69</v>
      </c>
      <c r="BO4" t="s">
        <v>95</v>
      </c>
      <c r="BP4" t="s">
        <v>69</v>
      </c>
    </row>
    <row r="5" spans="1:68" x14ac:dyDescent="0.15">
      <c r="A5" t="s">
        <v>67</v>
      </c>
      <c r="B5" t="s">
        <v>143</v>
      </c>
      <c r="C5" t="s">
        <v>69</v>
      </c>
      <c r="D5" t="s">
        <v>69</v>
      </c>
      <c r="E5" t="s">
        <v>69</v>
      </c>
      <c r="F5" t="s">
        <v>144</v>
      </c>
      <c r="G5" t="s">
        <v>69</v>
      </c>
      <c r="H5" t="s">
        <v>69</v>
      </c>
      <c r="I5" t="s">
        <v>145</v>
      </c>
      <c r="J5" t="s">
        <v>146</v>
      </c>
      <c r="K5" t="s">
        <v>69</v>
      </c>
      <c r="L5" t="s">
        <v>69</v>
      </c>
      <c r="M5" t="s">
        <v>73</v>
      </c>
      <c r="N5" t="s">
        <v>100</v>
      </c>
      <c r="O5" t="s">
        <v>69</v>
      </c>
      <c r="P5" t="s">
        <v>69</v>
      </c>
      <c r="Q5" t="s">
        <v>69</v>
      </c>
      <c r="R5" t="s">
        <v>69</v>
      </c>
      <c r="S5" t="s">
        <v>69</v>
      </c>
      <c r="T5" t="s">
        <v>147</v>
      </c>
      <c r="U5" t="s">
        <v>69</v>
      </c>
      <c r="V5" t="s">
        <v>148</v>
      </c>
      <c r="W5" t="s">
        <v>149</v>
      </c>
      <c r="X5" t="s">
        <v>150</v>
      </c>
      <c r="Y5" t="s">
        <v>151</v>
      </c>
      <c r="Z5" t="s">
        <v>69</v>
      </c>
      <c r="AA5" t="s">
        <v>152</v>
      </c>
      <c r="AB5" t="s">
        <v>153</v>
      </c>
      <c r="AC5" t="s">
        <v>154</v>
      </c>
      <c r="AD5" t="s">
        <v>69</v>
      </c>
      <c r="AE5">
        <v>38</v>
      </c>
      <c r="AF5">
        <v>0</v>
      </c>
      <c r="AG5">
        <v>0</v>
      </c>
      <c r="AH5">
        <v>0</v>
      </c>
      <c r="AI5">
        <v>0</v>
      </c>
      <c r="AJ5" t="s">
        <v>155</v>
      </c>
      <c r="AK5" t="s">
        <v>156</v>
      </c>
      <c r="AL5" t="s">
        <v>157</v>
      </c>
      <c r="AM5" t="s">
        <v>158</v>
      </c>
      <c r="AN5" t="s">
        <v>159</v>
      </c>
      <c r="AO5" t="s">
        <v>69</v>
      </c>
      <c r="AP5" t="s">
        <v>160</v>
      </c>
      <c r="AQ5" t="s">
        <v>161</v>
      </c>
      <c r="AR5" t="s">
        <v>69</v>
      </c>
      <c r="AS5" t="s">
        <v>69</v>
      </c>
      <c r="AT5" t="s">
        <v>69</v>
      </c>
      <c r="AU5" t="s">
        <v>69</v>
      </c>
      <c r="AV5" t="s">
        <v>69</v>
      </c>
      <c r="AW5" t="s">
        <v>69</v>
      </c>
      <c r="AX5" t="s">
        <v>69</v>
      </c>
      <c r="AY5" t="s">
        <v>69</v>
      </c>
      <c r="AZ5" t="s">
        <v>69</v>
      </c>
      <c r="BA5" t="s">
        <v>69</v>
      </c>
      <c r="BB5">
        <v>1.7423953211000412E+16</v>
      </c>
      <c r="BC5" t="s">
        <v>162</v>
      </c>
      <c r="BD5" t="s">
        <v>69</v>
      </c>
      <c r="BE5" t="s">
        <v>116</v>
      </c>
      <c r="BF5">
        <v>13</v>
      </c>
      <c r="BG5" t="s">
        <v>163</v>
      </c>
      <c r="BH5" t="s">
        <v>164</v>
      </c>
      <c r="BI5" t="s">
        <v>165</v>
      </c>
      <c r="BJ5" t="s">
        <v>166</v>
      </c>
      <c r="BK5">
        <v>33726528</v>
      </c>
      <c r="BL5" t="s">
        <v>69</v>
      </c>
      <c r="BM5" t="s">
        <v>69</v>
      </c>
      <c r="BN5" t="s">
        <v>69</v>
      </c>
      <c r="BO5" t="s">
        <v>95</v>
      </c>
      <c r="BP5" t="s">
        <v>69</v>
      </c>
    </row>
    <row r="6" spans="1:68" x14ac:dyDescent="0.15">
      <c r="A6" t="s">
        <v>67</v>
      </c>
      <c r="B6" t="s">
        <v>120</v>
      </c>
      <c r="C6" t="s">
        <v>69</v>
      </c>
      <c r="D6" t="s">
        <v>69</v>
      </c>
      <c r="E6" t="s">
        <v>69</v>
      </c>
      <c r="F6" t="s">
        <v>121</v>
      </c>
      <c r="G6" t="s">
        <v>69</v>
      </c>
      <c r="H6" t="s">
        <v>69</v>
      </c>
      <c r="I6" t="s">
        <v>122</v>
      </c>
      <c r="J6" t="s">
        <v>123</v>
      </c>
      <c r="K6" t="s">
        <v>69</v>
      </c>
      <c r="L6" t="s">
        <v>69</v>
      </c>
      <c r="M6" t="s">
        <v>73</v>
      </c>
      <c r="N6" t="s">
        <v>100</v>
      </c>
      <c r="O6" t="s">
        <v>69</v>
      </c>
      <c r="P6" t="s">
        <v>69</v>
      </c>
      <c r="Q6" t="s">
        <v>69</v>
      </c>
      <c r="R6" t="s">
        <v>69</v>
      </c>
      <c r="S6" t="s">
        <v>69</v>
      </c>
      <c r="T6" t="s">
        <v>124</v>
      </c>
      <c r="U6" t="s">
        <v>69</v>
      </c>
      <c r="V6" t="s">
        <v>167</v>
      </c>
      <c r="W6" t="s">
        <v>126</v>
      </c>
      <c r="X6" t="s">
        <v>127</v>
      </c>
      <c r="Y6" t="s">
        <v>128</v>
      </c>
      <c r="Z6" t="s">
        <v>129</v>
      </c>
      <c r="AA6" t="s">
        <v>130</v>
      </c>
      <c r="AB6" t="s">
        <v>69</v>
      </c>
      <c r="AC6" t="s">
        <v>69</v>
      </c>
      <c r="AD6" t="s">
        <v>69</v>
      </c>
      <c r="AE6">
        <v>86</v>
      </c>
      <c r="AF6">
        <v>0</v>
      </c>
      <c r="AG6">
        <v>0</v>
      </c>
      <c r="AH6">
        <v>0</v>
      </c>
      <c r="AI6">
        <v>0</v>
      </c>
      <c r="AJ6" t="s">
        <v>131</v>
      </c>
      <c r="AK6" t="s">
        <v>132</v>
      </c>
      <c r="AL6" t="s">
        <v>133</v>
      </c>
      <c r="AM6" t="s">
        <v>134</v>
      </c>
      <c r="AN6" t="s">
        <v>135</v>
      </c>
      <c r="AO6" t="s">
        <v>69</v>
      </c>
      <c r="AP6" t="s">
        <v>136</v>
      </c>
      <c r="AQ6" t="s">
        <v>137</v>
      </c>
      <c r="AR6" t="s">
        <v>69</v>
      </c>
      <c r="AS6" t="s">
        <v>69</v>
      </c>
      <c r="AT6" t="s">
        <v>69</v>
      </c>
      <c r="AU6" t="s">
        <v>69</v>
      </c>
      <c r="AV6" t="s">
        <v>69</v>
      </c>
      <c r="AW6" t="s">
        <v>69</v>
      </c>
      <c r="AX6" t="s">
        <v>69</v>
      </c>
      <c r="AY6" t="s">
        <v>69</v>
      </c>
      <c r="AZ6" t="s">
        <v>69</v>
      </c>
      <c r="BA6" t="s">
        <v>69</v>
      </c>
      <c r="BB6" t="s">
        <v>69</v>
      </c>
      <c r="BC6" t="s">
        <v>139</v>
      </c>
      <c r="BD6" t="s">
        <v>69</v>
      </c>
      <c r="BE6" t="s">
        <v>116</v>
      </c>
      <c r="BF6">
        <v>15</v>
      </c>
      <c r="BG6" t="s">
        <v>140</v>
      </c>
      <c r="BH6" t="s">
        <v>140</v>
      </c>
      <c r="BI6" t="s">
        <v>168</v>
      </c>
      <c r="BJ6" t="s">
        <v>169</v>
      </c>
      <c r="BK6" t="s">
        <v>69</v>
      </c>
      <c r="BL6" t="s">
        <v>69</v>
      </c>
      <c r="BM6" t="s">
        <v>69</v>
      </c>
      <c r="BN6" t="s">
        <v>69</v>
      </c>
      <c r="BO6" t="s">
        <v>95</v>
      </c>
      <c r="BP6" t="s">
        <v>69</v>
      </c>
    </row>
    <row r="7" spans="1:68" x14ac:dyDescent="0.15">
      <c r="A7" t="s">
        <v>67</v>
      </c>
      <c r="B7" t="s">
        <v>170</v>
      </c>
      <c r="C7" t="s">
        <v>69</v>
      </c>
      <c r="D7" t="s">
        <v>69</v>
      </c>
      <c r="E7" t="s">
        <v>69</v>
      </c>
      <c r="F7" t="s">
        <v>171</v>
      </c>
      <c r="G7" t="s">
        <v>69</v>
      </c>
      <c r="H7" t="s">
        <v>69</v>
      </c>
      <c r="I7" t="s">
        <v>172</v>
      </c>
      <c r="J7" t="s">
        <v>173</v>
      </c>
      <c r="K7" t="s">
        <v>69</v>
      </c>
      <c r="L7" t="s">
        <v>69</v>
      </c>
      <c r="M7" t="s">
        <v>73</v>
      </c>
      <c r="N7" t="s">
        <v>100</v>
      </c>
      <c r="O7" t="s">
        <v>69</v>
      </c>
      <c r="P7" t="s">
        <v>69</v>
      </c>
      <c r="Q7" t="s">
        <v>69</v>
      </c>
      <c r="R7" t="s">
        <v>69</v>
      </c>
      <c r="S7" t="s">
        <v>69</v>
      </c>
      <c r="T7" t="s">
        <v>174</v>
      </c>
      <c r="U7" t="s">
        <v>69</v>
      </c>
      <c r="V7" t="s">
        <v>175</v>
      </c>
      <c r="W7" t="s">
        <v>176</v>
      </c>
      <c r="X7" t="s">
        <v>177</v>
      </c>
      <c r="Y7" t="s">
        <v>178</v>
      </c>
      <c r="Z7" t="s">
        <v>69</v>
      </c>
      <c r="AA7" t="s">
        <v>179</v>
      </c>
      <c r="AB7" t="s">
        <v>69</v>
      </c>
      <c r="AC7" t="s">
        <v>69</v>
      </c>
      <c r="AD7" t="s">
        <v>69</v>
      </c>
      <c r="AE7">
        <v>64</v>
      </c>
      <c r="AF7">
        <v>0</v>
      </c>
      <c r="AG7">
        <v>0</v>
      </c>
      <c r="AH7">
        <v>0</v>
      </c>
      <c r="AI7">
        <v>0</v>
      </c>
      <c r="AJ7" t="s">
        <v>180</v>
      </c>
      <c r="AK7" t="s">
        <v>181</v>
      </c>
      <c r="AL7" t="s">
        <v>182</v>
      </c>
      <c r="AM7" t="s">
        <v>183</v>
      </c>
      <c r="AN7" t="s">
        <v>184</v>
      </c>
      <c r="AO7" t="s">
        <v>69</v>
      </c>
      <c r="AP7" t="s">
        <v>185</v>
      </c>
      <c r="AQ7" t="s">
        <v>186</v>
      </c>
      <c r="AR7" t="s">
        <v>69</v>
      </c>
      <c r="AS7" t="s">
        <v>69</v>
      </c>
      <c r="AT7" t="s">
        <v>69</v>
      </c>
      <c r="AU7" t="s">
        <v>69</v>
      </c>
      <c r="AV7" t="s">
        <v>69</v>
      </c>
      <c r="AW7" t="s">
        <v>69</v>
      </c>
      <c r="AX7" t="s">
        <v>69</v>
      </c>
      <c r="AY7" t="s">
        <v>69</v>
      </c>
      <c r="AZ7" t="s">
        <v>69</v>
      </c>
      <c r="BA7" t="s">
        <v>69</v>
      </c>
      <c r="BB7" t="s">
        <v>187</v>
      </c>
      <c r="BC7" t="s">
        <v>188</v>
      </c>
      <c r="BD7" t="s">
        <v>69</v>
      </c>
      <c r="BE7" t="s">
        <v>189</v>
      </c>
      <c r="BF7">
        <v>27</v>
      </c>
      <c r="BG7" t="s">
        <v>190</v>
      </c>
      <c r="BH7" t="s">
        <v>191</v>
      </c>
      <c r="BI7" t="s">
        <v>192</v>
      </c>
      <c r="BJ7" t="s">
        <v>193</v>
      </c>
      <c r="BK7">
        <v>33567954</v>
      </c>
      <c r="BL7" t="s">
        <v>69</v>
      </c>
      <c r="BM7" t="s">
        <v>69</v>
      </c>
      <c r="BN7" t="s">
        <v>69</v>
      </c>
      <c r="BO7" t="s">
        <v>95</v>
      </c>
      <c r="BP7" t="s">
        <v>69</v>
      </c>
    </row>
    <row r="8" spans="1:68" x14ac:dyDescent="0.15">
      <c r="A8" t="s">
        <v>67</v>
      </c>
      <c r="B8" t="s">
        <v>194</v>
      </c>
      <c r="C8" t="s">
        <v>69</v>
      </c>
      <c r="D8" t="s">
        <v>69</v>
      </c>
      <c r="E8" t="s">
        <v>69</v>
      </c>
      <c r="F8" t="s">
        <v>195</v>
      </c>
      <c r="G8" t="s">
        <v>69</v>
      </c>
      <c r="H8" t="s">
        <v>69</v>
      </c>
      <c r="I8" t="s">
        <v>196</v>
      </c>
      <c r="J8" t="s">
        <v>197</v>
      </c>
      <c r="K8" t="s">
        <v>69</v>
      </c>
      <c r="L8" t="s">
        <v>69</v>
      </c>
      <c r="M8" t="s">
        <v>73</v>
      </c>
      <c r="N8" t="s">
        <v>100</v>
      </c>
      <c r="O8" t="s">
        <v>69</v>
      </c>
      <c r="P8" t="s">
        <v>69</v>
      </c>
      <c r="Q8" t="s">
        <v>69</v>
      </c>
      <c r="R8" t="s">
        <v>69</v>
      </c>
      <c r="S8" t="s">
        <v>69</v>
      </c>
      <c r="T8" t="s">
        <v>198</v>
      </c>
      <c r="U8" t="s">
        <v>69</v>
      </c>
      <c r="V8" t="s">
        <v>199</v>
      </c>
      <c r="W8" t="s">
        <v>200</v>
      </c>
      <c r="X8" t="s">
        <v>201</v>
      </c>
      <c r="Y8" t="s">
        <v>202</v>
      </c>
      <c r="Z8" t="s">
        <v>69</v>
      </c>
      <c r="AA8" t="s">
        <v>69</v>
      </c>
      <c r="AB8" t="s">
        <v>203</v>
      </c>
      <c r="AC8" t="s">
        <v>204</v>
      </c>
      <c r="AD8" t="s">
        <v>69</v>
      </c>
      <c r="AE8">
        <v>91</v>
      </c>
      <c r="AF8">
        <v>0</v>
      </c>
      <c r="AG8">
        <v>0</v>
      </c>
      <c r="AH8">
        <v>2</v>
      </c>
      <c r="AI8">
        <v>2</v>
      </c>
      <c r="AJ8" t="s">
        <v>108</v>
      </c>
      <c r="AK8" t="s">
        <v>109</v>
      </c>
      <c r="AL8" t="s">
        <v>110</v>
      </c>
      <c r="AM8" t="s">
        <v>205</v>
      </c>
      <c r="AN8" t="s">
        <v>206</v>
      </c>
      <c r="AO8" t="s">
        <v>69</v>
      </c>
      <c r="AP8" t="s">
        <v>207</v>
      </c>
      <c r="AQ8" t="s">
        <v>208</v>
      </c>
      <c r="AR8" t="s">
        <v>69</v>
      </c>
      <c r="AS8" t="s">
        <v>69</v>
      </c>
      <c r="AT8" t="s">
        <v>69</v>
      </c>
      <c r="AU8" t="s">
        <v>69</v>
      </c>
      <c r="AV8" t="s">
        <v>69</v>
      </c>
      <c r="AW8" t="s">
        <v>69</v>
      </c>
      <c r="AX8" t="s">
        <v>69</v>
      </c>
      <c r="AY8" t="s">
        <v>69</v>
      </c>
      <c r="AZ8" t="s">
        <v>69</v>
      </c>
      <c r="BA8" t="s">
        <v>69</v>
      </c>
      <c r="BB8" t="s">
        <v>69</v>
      </c>
      <c r="BC8" t="s">
        <v>209</v>
      </c>
      <c r="BD8" t="s">
        <v>69</v>
      </c>
      <c r="BE8" t="s">
        <v>189</v>
      </c>
      <c r="BF8">
        <v>28</v>
      </c>
      <c r="BG8" t="s">
        <v>210</v>
      </c>
      <c r="BH8" t="s">
        <v>210</v>
      </c>
      <c r="BI8" t="s">
        <v>211</v>
      </c>
      <c r="BJ8" t="s">
        <v>212</v>
      </c>
      <c r="BK8" t="s">
        <v>69</v>
      </c>
      <c r="BL8" t="s">
        <v>213</v>
      </c>
      <c r="BM8" t="s">
        <v>69</v>
      </c>
      <c r="BN8" t="s">
        <v>69</v>
      </c>
      <c r="BO8" t="s">
        <v>95</v>
      </c>
      <c r="BP8" t="s">
        <v>69</v>
      </c>
    </row>
    <row r="9" spans="1:68" x14ac:dyDescent="0.15">
      <c r="A9" t="s">
        <v>67</v>
      </c>
      <c r="B9" t="s">
        <v>214</v>
      </c>
      <c r="C9" t="s">
        <v>69</v>
      </c>
      <c r="D9" t="s">
        <v>69</v>
      </c>
      <c r="E9" t="s">
        <v>69</v>
      </c>
      <c r="F9" t="s">
        <v>215</v>
      </c>
      <c r="G9" t="s">
        <v>69</v>
      </c>
      <c r="H9" t="s">
        <v>69</v>
      </c>
      <c r="I9" t="s">
        <v>216</v>
      </c>
      <c r="J9" t="s">
        <v>217</v>
      </c>
      <c r="K9" t="s">
        <v>69</v>
      </c>
      <c r="L9" t="s">
        <v>69</v>
      </c>
      <c r="M9" t="s">
        <v>73</v>
      </c>
      <c r="N9" t="s">
        <v>100</v>
      </c>
      <c r="O9" t="s">
        <v>69</v>
      </c>
      <c r="P9" t="s">
        <v>69</v>
      </c>
      <c r="Q9" t="s">
        <v>69</v>
      </c>
      <c r="R9" t="s">
        <v>69</v>
      </c>
      <c r="S9" t="s">
        <v>69</v>
      </c>
      <c r="T9" t="s">
        <v>218</v>
      </c>
      <c r="U9" t="s">
        <v>69</v>
      </c>
      <c r="V9" t="s">
        <v>219</v>
      </c>
      <c r="W9" t="s">
        <v>220</v>
      </c>
      <c r="X9" t="s">
        <v>221</v>
      </c>
      <c r="Y9" t="s">
        <v>222</v>
      </c>
      <c r="Z9" t="s">
        <v>69</v>
      </c>
      <c r="AA9" t="s">
        <v>69</v>
      </c>
      <c r="AB9" t="s">
        <v>69</v>
      </c>
      <c r="AC9" t="s">
        <v>69</v>
      </c>
      <c r="AD9" t="s">
        <v>69</v>
      </c>
      <c r="AE9">
        <v>119</v>
      </c>
      <c r="AF9">
        <v>0</v>
      </c>
      <c r="AG9">
        <v>0</v>
      </c>
      <c r="AH9">
        <v>5</v>
      </c>
      <c r="AI9">
        <v>5</v>
      </c>
      <c r="AJ9" t="s">
        <v>223</v>
      </c>
      <c r="AK9" t="s">
        <v>224</v>
      </c>
      <c r="AL9" t="s">
        <v>225</v>
      </c>
      <c r="AM9" t="s">
        <v>226</v>
      </c>
      <c r="AN9" t="s">
        <v>227</v>
      </c>
      <c r="AO9" t="s">
        <v>69</v>
      </c>
      <c r="AP9" t="s">
        <v>228</v>
      </c>
      <c r="AQ9" t="s">
        <v>229</v>
      </c>
      <c r="AR9" t="s">
        <v>69</v>
      </c>
      <c r="AS9" t="s">
        <v>69</v>
      </c>
      <c r="AT9" t="s">
        <v>69</v>
      </c>
      <c r="AU9" t="s">
        <v>69</v>
      </c>
      <c r="AV9" t="s">
        <v>69</v>
      </c>
      <c r="AW9" t="s">
        <v>69</v>
      </c>
      <c r="AX9" t="s">
        <v>69</v>
      </c>
      <c r="AY9" t="s">
        <v>69</v>
      </c>
      <c r="AZ9" t="s">
        <v>69</v>
      </c>
      <c r="BA9" t="s">
        <v>69</v>
      </c>
      <c r="BB9" t="s">
        <v>69</v>
      </c>
      <c r="BC9" t="s">
        <v>230</v>
      </c>
      <c r="BD9" t="s">
        <v>69</v>
      </c>
      <c r="BE9" t="s">
        <v>189</v>
      </c>
      <c r="BF9">
        <v>23</v>
      </c>
      <c r="BG9" t="s">
        <v>231</v>
      </c>
      <c r="BH9" t="s">
        <v>232</v>
      </c>
      <c r="BI9" t="s">
        <v>233</v>
      </c>
      <c r="BJ9" t="s">
        <v>234</v>
      </c>
      <c r="BK9" t="s">
        <v>69</v>
      </c>
      <c r="BL9" t="s">
        <v>69</v>
      </c>
      <c r="BM9" t="s">
        <v>69</v>
      </c>
      <c r="BN9" t="s">
        <v>69</v>
      </c>
      <c r="BO9" t="s">
        <v>95</v>
      </c>
      <c r="BP9" t="s">
        <v>69</v>
      </c>
    </row>
    <row r="10" spans="1:68" x14ac:dyDescent="0.15">
      <c r="A10" t="s">
        <v>67</v>
      </c>
      <c r="B10" t="s">
        <v>235</v>
      </c>
      <c r="C10" t="s">
        <v>69</v>
      </c>
      <c r="D10" t="s">
        <v>69</v>
      </c>
      <c r="E10" t="s">
        <v>69</v>
      </c>
      <c r="F10" t="s">
        <v>236</v>
      </c>
      <c r="G10" t="s">
        <v>69</v>
      </c>
      <c r="H10" t="s">
        <v>69</v>
      </c>
      <c r="I10" t="s">
        <v>237</v>
      </c>
      <c r="J10" t="s">
        <v>238</v>
      </c>
      <c r="K10" t="s">
        <v>69</v>
      </c>
      <c r="L10" t="s">
        <v>69</v>
      </c>
      <c r="M10" t="s">
        <v>73</v>
      </c>
      <c r="N10" t="s">
        <v>100</v>
      </c>
      <c r="O10" t="s">
        <v>69</v>
      </c>
      <c r="P10" t="s">
        <v>69</v>
      </c>
      <c r="Q10" t="s">
        <v>69</v>
      </c>
      <c r="R10" t="s">
        <v>69</v>
      </c>
      <c r="S10" t="s">
        <v>69</v>
      </c>
      <c r="T10" t="s">
        <v>239</v>
      </c>
      <c r="U10" t="s">
        <v>240</v>
      </c>
      <c r="V10" t="s">
        <v>241</v>
      </c>
      <c r="W10" t="s">
        <v>242</v>
      </c>
      <c r="X10" t="s">
        <v>243</v>
      </c>
      <c r="Y10" t="s">
        <v>244</v>
      </c>
      <c r="Z10" t="s">
        <v>69</v>
      </c>
      <c r="AA10" t="s">
        <v>69</v>
      </c>
      <c r="AB10" t="s">
        <v>69</v>
      </c>
      <c r="AC10" t="s">
        <v>69</v>
      </c>
      <c r="AD10" t="s">
        <v>69</v>
      </c>
      <c r="AE10">
        <v>77</v>
      </c>
      <c r="AF10">
        <v>1</v>
      </c>
      <c r="AG10">
        <v>1</v>
      </c>
      <c r="AH10">
        <v>2</v>
      </c>
      <c r="AI10">
        <v>2</v>
      </c>
      <c r="AJ10" t="s">
        <v>223</v>
      </c>
      <c r="AK10" t="s">
        <v>224</v>
      </c>
      <c r="AL10" t="s">
        <v>225</v>
      </c>
      <c r="AM10" t="s">
        <v>245</v>
      </c>
      <c r="AN10" t="s">
        <v>246</v>
      </c>
      <c r="AO10" t="s">
        <v>69</v>
      </c>
      <c r="AP10" t="s">
        <v>247</v>
      </c>
      <c r="AQ10" t="s">
        <v>248</v>
      </c>
      <c r="AR10" t="s">
        <v>69</v>
      </c>
      <c r="AS10" t="s">
        <v>69</v>
      </c>
      <c r="AT10" t="s">
        <v>69</v>
      </c>
      <c r="AU10" t="s">
        <v>69</v>
      </c>
      <c r="AV10" t="s">
        <v>69</v>
      </c>
      <c r="AW10" t="s">
        <v>69</v>
      </c>
      <c r="AX10" t="s">
        <v>69</v>
      </c>
      <c r="AY10" t="s">
        <v>69</v>
      </c>
      <c r="AZ10" t="s">
        <v>69</v>
      </c>
      <c r="BA10" t="s">
        <v>69</v>
      </c>
      <c r="BB10" t="s">
        <v>69</v>
      </c>
      <c r="BC10" t="s">
        <v>249</v>
      </c>
      <c r="BD10" t="s">
        <v>69</v>
      </c>
      <c r="BE10" t="s">
        <v>250</v>
      </c>
      <c r="BF10">
        <v>17</v>
      </c>
      <c r="BG10" t="s">
        <v>251</v>
      </c>
      <c r="BH10" t="s">
        <v>251</v>
      </c>
      <c r="BI10" t="s">
        <v>252</v>
      </c>
      <c r="BJ10" t="s">
        <v>253</v>
      </c>
      <c r="BK10" t="s">
        <v>69</v>
      </c>
      <c r="BL10" t="s">
        <v>69</v>
      </c>
      <c r="BM10" t="s">
        <v>69</v>
      </c>
      <c r="BN10" t="s">
        <v>69</v>
      </c>
      <c r="BO10" t="s">
        <v>95</v>
      </c>
      <c r="BP10" t="s">
        <v>69</v>
      </c>
    </row>
    <row r="11" spans="1:68" x14ac:dyDescent="0.15">
      <c r="A11" t="s">
        <v>67</v>
      </c>
      <c r="B11" t="s">
        <v>254</v>
      </c>
      <c r="C11" t="s">
        <v>69</v>
      </c>
      <c r="D11" t="s">
        <v>69</v>
      </c>
      <c r="E11" t="s">
        <v>69</v>
      </c>
      <c r="F11" t="s">
        <v>255</v>
      </c>
      <c r="G11" t="s">
        <v>69</v>
      </c>
      <c r="H11" t="s">
        <v>69</v>
      </c>
      <c r="I11" t="s">
        <v>256</v>
      </c>
      <c r="J11" t="s">
        <v>257</v>
      </c>
      <c r="K11" t="s">
        <v>69</v>
      </c>
      <c r="L11" t="s">
        <v>69</v>
      </c>
      <c r="M11" t="s">
        <v>73</v>
      </c>
      <c r="N11" t="s">
        <v>100</v>
      </c>
      <c r="O11" t="s">
        <v>69</v>
      </c>
      <c r="P11" t="s">
        <v>69</v>
      </c>
      <c r="Q11" t="s">
        <v>69</v>
      </c>
      <c r="R11" t="s">
        <v>69</v>
      </c>
      <c r="S11" t="s">
        <v>69</v>
      </c>
      <c r="T11" t="s">
        <v>258</v>
      </c>
      <c r="U11" t="s">
        <v>259</v>
      </c>
      <c r="V11" t="s">
        <v>260</v>
      </c>
      <c r="W11" t="s">
        <v>261</v>
      </c>
      <c r="X11" t="s">
        <v>262</v>
      </c>
      <c r="Y11" t="s">
        <v>263</v>
      </c>
      <c r="Z11" t="s">
        <v>69</v>
      </c>
      <c r="AA11" t="s">
        <v>69</v>
      </c>
      <c r="AB11" t="s">
        <v>69</v>
      </c>
      <c r="AC11" t="s">
        <v>69</v>
      </c>
      <c r="AD11" t="s">
        <v>69</v>
      </c>
      <c r="AE11">
        <v>45</v>
      </c>
      <c r="AF11">
        <v>0</v>
      </c>
      <c r="AG11">
        <v>0</v>
      </c>
      <c r="AH11">
        <v>7</v>
      </c>
      <c r="AI11">
        <v>7</v>
      </c>
      <c r="AJ11" t="s">
        <v>131</v>
      </c>
      <c r="AK11" t="s">
        <v>132</v>
      </c>
      <c r="AL11" t="s">
        <v>133</v>
      </c>
      <c r="AM11" t="s">
        <v>264</v>
      </c>
      <c r="AN11" t="s">
        <v>69</v>
      </c>
      <c r="AO11" t="s">
        <v>69</v>
      </c>
      <c r="AP11" t="s">
        <v>265</v>
      </c>
      <c r="AQ11" t="s">
        <v>266</v>
      </c>
      <c r="AR11" t="s">
        <v>69</v>
      </c>
      <c r="AS11" t="s">
        <v>69</v>
      </c>
      <c r="AT11" t="s">
        <v>69</v>
      </c>
      <c r="AU11" t="s">
        <v>69</v>
      </c>
      <c r="AV11" t="s">
        <v>69</v>
      </c>
      <c r="AW11" t="s">
        <v>69</v>
      </c>
      <c r="AX11" t="s">
        <v>69</v>
      </c>
      <c r="AY11" t="s">
        <v>69</v>
      </c>
      <c r="AZ11" t="s">
        <v>69</v>
      </c>
      <c r="BA11" t="s">
        <v>69</v>
      </c>
      <c r="BB11" t="s">
        <v>69</v>
      </c>
      <c r="BC11" t="s">
        <v>267</v>
      </c>
      <c r="BD11" t="s">
        <v>69</v>
      </c>
      <c r="BE11" t="s">
        <v>250</v>
      </c>
      <c r="BF11">
        <v>20</v>
      </c>
      <c r="BG11" t="s">
        <v>268</v>
      </c>
      <c r="BH11" t="s">
        <v>232</v>
      </c>
      <c r="BI11" t="s">
        <v>269</v>
      </c>
      <c r="BJ11" t="s">
        <v>270</v>
      </c>
      <c r="BK11" t="s">
        <v>69</v>
      </c>
      <c r="BL11" t="s">
        <v>69</v>
      </c>
      <c r="BM11" t="s">
        <v>69</v>
      </c>
      <c r="BN11" t="s">
        <v>69</v>
      </c>
      <c r="BO11" t="s">
        <v>95</v>
      </c>
      <c r="BP11" t="s">
        <v>69</v>
      </c>
    </row>
    <row r="12" spans="1:68" x14ac:dyDescent="0.15">
      <c r="A12" t="s">
        <v>67</v>
      </c>
      <c r="B12" t="s">
        <v>271</v>
      </c>
      <c r="C12" t="s">
        <v>69</v>
      </c>
      <c r="D12" t="s">
        <v>69</v>
      </c>
      <c r="E12" t="s">
        <v>69</v>
      </c>
      <c r="F12" t="s">
        <v>272</v>
      </c>
      <c r="G12" t="s">
        <v>69</v>
      </c>
      <c r="H12" t="s">
        <v>69</v>
      </c>
      <c r="I12" t="s">
        <v>273</v>
      </c>
      <c r="J12" t="s">
        <v>274</v>
      </c>
      <c r="K12" t="s">
        <v>69</v>
      </c>
      <c r="L12" t="s">
        <v>69</v>
      </c>
      <c r="M12" t="s">
        <v>73</v>
      </c>
      <c r="N12" t="s">
        <v>74</v>
      </c>
      <c r="O12" t="s">
        <v>69</v>
      </c>
      <c r="P12" t="s">
        <v>69</v>
      </c>
      <c r="Q12" t="s">
        <v>69</v>
      </c>
      <c r="R12" t="s">
        <v>69</v>
      </c>
      <c r="S12" t="s">
        <v>69</v>
      </c>
      <c r="T12" t="s">
        <v>275</v>
      </c>
      <c r="U12" t="s">
        <v>276</v>
      </c>
      <c r="V12" t="s">
        <v>277</v>
      </c>
      <c r="W12" t="s">
        <v>278</v>
      </c>
      <c r="X12" t="s">
        <v>279</v>
      </c>
      <c r="Y12" t="s">
        <v>280</v>
      </c>
      <c r="Z12" t="s">
        <v>69</v>
      </c>
      <c r="AA12" t="s">
        <v>69</v>
      </c>
      <c r="AB12" t="s">
        <v>69</v>
      </c>
      <c r="AC12" t="s">
        <v>69</v>
      </c>
      <c r="AD12" t="s">
        <v>69</v>
      </c>
      <c r="AE12">
        <v>69</v>
      </c>
      <c r="AF12">
        <v>2</v>
      </c>
      <c r="AG12">
        <v>2</v>
      </c>
      <c r="AH12">
        <v>1</v>
      </c>
      <c r="AI12">
        <v>1</v>
      </c>
      <c r="AJ12" t="s">
        <v>180</v>
      </c>
      <c r="AK12" t="s">
        <v>181</v>
      </c>
      <c r="AL12" t="s">
        <v>182</v>
      </c>
      <c r="AM12" t="s">
        <v>281</v>
      </c>
      <c r="AN12" t="s">
        <v>282</v>
      </c>
      <c r="AO12" t="s">
        <v>69</v>
      </c>
      <c r="AP12" t="s">
        <v>283</v>
      </c>
      <c r="AQ12" t="s">
        <v>284</v>
      </c>
      <c r="AR12" t="s">
        <v>285</v>
      </c>
      <c r="AS12">
        <v>2020</v>
      </c>
      <c r="AT12">
        <v>47</v>
      </c>
      <c r="AU12">
        <v>5</v>
      </c>
      <c r="AV12" t="s">
        <v>69</v>
      </c>
      <c r="AW12" t="s">
        <v>69</v>
      </c>
      <c r="AX12" t="s">
        <v>69</v>
      </c>
      <c r="AY12" t="s">
        <v>69</v>
      </c>
      <c r="AZ12">
        <v>592</v>
      </c>
      <c r="BA12">
        <v>605</v>
      </c>
      <c r="BB12" t="s">
        <v>69</v>
      </c>
      <c r="BC12" t="s">
        <v>286</v>
      </c>
      <c r="BD12" t="s">
        <v>69</v>
      </c>
      <c r="BE12" t="s">
        <v>69</v>
      </c>
      <c r="BF12">
        <v>14</v>
      </c>
      <c r="BG12" t="s">
        <v>287</v>
      </c>
      <c r="BH12" t="s">
        <v>288</v>
      </c>
      <c r="BI12" t="s">
        <v>289</v>
      </c>
      <c r="BJ12" t="s">
        <v>290</v>
      </c>
      <c r="BK12" t="s">
        <v>69</v>
      </c>
      <c r="BL12" t="s">
        <v>69</v>
      </c>
      <c r="BM12" t="s">
        <v>69</v>
      </c>
      <c r="BN12" t="s">
        <v>69</v>
      </c>
      <c r="BO12" t="s">
        <v>95</v>
      </c>
      <c r="BP12" t="s">
        <v>69</v>
      </c>
    </row>
    <row r="13" spans="1:68" x14ac:dyDescent="0.15">
      <c r="A13" t="s">
        <v>67</v>
      </c>
      <c r="B13" t="s">
        <v>291</v>
      </c>
      <c r="C13" t="s">
        <v>69</v>
      </c>
      <c r="D13" t="s">
        <v>69</v>
      </c>
      <c r="E13" t="s">
        <v>69</v>
      </c>
      <c r="F13" t="s">
        <v>292</v>
      </c>
      <c r="G13" t="s">
        <v>69</v>
      </c>
      <c r="H13" t="s">
        <v>69</v>
      </c>
      <c r="I13" t="s">
        <v>293</v>
      </c>
      <c r="J13" t="s">
        <v>294</v>
      </c>
      <c r="K13" t="s">
        <v>69</v>
      </c>
      <c r="L13" t="s">
        <v>69</v>
      </c>
      <c r="M13" t="s">
        <v>73</v>
      </c>
      <c r="N13" t="s">
        <v>100</v>
      </c>
      <c r="O13" t="s">
        <v>69</v>
      </c>
      <c r="P13" t="s">
        <v>69</v>
      </c>
      <c r="Q13" t="s">
        <v>69</v>
      </c>
      <c r="R13" t="s">
        <v>69</v>
      </c>
      <c r="S13" t="s">
        <v>69</v>
      </c>
      <c r="T13" t="s">
        <v>295</v>
      </c>
      <c r="U13" t="s">
        <v>296</v>
      </c>
      <c r="V13" t="s">
        <v>297</v>
      </c>
      <c r="W13" t="s">
        <v>298</v>
      </c>
      <c r="X13" t="s">
        <v>299</v>
      </c>
      <c r="Y13" t="s">
        <v>300</v>
      </c>
      <c r="Z13" t="s">
        <v>69</v>
      </c>
      <c r="AA13" t="s">
        <v>301</v>
      </c>
      <c r="AB13" t="s">
        <v>302</v>
      </c>
      <c r="AC13" t="s">
        <v>303</v>
      </c>
      <c r="AD13" t="s">
        <v>69</v>
      </c>
      <c r="AE13">
        <v>40</v>
      </c>
      <c r="AF13">
        <v>1</v>
      </c>
      <c r="AG13">
        <v>1</v>
      </c>
      <c r="AH13">
        <v>4</v>
      </c>
      <c r="AI13">
        <v>4</v>
      </c>
      <c r="AJ13" t="s">
        <v>108</v>
      </c>
      <c r="AK13" t="s">
        <v>109</v>
      </c>
      <c r="AL13" t="s">
        <v>110</v>
      </c>
      <c r="AM13" t="s">
        <v>304</v>
      </c>
      <c r="AN13" t="s">
        <v>305</v>
      </c>
      <c r="AO13" t="s">
        <v>69</v>
      </c>
      <c r="AP13" t="s">
        <v>306</v>
      </c>
      <c r="AQ13" t="s">
        <v>307</v>
      </c>
      <c r="AR13" t="s">
        <v>69</v>
      </c>
      <c r="AS13" t="s">
        <v>69</v>
      </c>
      <c r="AT13" t="s">
        <v>69</v>
      </c>
      <c r="AU13" t="s">
        <v>69</v>
      </c>
      <c r="AV13" t="s">
        <v>69</v>
      </c>
      <c r="AW13" t="s">
        <v>69</v>
      </c>
      <c r="AX13" t="s">
        <v>69</v>
      </c>
      <c r="AY13" t="s">
        <v>69</v>
      </c>
      <c r="AZ13" t="s">
        <v>69</v>
      </c>
      <c r="BA13" t="s">
        <v>69</v>
      </c>
      <c r="BB13" t="s">
        <v>69</v>
      </c>
      <c r="BC13" t="s">
        <v>308</v>
      </c>
      <c r="BD13" t="s">
        <v>69</v>
      </c>
      <c r="BE13" t="s">
        <v>309</v>
      </c>
      <c r="BF13">
        <v>19</v>
      </c>
      <c r="BG13" t="s">
        <v>310</v>
      </c>
      <c r="BH13" t="s">
        <v>311</v>
      </c>
      <c r="BI13" t="s">
        <v>312</v>
      </c>
      <c r="BJ13" t="s">
        <v>313</v>
      </c>
      <c r="BK13" t="s">
        <v>69</v>
      </c>
      <c r="BL13" t="s">
        <v>69</v>
      </c>
      <c r="BM13" t="s">
        <v>69</v>
      </c>
      <c r="BN13" t="s">
        <v>69</v>
      </c>
      <c r="BO13" t="s">
        <v>95</v>
      </c>
      <c r="BP13" t="s">
        <v>69</v>
      </c>
    </row>
    <row r="14" spans="1:68" x14ac:dyDescent="0.15">
      <c r="A14" t="s">
        <v>67</v>
      </c>
      <c r="B14" t="s">
        <v>314</v>
      </c>
      <c r="C14" t="s">
        <v>69</v>
      </c>
      <c r="D14" t="s">
        <v>69</v>
      </c>
      <c r="E14" t="s">
        <v>69</v>
      </c>
      <c r="F14" t="s">
        <v>315</v>
      </c>
      <c r="G14" t="s">
        <v>69</v>
      </c>
      <c r="H14" t="s">
        <v>69</v>
      </c>
      <c r="I14" t="s">
        <v>316</v>
      </c>
      <c r="J14" t="s">
        <v>317</v>
      </c>
      <c r="K14" t="s">
        <v>69</v>
      </c>
      <c r="L14" t="s">
        <v>69</v>
      </c>
      <c r="M14" t="s">
        <v>73</v>
      </c>
      <c r="N14" t="s">
        <v>318</v>
      </c>
      <c r="O14" t="s">
        <v>69</v>
      </c>
      <c r="P14" t="s">
        <v>69</v>
      </c>
      <c r="Q14" t="s">
        <v>69</v>
      </c>
      <c r="R14" t="s">
        <v>69</v>
      </c>
      <c r="S14" t="s">
        <v>69</v>
      </c>
      <c r="T14" t="s">
        <v>69</v>
      </c>
      <c r="U14" t="s">
        <v>319</v>
      </c>
      <c r="V14" t="s">
        <v>320</v>
      </c>
      <c r="W14" t="s">
        <v>321</v>
      </c>
      <c r="X14" t="s">
        <v>322</v>
      </c>
      <c r="Y14" t="s">
        <v>323</v>
      </c>
      <c r="Z14" t="s">
        <v>69</v>
      </c>
      <c r="AA14" t="s">
        <v>69</v>
      </c>
      <c r="AB14" t="s">
        <v>69</v>
      </c>
      <c r="AC14" t="s">
        <v>69</v>
      </c>
      <c r="AD14" t="s">
        <v>69</v>
      </c>
      <c r="AE14">
        <v>35</v>
      </c>
      <c r="AF14">
        <v>0</v>
      </c>
      <c r="AG14">
        <v>0</v>
      </c>
      <c r="AH14">
        <v>1</v>
      </c>
      <c r="AI14">
        <v>1</v>
      </c>
      <c r="AJ14" t="s">
        <v>324</v>
      </c>
      <c r="AK14" t="s">
        <v>325</v>
      </c>
      <c r="AL14" t="s">
        <v>326</v>
      </c>
      <c r="AM14" t="s">
        <v>327</v>
      </c>
      <c r="AN14" t="s">
        <v>69</v>
      </c>
      <c r="AO14" t="s">
        <v>69</v>
      </c>
      <c r="AP14" t="s">
        <v>317</v>
      </c>
      <c r="AQ14" t="s">
        <v>328</v>
      </c>
      <c r="AR14" t="s">
        <v>329</v>
      </c>
      <c r="AS14">
        <v>2020</v>
      </c>
      <c r="AT14">
        <v>15</v>
      </c>
      <c r="AU14">
        <v>9</v>
      </c>
      <c r="AV14" t="s">
        <v>69</v>
      </c>
      <c r="AW14" t="s">
        <v>69</v>
      </c>
      <c r="AX14" t="s">
        <v>69</v>
      </c>
      <c r="AY14" t="s">
        <v>69</v>
      </c>
      <c r="AZ14" t="s">
        <v>69</v>
      </c>
      <c r="BA14" t="s">
        <v>69</v>
      </c>
      <c r="BB14" t="s">
        <v>330</v>
      </c>
      <c r="BC14" t="s">
        <v>331</v>
      </c>
      <c r="BD14" t="s">
        <v>69</v>
      </c>
      <c r="BE14" t="s">
        <v>69</v>
      </c>
      <c r="BF14">
        <v>21</v>
      </c>
      <c r="BG14" t="s">
        <v>332</v>
      </c>
      <c r="BH14" t="s">
        <v>333</v>
      </c>
      <c r="BI14" t="s">
        <v>334</v>
      </c>
      <c r="BJ14" t="s">
        <v>335</v>
      </c>
      <c r="BK14">
        <v>32870929</v>
      </c>
      <c r="BL14" t="s">
        <v>336</v>
      </c>
      <c r="BM14" t="s">
        <v>69</v>
      </c>
      <c r="BN14" t="s">
        <v>69</v>
      </c>
      <c r="BO14" t="s">
        <v>95</v>
      </c>
      <c r="BP14" t="s">
        <v>69</v>
      </c>
    </row>
    <row r="15" spans="1:68" x14ac:dyDescent="0.15">
      <c r="A15" t="s">
        <v>67</v>
      </c>
      <c r="B15" t="s">
        <v>337</v>
      </c>
      <c r="C15" t="s">
        <v>69</v>
      </c>
      <c r="D15" t="s">
        <v>69</v>
      </c>
      <c r="E15" t="s">
        <v>69</v>
      </c>
      <c r="F15" t="s">
        <v>338</v>
      </c>
      <c r="G15" t="s">
        <v>69</v>
      </c>
      <c r="H15" t="s">
        <v>69</v>
      </c>
      <c r="I15" t="s">
        <v>339</v>
      </c>
      <c r="J15" t="s">
        <v>340</v>
      </c>
      <c r="K15" t="s">
        <v>69</v>
      </c>
      <c r="L15" t="s">
        <v>69</v>
      </c>
      <c r="M15" t="s">
        <v>73</v>
      </c>
      <c r="N15" t="s">
        <v>74</v>
      </c>
      <c r="O15" t="s">
        <v>69</v>
      </c>
      <c r="P15" t="s">
        <v>69</v>
      </c>
      <c r="Q15" t="s">
        <v>69</v>
      </c>
      <c r="R15" t="s">
        <v>69</v>
      </c>
      <c r="S15" t="s">
        <v>69</v>
      </c>
      <c r="T15" t="s">
        <v>341</v>
      </c>
      <c r="U15" t="s">
        <v>342</v>
      </c>
      <c r="V15" t="s">
        <v>343</v>
      </c>
      <c r="W15" t="s">
        <v>344</v>
      </c>
      <c r="X15" t="s">
        <v>345</v>
      </c>
      <c r="Y15" t="s">
        <v>346</v>
      </c>
      <c r="Z15" t="s">
        <v>347</v>
      </c>
      <c r="AA15" t="s">
        <v>348</v>
      </c>
      <c r="AB15" t="s">
        <v>349</v>
      </c>
      <c r="AC15" t="s">
        <v>350</v>
      </c>
      <c r="AD15" t="s">
        <v>69</v>
      </c>
      <c r="AE15">
        <v>42</v>
      </c>
      <c r="AF15">
        <v>0</v>
      </c>
      <c r="AG15">
        <v>0</v>
      </c>
      <c r="AH15">
        <v>3</v>
      </c>
      <c r="AI15">
        <v>4</v>
      </c>
      <c r="AJ15" t="s">
        <v>155</v>
      </c>
      <c r="AK15" t="s">
        <v>156</v>
      </c>
      <c r="AL15" t="s">
        <v>157</v>
      </c>
      <c r="AM15" t="s">
        <v>351</v>
      </c>
      <c r="AN15" t="s">
        <v>352</v>
      </c>
      <c r="AO15" t="s">
        <v>69</v>
      </c>
      <c r="AP15" t="s">
        <v>353</v>
      </c>
      <c r="AQ15" t="s">
        <v>354</v>
      </c>
      <c r="AR15" t="s">
        <v>355</v>
      </c>
      <c r="AS15">
        <v>2020</v>
      </c>
      <c r="AT15">
        <v>67</v>
      </c>
      <c r="AU15">
        <v>4</v>
      </c>
      <c r="AV15" t="s">
        <v>69</v>
      </c>
      <c r="AW15" t="s">
        <v>69</v>
      </c>
      <c r="AX15" t="s">
        <v>356</v>
      </c>
      <c r="AY15" t="s">
        <v>69</v>
      </c>
      <c r="AZ15">
        <v>599</v>
      </c>
      <c r="BA15">
        <v>616</v>
      </c>
      <c r="BB15">
        <v>37768620948476</v>
      </c>
      <c r="BC15" t="s">
        <v>357</v>
      </c>
      <c r="BD15" t="s">
        <v>69</v>
      </c>
      <c r="BE15" t="s">
        <v>358</v>
      </c>
      <c r="BF15">
        <v>18</v>
      </c>
      <c r="BG15" t="s">
        <v>359</v>
      </c>
      <c r="BH15" t="s">
        <v>359</v>
      </c>
      <c r="BI15" t="s">
        <v>360</v>
      </c>
      <c r="BJ15" t="s">
        <v>361</v>
      </c>
      <c r="BK15" t="s">
        <v>69</v>
      </c>
      <c r="BL15" t="s">
        <v>69</v>
      </c>
      <c r="BM15" t="s">
        <v>69</v>
      </c>
      <c r="BN15" t="s">
        <v>69</v>
      </c>
      <c r="BO15" t="s">
        <v>95</v>
      </c>
      <c r="BP15" t="s">
        <v>69</v>
      </c>
    </row>
    <row r="16" spans="1:68" x14ac:dyDescent="0.15">
      <c r="A16" t="s">
        <v>67</v>
      </c>
      <c r="B16" t="s">
        <v>362</v>
      </c>
      <c r="C16" t="s">
        <v>69</v>
      </c>
      <c r="D16" t="s">
        <v>69</v>
      </c>
      <c r="E16" t="s">
        <v>69</v>
      </c>
      <c r="F16" t="s">
        <v>363</v>
      </c>
      <c r="G16" t="s">
        <v>69</v>
      </c>
      <c r="H16" t="s">
        <v>69</v>
      </c>
      <c r="I16" t="s">
        <v>364</v>
      </c>
      <c r="J16" t="s">
        <v>365</v>
      </c>
      <c r="K16" t="s">
        <v>69</v>
      </c>
      <c r="L16" t="s">
        <v>69</v>
      </c>
      <c r="M16" t="s">
        <v>73</v>
      </c>
      <c r="N16" t="s">
        <v>74</v>
      </c>
      <c r="O16" t="s">
        <v>69</v>
      </c>
      <c r="P16" t="s">
        <v>69</v>
      </c>
      <c r="Q16" t="s">
        <v>69</v>
      </c>
      <c r="R16" t="s">
        <v>69</v>
      </c>
      <c r="S16" t="s">
        <v>69</v>
      </c>
      <c r="T16" t="s">
        <v>366</v>
      </c>
      <c r="U16" t="s">
        <v>367</v>
      </c>
      <c r="V16" t="s">
        <v>368</v>
      </c>
      <c r="W16" t="s">
        <v>369</v>
      </c>
      <c r="X16" t="s">
        <v>370</v>
      </c>
      <c r="Y16" t="s">
        <v>371</v>
      </c>
      <c r="Z16" t="s">
        <v>69</v>
      </c>
      <c r="AA16" t="s">
        <v>372</v>
      </c>
      <c r="AB16" t="s">
        <v>373</v>
      </c>
      <c r="AC16" t="s">
        <v>374</v>
      </c>
      <c r="AD16" t="s">
        <v>69</v>
      </c>
      <c r="AE16">
        <v>38</v>
      </c>
      <c r="AF16">
        <v>4</v>
      </c>
      <c r="AG16">
        <v>4</v>
      </c>
      <c r="AH16">
        <v>4</v>
      </c>
      <c r="AI16">
        <v>9</v>
      </c>
      <c r="AJ16" t="s">
        <v>223</v>
      </c>
      <c r="AK16" t="s">
        <v>224</v>
      </c>
      <c r="AL16" t="s">
        <v>225</v>
      </c>
      <c r="AM16" t="s">
        <v>375</v>
      </c>
      <c r="AN16" t="s">
        <v>376</v>
      </c>
      <c r="AO16" t="s">
        <v>69</v>
      </c>
      <c r="AP16" t="s">
        <v>377</v>
      </c>
      <c r="AQ16" t="s">
        <v>378</v>
      </c>
      <c r="AR16" t="s">
        <v>355</v>
      </c>
      <c r="AS16">
        <v>2020</v>
      </c>
      <c r="AT16">
        <v>66</v>
      </c>
      <c r="AU16" t="s">
        <v>379</v>
      </c>
      <c r="AV16" t="s">
        <v>69</v>
      </c>
      <c r="AW16" t="s">
        <v>69</v>
      </c>
      <c r="AX16" t="s">
        <v>356</v>
      </c>
      <c r="AY16" t="s">
        <v>69</v>
      </c>
      <c r="AZ16">
        <v>325</v>
      </c>
      <c r="BA16">
        <v>336</v>
      </c>
      <c r="BB16" t="s">
        <v>69</v>
      </c>
      <c r="BC16" t="s">
        <v>380</v>
      </c>
      <c r="BD16" t="s">
        <v>69</v>
      </c>
      <c r="BE16" t="s">
        <v>358</v>
      </c>
      <c r="BF16">
        <v>12</v>
      </c>
      <c r="BG16" t="s">
        <v>381</v>
      </c>
      <c r="BH16" t="s">
        <v>382</v>
      </c>
      <c r="BI16" t="s">
        <v>383</v>
      </c>
      <c r="BJ16" t="s">
        <v>384</v>
      </c>
      <c r="BK16">
        <v>32776579</v>
      </c>
      <c r="BL16" t="s">
        <v>69</v>
      </c>
      <c r="BM16" t="s">
        <v>69</v>
      </c>
      <c r="BN16" t="s">
        <v>69</v>
      </c>
      <c r="BO16" t="s">
        <v>95</v>
      </c>
      <c r="BP16" t="s">
        <v>69</v>
      </c>
    </row>
    <row r="17" spans="1:68" x14ac:dyDescent="0.15">
      <c r="A17" t="s">
        <v>67</v>
      </c>
      <c r="B17" t="s">
        <v>385</v>
      </c>
      <c r="C17" t="s">
        <v>69</v>
      </c>
      <c r="D17" t="s">
        <v>69</v>
      </c>
      <c r="E17" t="s">
        <v>69</v>
      </c>
      <c r="F17" t="s">
        <v>386</v>
      </c>
      <c r="G17" t="s">
        <v>69</v>
      </c>
      <c r="H17" t="s">
        <v>69</v>
      </c>
      <c r="I17" t="s">
        <v>387</v>
      </c>
      <c r="J17" t="s">
        <v>388</v>
      </c>
      <c r="K17" t="s">
        <v>69</v>
      </c>
      <c r="L17" t="s">
        <v>69</v>
      </c>
      <c r="M17" t="s">
        <v>73</v>
      </c>
      <c r="N17" t="s">
        <v>74</v>
      </c>
      <c r="O17" t="s">
        <v>69</v>
      </c>
      <c r="P17" t="s">
        <v>69</v>
      </c>
      <c r="Q17" t="s">
        <v>69</v>
      </c>
      <c r="R17" t="s">
        <v>69</v>
      </c>
      <c r="S17" t="s">
        <v>69</v>
      </c>
      <c r="T17" t="s">
        <v>389</v>
      </c>
      <c r="U17" t="s">
        <v>390</v>
      </c>
      <c r="V17" t="s">
        <v>391</v>
      </c>
      <c r="W17" t="s">
        <v>392</v>
      </c>
      <c r="X17" t="s">
        <v>393</v>
      </c>
      <c r="Y17" t="s">
        <v>69</v>
      </c>
      <c r="Z17" t="s">
        <v>69</v>
      </c>
      <c r="AA17" t="s">
        <v>69</v>
      </c>
      <c r="AB17" t="s">
        <v>69</v>
      </c>
      <c r="AC17" t="s">
        <v>69</v>
      </c>
      <c r="AD17" t="s">
        <v>69</v>
      </c>
      <c r="AE17">
        <v>41</v>
      </c>
      <c r="AF17">
        <v>1</v>
      </c>
      <c r="AG17">
        <v>1</v>
      </c>
      <c r="AH17">
        <v>1</v>
      </c>
      <c r="AI17">
        <v>2</v>
      </c>
      <c r="AJ17" t="s">
        <v>108</v>
      </c>
      <c r="AK17" t="s">
        <v>109</v>
      </c>
      <c r="AL17" t="s">
        <v>110</v>
      </c>
      <c r="AM17" t="s">
        <v>394</v>
      </c>
      <c r="AN17" t="s">
        <v>395</v>
      </c>
      <c r="AO17" t="s">
        <v>69</v>
      </c>
      <c r="AP17" t="s">
        <v>396</v>
      </c>
      <c r="AQ17" t="s">
        <v>397</v>
      </c>
      <c r="AR17" t="s">
        <v>398</v>
      </c>
      <c r="AS17">
        <v>2020</v>
      </c>
      <c r="AT17">
        <v>40</v>
      </c>
      <c r="AU17">
        <v>2</v>
      </c>
      <c r="AV17" t="s">
        <v>69</v>
      </c>
      <c r="AW17" t="s">
        <v>69</v>
      </c>
      <c r="AX17" t="s">
        <v>69</v>
      </c>
      <c r="AY17" t="s">
        <v>69</v>
      </c>
      <c r="AZ17">
        <v>217</v>
      </c>
      <c r="BA17">
        <v>234</v>
      </c>
      <c r="BB17" t="s">
        <v>69</v>
      </c>
      <c r="BC17" t="s">
        <v>399</v>
      </c>
      <c r="BD17" t="s">
        <v>69</v>
      </c>
      <c r="BE17" t="s">
        <v>400</v>
      </c>
      <c r="BF17">
        <v>18</v>
      </c>
      <c r="BG17" t="s">
        <v>401</v>
      </c>
      <c r="BH17" t="s">
        <v>401</v>
      </c>
      <c r="BI17" t="s">
        <v>402</v>
      </c>
      <c r="BJ17" t="s">
        <v>403</v>
      </c>
      <c r="BK17" t="s">
        <v>69</v>
      </c>
      <c r="BL17" t="s">
        <v>69</v>
      </c>
      <c r="BM17" t="s">
        <v>69</v>
      </c>
      <c r="BN17" t="s">
        <v>69</v>
      </c>
      <c r="BO17" t="s">
        <v>95</v>
      </c>
      <c r="BP17" t="s">
        <v>69</v>
      </c>
    </row>
    <row r="18" spans="1:68" x14ac:dyDescent="0.15">
      <c r="A18" t="s">
        <v>67</v>
      </c>
      <c r="B18" t="s">
        <v>404</v>
      </c>
      <c r="C18" t="s">
        <v>69</v>
      </c>
      <c r="D18" t="s">
        <v>69</v>
      </c>
      <c r="E18" t="s">
        <v>69</v>
      </c>
      <c r="F18" t="s">
        <v>405</v>
      </c>
      <c r="G18" t="s">
        <v>69</v>
      </c>
      <c r="H18" t="s">
        <v>69</v>
      </c>
      <c r="I18" t="s">
        <v>406</v>
      </c>
      <c r="J18" t="s">
        <v>407</v>
      </c>
      <c r="K18" t="s">
        <v>69</v>
      </c>
      <c r="L18" t="s">
        <v>69</v>
      </c>
      <c r="M18" t="s">
        <v>73</v>
      </c>
      <c r="N18" t="s">
        <v>74</v>
      </c>
      <c r="O18" t="s">
        <v>69</v>
      </c>
      <c r="P18" t="s">
        <v>69</v>
      </c>
      <c r="Q18" t="s">
        <v>69</v>
      </c>
      <c r="R18" t="s">
        <v>69</v>
      </c>
      <c r="S18" t="s">
        <v>69</v>
      </c>
      <c r="T18" t="s">
        <v>408</v>
      </c>
      <c r="U18" t="s">
        <v>409</v>
      </c>
      <c r="V18" t="s">
        <v>410</v>
      </c>
      <c r="W18" t="s">
        <v>411</v>
      </c>
      <c r="X18" t="s">
        <v>412</v>
      </c>
      <c r="Y18" t="s">
        <v>413</v>
      </c>
      <c r="Z18" t="s">
        <v>69</v>
      </c>
      <c r="AA18" t="s">
        <v>414</v>
      </c>
      <c r="AB18" t="s">
        <v>69</v>
      </c>
      <c r="AC18" t="s">
        <v>69</v>
      </c>
      <c r="AD18" t="s">
        <v>69</v>
      </c>
      <c r="AE18">
        <v>37</v>
      </c>
      <c r="AF18">
        <v>0</v>
      </c>
      <c r="AG18">
        <v>0</v>
      </c>
      <c r="AH18">
        <v>1</v>
      </c>
      <c r="AI18">
        <v>1</v>
      </c>
      <c r="AJ18" t="s">
        <v>415</v>
      </c>
      <c r="AK18" t="s">
        <v>416</v>
      </c>
      <c r="AL18" t="s">
        <v>417</v>
      </c>
      <c r="AM18" t="s">
        <v>418</v>
      </c>
      <c r="AN18" t="s">
        <v>419</v>
      </c>
      <c r="AO18" t="s">
        <v>69</v>
      </c>
      <c r="AP18" t="s">
        <v>420</v>
      </c>
      <c r="AQ18" t="s">
        <v>421</v>
      </c>
      <c r="AR18" t="s">
        <v>422</v>
      </c>
      <c r="AS18">
        <v>2020</v>
      </c>
      <c r="AT18">
        <v>30</v>
      </c>
      <c r="AU18">
        <v>3</v>
      </c>
      <c r="AV18" t="s">
        <v>69</v>
      </c>
      <c r="AW18" t="s">
        <v>69</v>
      </c>
      <c r="AX18" t="s">
        <v>69</v>
      </c>
      <c r="AY18" t="s">
        <v>69</v>
      </c>
      <c r="AZ18">
        <v>489</v>
      </c>
      <c r="BA18">
        <v>500</v>
      </c>
      <c r="BB18" t="s">
        <v>69</v>
      </c>
      <c r="BC18" t="s">
        <v>423</v>
      </c>
      <c r="BD18" t="s">
        <v>69</v>
      </c>
      <c r="BE18" t="s">
        <v>69</v>
      </c>
      <c r="BF18">
        <v>12</v>
      </c>
      <c r="BG18" t="s">
        <v>424</v>
      </c>
      <c r="BH18" t="s">
        <v>424</v>
      </c>
      <c r="BI18" t="s">
        <v>425</v>
      </c>
      <c r="BJ18" t="s">
        <v>426</v>
      </c>
      <c r="BK18">
        <v>32742154</v>
      </c>
      <c r="BL18" t="s">
        <v>427</v>
      </c>
      <c r="BM18" t="s">
        <v>69</v>
      </c>
      <c r="BN18" t="s">
        <v>69</v>
      </c>
      <c r="BO18" t="s">
        <v>95</v>
      </c>
      <c r="BP18" t="s">
        <v>69</v>
      </c>
    </row>
    <row r="19" spans="1:68" x14ac:dyDescent="0.15">
      <c r="A19" t="s">
        <v>67</v>
      </c>
      <c r="B19" t="s">
        <v>428</v>
      </c>
      <c r="C19" t="s">
        <v>69</v>
      </c>
      <c r="D19" t="s">
        <v>69</v>
      </c>
      <c r="E19" t="s">
        <v>69</v>
      </c>
      <c r="F19" t="s">
        <v>429</v>
      </c>
      <c r="G19" t="s">
        <v>69</v>
      </c>
      <c r="H19" t="s">
        <v>69</v>
      </c>
      <c r="I19" t="s">
        <v>430</v>
      </c>
      <c r="J19" t="s">
        <v>431</v>
      </c>
      <c r="K19" t="s">
        <v>69</v>
      </c>
      <c r="L19" t="s">
        <v>69</v>
      </c>
      <c r="M19" t="s">
        <v>73</v>
      </c>
      <c r="N19" t="s">
        <v>74</v>
      </c>
      <c r="O19" t="s">
        <v>69</v>
      </c>
      <c r="P19" t="s">
        <v>69</v>
      </c>
      <c r="Q19" t="s">
        <v>69</v>
      </c>
      <c r="R19" t="s">
        <v>69</v>
      </c>
      <c r="S19" t="s">
        <v>69</v>
      </c>
      <c r="T19" t="s">
        <v>432</v>
      </c>
      <c r="U19" t="s">
        <v>433</v>
      </c>
      <c r="V19" t="s">
        <v>434</v>
      </c>
      <c r="W19" t="s">
        <v>435</v>
      </c>
      <c r="X19" t="s">
        <v>436</v>
      </c>
      <c r="Y19" t="s">
        <v>437</v>
      </c>
      <c r="Z19" t="s">
        <v>69</v>
      </c>
      <c r="AA19" t="s">
        <v>438</v>
      </c>
      <c r="AB19" t="s">
        <v>439</v>
      </c>
      <c r="AC19" t="s">
        <v>440</v>
      </c>
      <c r="AD19" t="s">
        <v>69</v>
      </c>
      <c r="AE19">
        <v>82</v>
      </c>
      <c r="AF19">
        <v>0</v>
      </c>
      <c r="AG19">
        <v>0</v>
      </c>
      <c r="AH19">
        <v>0</v>
      </c>
      <c r="AI19">
        <v>0</v>
      </c>
      <c r="AJ19" t="s">
        <v>441</v>
      </c>
      <c r="AK19" t="s">
        <v>442</v>
      </c>
      <c r="AL19" t="s">
        <v>443</v>
      </c>
      <c r="AM19" t="s">
        <v>444</v>
      </c>
      <c r="AN19" t="s">
        <v>69</v>
      </c>
      <c r="AO19" t="s">
        <v>69</v>
      </c>
      <c r="AP19" t="s">
        <v>445</v>
      </c>
      <c r="AQ19" t="s">
        <v>446</v>
      </c>
      <c r="AR19" t="s">
        <v>447</v>
      </c>
      <c r="AS19">
        <v>2020</v>
      </c>
      <c r="AT19">
        <v>11</v>
      </c>
      <c r="AU19" t="s">
        <v>69</v>
      </c>
      <c r="AV19" t="s">
        <v>69</v>
      </c>
      <c r="AW19" t="s">
        <v>69</v>
      </c>
      <c r="AX19" t="s">
        <v>69</v>
      </c>
      <c r="AY19" t="s">
        <v>69</v>
      </c>
      <c r="AZ19" t="s">
        <v>69</v>
      </c>
      <c r="BA19" t="s">
        <v>69</v>
      </c>
      <c r="BB19">
        <v>977</v>
      </c>
      <c r="BC19" t="s">
        <v>448</v>
      </c>
      <c r="BD19" t="s">
        <v>69</v>
      </c>
      <c r="BE19" t="s">
        <v>69</v>
      </c>
      <c r="BF19">
        <v>17</v>
      </c>
      <c r="BG19" t="s">
        <v>449</v>
      </c>
      <c r="BH19" t="s">
        <v>288</v>
      </c>
      <c r="BI19" t="s">
        <v>450</v>
      </c>
      <c r="BJ19" t="s">
        <v>451</v>
      </c>
      <c r="BK19">
        <v>32477230</v>
      </c>
      <c r="BL19" t="s">
        <v>336</v>
      </c>
      <c r="BM19" t="s">
        <v>69</v>
      </c>
      <c r="BN19" t="s">
        <v>69</v>
      </c>
      <c r="BO19" t="s">
        <v>95</v>
      </c>
      <c r="BP19" t="s">
        <v>69</v>
      </c>
    </row>
    <row r="20" spans="1:68" x14ac:dyDescent="0.15">
      <c r="A20" t="s">
        <v>67</v>
      </c>
      <c r="B20" t="s">
        <v>452</v>
      </c>
      <c r="C20" t="s">
        <v>69</v>
      </c>
      <c r="D20" t="s">
        <v>69</v>
      </c>
      <c r="E20" t="s">
        <v>69</v>
      </c>
      <c r="F20" t="s">
        <v>453</v>
      </c>
      <c r="G20" t="s">
        <v>69</v>
      </c>
      <c r="H20" t="s">
        <v>69</v>
      </c>
      <c r="I20" t="s">
        <v>454</v>
      </c>
      <c r="J20" t="s">
        <v>455</v>
      </c>
      <c r="K20" t="s">
        <v>69</v>
      </c>
      <c r="L20" t="s">
        <v>69</v>
      </c>
      <c r="M20" t="s">
        <v>456</v>
      </c>
      <c r="N20" t="s">
        <v>74</v>
      </c>
      <c r="O20" t="s">
        <v>69</v>
      </c>
      <c r="P20" t="s">
        <v>69</v>
      </c>
      <c r="Q20" t="s">
        <v>69</v>
      </c>
      <c r="R20" t="s">
        <v>69</v>
      </c>
      <c r="S20" t="s">
        <v>69</v>
      </c>
      <c r="T20" t="s">
        <v>457</v>
      </c>
      <c r="U20" t="s">
        <v>69</v>
      </c>
      <c r="V20" t="s">
        <v>458</v>
      </c>
      <c r="W20" t="s">
        <v>459</v>
      </c>
      <c r="X20" t="s">
        <v>460</v>
      </c>
      <c r="Y20" t="s">
        <v>461</v>
      </c>
      <c r="Z20" t="s">
        <v>69</v>
      </c>
      <c r="AA20" t="s">
        <v>69</v>
      </c>
      <c r="AB20" t="s">
        <v>69</v>
      </c>
      <c r="AC20" t="s">
        <v>69</v>
      </c>
      <c r="AD20" t="s">
        <v>69</v>
      </c>
      <c r="AE20">
        <v>62</v>
      </c>
      <c r="AF20">
        <v>0</v>
      </c>
      <c r="AG20">
        <v>0</v>
      </c>
      <c r="AH20">
        <v>0</v>
      </c>
      <c r="AI20">
        <v>3</v>
      </c>
      <c r="AJ20" t="s">
        <v>462</v>
      </c>
      <c r="AK20" t="s">
        <v>463</v>
      </c>
      <c r="AL20" t="s">
        <v>464</v>
      </c>
      <c r="AM20" t="s">
        <v>465</v>
      </c>
      <c r="AN20" t="s">
        <v>69</v>
      </c>
      <c r="AO20" t="s">
        <v>69</v>
      </c>
      <c r="AP20" t="s">
        <v>466</v>
      </c>
      <c r="AQ20" t="s">
        <v>467</v>
      </c>
      <c r="AR20" t="s">
        <v>468</v>
      </c>
      <c r="AS20">
        <v>2020</v>
      </c>
      <c r="AT20" t="s">
        <v>69</v>
      </c>
      <c r="AU20">
        <v>101</v>
      </c>
      <c r="AV20" t="s">
        <v>69</v>
      </c>
      <c r="AW20" t="s">
        <v>69</v>
      </c>
      <c r="AX20" t="s">
        <v>69</v>
      </c>
      <c r="AY20" t="s">
        <v>69</v>
      </c>
      <c r="AZ20">
        <v>379</v>
      </c>
      <c r="BA20">
        <v>404</v>
      </c>
      <c r="BB20" t="s">
        <v>69</v>
      </c>
      <c r="BC20" t="s">
        <v>69</v>
      </c>
      <c r="BD20" t="s">
        <v>69</v>
      </c>
      <c r="BE20" t="s">
        <v>69</v>
      </c>
      <c r="BF20">
        <v>26</v>
      </c>
      <c r="BG20" t="s">
        <v>469</v>
      </c>
      <c r="BH20" t="s">
        <v>470</v>
      </c>
      <c r="BI20" t="s">
        <v>471</v>
      </c>
      <c r="BJ20" t="s">
        <v>472</v>
      </c>
      <c r="BK20" t="s">
        <v>69</v>
      </c>
      <c r="BL20" t="s">
        <v>94</v>
      </c>
      <c r="BM20" t="s">
        <v>69</v>
      </c>
      <c r="BN20" t="s">
        <v>69</v>
      </c>
      <c r="BO20" t="s">
        <v>95</v>
      </c>
      <c r="BP20" t="s">
        <v>69</v>
      </c>
    </row>
    <row r="21" spans="1:68" x14ac:dyDescent="0.15">
      <c r="A21" t="s">
        <v>67</v>
      </c>
      <c r="B21" t="s">
        <v>473</v>
      </c>
      <c r="C21" t="s">
        <v>69</v>
      </c>
      <c r="D21" t="s">
        <v>69</v>
      </c>
      <c r="E21" t="s">
        <v>69</v>
      </c>
      <c r="F21" t="s">
        <v>474</v>
      </c>
      <c r="G21" t="s">
        <v>69</v>
      </c>
      <c r="H21" t="s">
        <v>69</v>
      </c>
      <c r="I21" t="s">
        <v>475</v>
      </c>
      <c r="J21" t="s">
        <v>476</v>
      </c>
      <c r="K21" t="s">
        <v>69</v>
      </c>
      <c r="L21" t="s">
        <v>69</v>
      </c>
      <c r="M21" t="s">
        <v>73</v>
      </c>
      <c r="N21" t="s">
        <v>74</v>
      </c>
      <c r="O21" t="s">
        <v>69</v>
      </c>
      <c r="P21" t="s">
        <v>69</v>
      </c>
      <c r="Q21" t="s">
        <v>69</v>
      </c>
      <c r="R21" t="s">
        <v>69</v>
      </c>
      <c r="S21" t="s">
        <v>69</v>
      </c>
      <c r="T21" t="s">
        <v>477</v>
      </c>
      <c r="U21" t="s">
        <v>478</v>
      </c>
      <c r="V21" t="s">
        <v>479</v>
      </c>
      <c r="W21" t="s">
        <v>480</v>
      </c>
      <c r="X21" t="s">
        <v>481</v>
      </c>
      <c r="Y21" t="s">
        <v>482</v>
      </c>
      <c r="Z21" t="s">
        <v>69</v>
      </c>
      <c r="AA21" t="s">
        <v>483</v>
      </c>
      <c r="AB21" t="s">
        <v>484</v>
      </c>
      <c r="AC21" t="s">
        <v>485</v>
      </c>
      <c r="AD21" t="s">
        <v>69</v>
      </c>
      <c r="AE21">
        <v>82</v>
      </c>
      <c r="AF21">
        <v>0</v>
      </c>
      <c r="AG21">
        <v>0</v>
      </c>
      <c r="AH21">
        <v>3</v>
      </c>
      <c r="AI21">
        <v>6</v>
      </c>
      <c r="AJ21" t="s">
        <v>155</v>
      </c>
      <c r="AK21" t="s">
        <v>156</v>
      </c>
      <c r="AL21" t="s">
        <v>157</v>
      </c>
      <c r="AM21" t="s">
        <v>486</v>
      </c>
      <c r="AN21" t="s">
        <v>487</v>
      </c>
      <c r="AO21" t="s">
        <v>69</v>
      </c>
      <c r="AP21" t="s">
        <v>488</v>
      </c>
      <c r="AQ21" t="s">
        <v>489</v>
      </c>
      <c r="AR21" t="s">
        <v>490</v>
      </c>
      <c r="AS21">
        <v>2020</v>
      </c>
      <c r="AT21">
        <v>54</v>
      </c>
      <c r="AU21">
        <v>4</v>
      </c>
      <c r="AV21" t="s">
        <v>69</v>
      </c>
      <c r="AW21" t="s">
        <v>69</v>
      </c>
      <c r="AX21" t="s">
        <v>69</v>
      </c>
      <c r="AY21" t="s">
        <v>69</v>
      </c>
      <c r="AZ21">
        <v>782</v>
      </c>
      <c r="BA21">
        <v>805</v>
      </c>
      <c r="BB21">
        <v>38038520904715</v>
      </c>
      <c r="BC21" t="s">
        <v>491</v>
      </c>
      <c r="BD21" t="s">
        <v>69</v>
      </c>
      <c r="BE21" t="s">
        <v>492</v>
      </c>
      <c r="BF21">
        <v>24</v>
      </c>
      <c r="BG21" t="s">
        <v>493</v>
      </c>
      <c r="BH21" t="s">
        <v>493</v>
      </c>
      <c r="BI21" t="s">
        <v>494</v>
      </c>
      <c r="BJ21" t="s">
        <v>495</v>
      </c>
      <c r="BK21" t="s">
        <v>69</v>
      </c>
      <c r="BL21" t="s">
        <v>496</v>
      </c>
      <c r="BM21" t="s">
        <v>69</v>
      </c>
      <c r="BN21" t="s">
        <v>69</v>
      </c>
      <c r="BO21" t="s">
        <v>95</v>
      </c>
      <c r="BP21" t="s">
        <v>69</v>
      </c>
    </row>
    <row r="22" spans="1:68" x14ac:dyDescent="0.15">
      <c r="A22" t="s">
        <v>67</v>
      </c>
      <c r="B22" t="s">
        <v>497</v>
      </c>
      <c r="C22" t="s">
        <v>69</v>
      </c>
      <c r="D22" t="s">
        <v>69</v>
      </c>
      <c r="E22" t="s">
        <v>69</v>
      </c>
      <c r="F22" t="s">
        <v>498</v>
      </c>
      <c r="G22" t="s">
        <v>69</v>
      </c>
      <c r="H22" t="s">
        <v>69</v>
      </c>
      <c r="I22" t="s">
        <v>499</v>
      </c>
      <c r="J22" t="s">
        <v>500</v>
      </c>
      <c r="K22" t="s">
        <v>69</v>
      </c>
      <c r="L22" t="s">
        <v>69</v>
      </c>
      <c r="M22" t="s">
        <v>73</v>
      </c>
      <c r="N22" t="s">
        <v>74</v>
      </c>
      <c r="O22" t="s">
        <v>69</v>
      </c>
      <c r="P22" t="s">
        <v>69</v>
      </c>
      <c r="Q22" t="s">
        <v>69</v>
      </c>
      <c r="R22" t="s">
        <v>69</v>
      </c>
      <c r="S22" t="s">
        <v>69</v>
      </c>
      <c r="T22" t="s">
        <v>69</v>
      </c>
      <c r="U22" t="s">
        <v>501</v>
      </c>
      <c r="V22" t="s">
        <v>502</v>
      </c>
      <c r="W22" t="s">
        <v>503</v>
      </c>
      <c r="X22" t="s">
        <v>504</v>
      </c>
      <c r="Y22" t="s">
        <v>505</v>
      </c>
      <c r="Z22" t="s">
        <v>69</v>
      </c>
      <c r="AA22" t="s">
        <v>506</v>
      </c>
      <c r="AB22" t="s">
        <v>69</v>
      </c>
      <c r="AC22" t="s">
        <v>69</v>
      </c>
      <c r="AD22" t="s">
        <v>69</v>
      </c>
      <c r="AE22">
        <v>68</v>
      </c>
      <c r="AF22">
        <v>0</v>
      </c>
      <c r="AG22">
        <v>0</v>
      </c>
      <c r="AH22">
        <v>0</v>
      </c>
      <c r="AI22">
        <v>2</v>
      </c>
      <c r="AJ22" t="s">
        <v>223</v>
      </c>
      <c r="AK22" t="s">
        <v>224</v>
      </c>
      <c r="AL22" t="s">
        <v>225</v>
      </c>
      <c r="AM22" t="s">
        <v>507</v>
      </c>
      <c r="AN22" t="s">
        <v>508</v>
      </c>
      <c r="AO22" t="s">
        <v>69</v>
      </c>
      <c r="AP22" t="s">
        <v>509</v>
      </c>
      <c r="AQ22" t="s">
        <v>510</v>
      </c>
      <c r="AR22" t="s">
        <v>511</v>
      </c>
      <c r="AS22">
        <v>2020</v>
      </c>
      <c r="AT22">
        <v>101</v>
      </c>
      <c r="AU22">
        <v>2</v>
      </c>
      <c r="AV22" t="s">
        <v>69</v>
      </c>
      <c r="AW22" t="s">
        <v>69</v>
      </c>
      <c r="AX22" t="s">
        <v>69</v>
      </c>
      <c r="AY22" t="s">
        <v>69</v>
      </c>
      <c r="AZ22">
        <v>623</v>
      </c>
      <c r="BA22">
        <v>640</v>
      </c>
      <c r="BB22" t="s">
        <v>69</v>
      </c>
      <c r="BC22" t="s">
        <v>512</v>
      </c>
      <c r="BD22" t="s">
        <v>69</v>
      </c>
      <c r="BE22" t="s">
        <v>513</v>
      </c>
      <c r="BF22">
        <v>18</v>
      </c>
      <c r="BG22" t="s">
        <v>514</v>
      </c>
      <c r="BH22" t="s">
        <v>515</v>
      </c>
      <c r="BI22" t="s">
        <v>516</v>
      </c>
      <c r="BJ22" t="s">
        <v>517</v>
      </c>
      <c r="BK22" t="s">
        <v>69</v>
      </c>
      <c r="BL22" t="s">
        <v>69</v>
      </c>
      <c r="BM22" t="s">
        <v>69</v>
      </c>
      <c r="BN22" t="s">
        <v>69</v>
      </c>
      <c r="BO22" t="s">
        <v>95</v>
      </c>
      <c r="BP22" t="s">
        <v>69</v>
      </c>
    </row>
    <row r="23" spans="1:68" x14ac:dyDescent="0.15">
      <c r="A23" t="s">
        <v>67</v>
      </c>
      <c r="B23" t="s">
        <v>518</v>
      </c>
      <c r="C23" t="s">
        <v>69</v>
      </c>
      <c r="D23" t="s">
        <v>69</v>
      </c>
      <c r="E23" t="s">
        <v>69</v>
      </c>
      <c r="F23" t="s">
        <v>519</v>
      </c>
      <c r="G23" t="s">
        <v>69</v>
      </c>
      <c r="H23" t="s">
        <v>69</v>
      </c>
      <c r="I23" t="s">
        <v>520</v>
      </c>
      <c r="J23" t="s">
        <v>521</v>
      </c>
      <c r="K23" t="s">
        <v>69</v>
      </c>
      <c r="L23" t="s">
        <v>69</v>
      </c>
      <c r="M23" t="s">
        <v>73</v>
      </c>
      <c r="N23" t="s">
        <v>74</v>
      </c>
      <c r="O23" t="s">
        <v>69</v>
      </c>
      <c r="P23" t="s">
        <v>69</v>
      </c>
      <c r="Q23" t="s">
        <v>69</v>
      </c>
      <c r="R23" t="s">
        <v>69</v>
      </c>
      <c r="S23" t="s">
        <v>69</v>
      </c>
      <c r="T23" t="s">
        <v>69</v>
      </c>
      <c r="U23" t="s">
        <v>522</v>
      </c>
      <c r="V23" t="s">
        <v>523</v>
      </c>
      <c r="W23" t="s">
        <v>524</v>
      </c>
      <c r="X23" t="s">
        <v>525</v>
      </c>
      <c r="Y23" t="s">
        <v>526</v>
      </c>
      <c r="Z23" t="s">
        <v>69</v>
      </c>
      <c r="AA23" t="s">
        <v>527</v>
      </c>
      <c r="AB23" t="s">
        <v>528</v>
      </c>
      <c r="AC23" t="s">
        <v>529</v>
      </c>
      <c r="AD23" t="s">
        <v>69</v>
      </c>
      <c r="AE23">
        <v>66</v>
      </c>
      <c r="AF23">
        <v>5</v>
      </c>
      <c r="AG23">
        <v>5</v>
      </c>
      <c r="AH23">
        <v>0</v>
      </c>
      <c r="AI23">
        <v>0</v>
      </c>
      <c r="AJ23" t="s">
        <v>530</v>
      </c>
      <c r="AK23" t="s">
        <v>156</v>
      </c>
      <c r="AL23" t="s">
        <v>531</v>
      </c>
      <c r="AM23" t="s">
        <v>532</v>
      </c>
      <c r="AN23" t="s">
        <v>69</v>
      </c>
      <c r="AO23" t="s">
        <v>69</v>
      </c>
      <c r="AP23" t="s">
        <v>533</v>
      </c>
      <c r="AQ23" t="s">
        <v>534</v>
      </c>
      <c r="AR23" t="s">
        <v>535</v>
      </c>
      <c r="AS23">
        <v>2020</v>
      </c>
      <c r="AT23">
        <v>5</v>
      </c>
      <c r="AU23">
        <v>2</v>
      </c>
      <c r="AV23" t="s">
        <v>69</v>
      </c>
      <c r="AW23" t="s">
        <v>69</v>
      </c>
      <c r="AX23" t="s">
        <v>69</v>
      </c>
      <c r="AY23" t="s">
        <v>69</v>
      </c>
      <c r="AZ23" t="s">
        <v>69</v>
      </c>
      <c r="BA23" t="s">
        <v>69</v>
      </c>
      <c r="BB23" t="s">
        <v>536</v>
      </c>
      <c r="BC23" t="s">
        <v>537</v>
      </c>
      <c r="BD23" t="s">
        <v>69</v>
      </c>
      <c r="BE23" t="s">
        <v>69</v>
      </c>
      <c r="BF23">
        <v>7</v>
      </c>
      <c r="BG23" t="s">
        <v>424</v>
      </c>
      <c r="BH23" t="s">
        <v>424</v>
      </c>
      <c r="BI23" t="s">
        <v>538</v>
      </c>
      <c r="BJ23" t="s">
        <v>539</v>
      </c>
      <c r="BK23">
        <v>32180999</v>
      </c>
      <c r="BL23" t="s">
        <v>336</v>
      </c>
      <c r="BM23" t="s">
        <v>69</v>
      </c>
      <c r="BN23" t="s">
        <v>69</v>
      </c>
      <c r="BO23" t="s">
        <v>95</v>
      </c>
      <c r="BP23" t="s">
        <v>69</v>
      </c>
    </row>
    <row r="24" spans="1:68" x14ac:dyDescent="0.15">
      <c r="A24" t="s">
        <v>67</v>
      </c>
      <c r="B24" t="s">
        <v>540</v>
      </c>
      <c r="C24" t="s">
        <v>69</v>
      </c>
      <c r="D24" t="s">
        <v>69</v>
      </c>
      <c r="E24" t="s">
        <v>69</v>
      </c>
      <c r="F24" t="s">
        <v>541</v>
      </c>
      <c r="G24" t="s">
        <v>69</v>
      </c>
      <c r="H24" t="s">
        <v>69</v>
      </c>
      <c r="I24" t="s">
        <v>542</v>
      </c>
      <c r="J24" t="s">
        <v>543</v>
      </c>
      <c r="K24" t="s">
        <v>69</v>
      </c>
      <c r="L24" t="s">
        <v>69</v>
      </c>
      <c r="M24" t="s">
        <v>544</v>
      </c>
      <c r="N24" t="s">
        <v>74</v>
      </c>
      <c r="O24" t="s">
        <v>69</v>
      </c>
      <c r="P24" t="s">
        <v>69</v>
      </c>
      <c r="Q24" t="s">
        <v>69</v>
      </c>
      <c r="R24" t="s">
        <v>69</v>
      </c>
      <c r="S24" t="s">
        <v>69</v>
      </c>
      <c r="T24" t="s">
        <v>545</v>
      </c>
      <c r="U24" t="s">
        <v>546</v>
      </c>
      <c r="V24" t="s">
        <v>547</v>
      </c>
      <c r="W24" t="s">
        <v>548</v>
      </c>
      <c r="X24" t="s">
        <v>549</v>
      </c>
      <c r="Y24" t="s">
        <v>550</v>
      </c>
      <c r="Z24" t="s">
        <v>69</v>
      </c>
      <c r="AA24" t="s">
        <v>69</v>
      </c>
      <c r="AB24" t="s">
        <v>69</v>
      </c>
      <c r="AC24" t="s">
        <v>69</v>
      </c>
      <c r="AD24" t="s">
        <v>69</v>
      </c>
      <c r="AE24">
        <v>22</v>
      </c>
      <c r="AF24">
        <v>0</v>
      </c>
      <c r="AG24">
        <v>0</v>
      </c>
      <c r="AH24">
        <v>0</v>
      </c>
      <c r="AI24">
        <v>2</v>
      </c>
      <c r="AJ24" t="s">
        <v>551</v>
      </c>
      <c r="AK24" t="s">
        <v>552</v>
      </c>
      <c r="AL24" t="s">
        <v>553</v>
      </c>
      <c r="AM24" t="s">
        <v>554</v>
      </c>
      <c r="AN24" t="s">
        <v>555</v>
      </c>
      <c r="AO24" t="s">
        <v>69</v>
      </c>
      <c r="AP24" t="s">
        <v>543</v>
      </c>
      <c r="AQ24" t="s">
        <v>556</v>
      </c>
      <c r="AR24" t="s">
        <v>535</v>
      </c>
      <c r="AS24">
        <v>2020</v>
      </c>
      <c r="AT24">
        <v>82</v>
      </c>
      <c r="AU24">
        <v>2</v>
      </c>
      <c r="AV24" t="s">
        <v>69</v>
      </c>
      <c r="AW24" t="s">
        <v>69</v>
      </c>
      <c r="AX24" t="s">
        <v>69</v>
      </c>
      <c r="AY24" t="s">
        <v>69</v>
      </c>
      <c r="AZ24">
        <v>202</v>
      </c>
      <c r="BA24">
        <v>208</v>
      </c>
      <c r="BB24" t="s">
        <v>69</v>
      </c>
      <c r="BC24" t="s">
        <v>557</v>
      </c>
      <c r="BD24" t="s">
        <v>69</v>
      </c>
      <c r="BE24" t="s">
        <v>69</v>
      </c>
      <c r="BF24">
        <v>7</v>
      </c>
      <c r="BG24" t="s">
        <v>424</v>
      </c>
      <c r="BH24" t="s">
        <v>424</v>
      </c>
      <c r="BI24" t="s">
        <v>558</v>
      </c>
      <c r="BJ24" t="s">
        <v>559</v>
      </c>
      <c r="BK24">
        <v>31822026</v>
      </c>
      <c r="BL24" t="s">
        <v>69</v>
      </c>
      <c r="BM24" t="s">
        <v>69</v>
      </c>
      <c r="BN24" t="s">
        <v>69</v>
      </c>
      <c r="BO24" t="s">
        <v>95</v>
      </c>
      <c r="BP24" t="s">
        <v>69</v>
      </c>
    </row>
    <row r="25" spans="1:68" x14ac:dyDescent="0.15">
      <c r="A25" t="s">
        <v>67</v>
      </c>
      <c r="B25" t="s">
        <v>560</v>
      </c>
      <c r="C25" t="s">
        <v>69</v>
      </c>
      <c r="D25" t="s">
        <v>69</v>
      </c>
      <c r="E25" t="s">
        <v>69</v>
      </c>
      <c r="F25" t="s">
        <v>561</v>
      </c>
      <c r="G25" t="s">
        <v>69</v>
      </c>
      <c r="H25" t="s">
        <v>69</v>
      </c>
      <c r="I25" t="s">
        <v>562</v>
      </c>
      <c r="J25" t="s">
        <v>563</v>
      </c>
      <c r="K25" t="s">
        <v>69</v>
      </c>
      <c r="L25" t="s">
        <v>69</v>
      </c>
      <c r="M25" t="s">
        <v>73</v>
      </c>
      <c r="N25" t="s">
        <v>74</v>
      </c>
      <c r="O25" t="s">
        <v>69</v>
      </c>
      <c r="P25" t="s">
        <v>69</v>
      </c>
      <c r="Q25" t="s">
        <v>69</v>
      </c>
      <c r="R25" t="s">
        <v>69</v>
      </c>
      <c r="S25" t="s">
        <v>69</v>
      </c>
      <c r="T25" t="s">
        <v>564</v>
      </c>
      <c r="U25" t="s">
        <v>565</v>
      </c>
      <c r="V25" t="s">
        <v>566</v>
      </c>
      <c r="W25" t="s">
        <v>567</v>
      </c>
      <c r="X25" t="s">
        <v>568</v>
      </c>
      <c r="Y25" t="s">
        <v>569</v>
      </c>
      <c r="Z25" t="s">
        <v>69</v>
      </c>
      <c r="AA25" t="s">
        <v>69</v>
      </c>
      <c r="AB25" t="s">
        <v>570</v>
      </c>
      <c r="AC25" t="s">
        <v>571</v>
      </c>
      <c r="AD25" t="s">
        <v>69</v>
      </c>
      <c r="AE25">
        <v>28</v>
      </c>
      <c r="AF25">
        <v>1</v>
      </c>
      <c r="AG25">
        <v>1</v>
      </c>
      <c r="AH25">
        <v>3</v>
      </c>
      <c r="AI25">
        <v>10</v>
      </c>
      <c r="AJ25" t="s">
        <v>572</v>
      </c>
      <c r="AK25" t="s">
        <v>573</v>
      </c>
      <c r="AL25" t="s">
        <v>574</v>
      </c>
      <c r="AM25" t="s">
        <v>575</v>
      </c>
      <c r="AN25" t="s">
        <v>576</v>
      </c>
      <c r="AO25" t="s">
        <v>69</v>
      </c>
      <c r="AP25" t="s">
        <v>577</v>
      </c>
      <c r="AQ25" t="s">
        <v>578</v>
      </c>
      <c r="AR25" t="s">
        <v>579</v>
      </c>
      <c r="AS25">
        <v>2020</v>
      </c>
      <c r="AT25">
        <v>51</v>
      </c>
      <c r="AU25">
        <v>3</v>
      </c>
      <c r="AV25" t="s">
        <v>69</v>
      </c>
      <c r="AW25" t="s">
        <v>69</v>
      </c>
      <c r="AX25" t="s">
        <v>69</v>
      </c>
      <c r="AY25" t="s">
        <v>69</v>
      </c>
      <c r="AZ25">
        <v>471</v>
      </c>
      <c r="BA25">
        <v>477</v>
      </c>
      <c r="BB25" t="s">
        <v>69</v>
      </c>
      <c r="BC25" t="s">
        <v>580</v>
      </c>
      <c r="BD25" t="s">
        <v>69</v>
      </c>
      <c r="BE25" t="s">
        <v>581</v>
      </c>
      <c r="BF25">
        <v>7</v>
      </c>
      <c r="BG25" t="s">
        <v>582</v>
      </c>
      <c r="BH25" t="s">
        <v>583</v>
      </c>
      <c r="BI25" t="s">
        <v>584</v>
      </c>
      <c r="BJ25" t="s">
        <v>585</v>
      </c>
      <c r="BK25">
        <v>31981084</v>
      </c>
      <c r="BL25" t="s">
        <v>69</v>
      </c>
      <c r="BM25" t="s">
        <v>69</v>
      </c>
      <c r="BN25" t="s">
        <v>69</v>
      </c>
      <c r="BO25" t="s">
        <v>95</v>
      </c>
      <c r="BP25" t="s">
        <v>69</v>
      </c>
    </row>
    <row r="26" spans="1:68" x14ac:dyDescent="0.15">
      <c r="A26" t="s">
        <v>67</v>
      </c>
      <c r="B26" t="s">
        <v>586</v>
      </c>
      <c r="C26" t="s">
        <v>69</v>
      </c>
      <c r="D26" t="s">
        <v>69</v>
      </c>
      <c r="E26" t="s">
        <v>69</v>
      </c>
      <c r="F26" t="s">
        <v>587</v>
      </c>
      <c r="G26" t="s">
        <v>69</v>
      </c>
      <c r="H26" t="s">
        <v>69</v>
      </c>
      <c r="I26" t="s">
        <v>588</v>
      </c>
      <c r="J26" t="s">
        <v>589</v>
      </c>
      <c r="K26" t="s">
        <v>69</v>
      </c>
      <c r="L26" t="s">
        <v>69</v>
      </c>
      <c r="M26" t="s">
        <v>456</v>
      </c>
      <c r="N26" t="s">
        <v>74</v>
      </c>
      <c r="O26" t="s">
        <v>69</v>
      </c>
      <c r="P26" t="s">
        <v>69</v>
      </c>
      <c r="Q26" t="s">
        <v>69</v>
      </c>
      <c r="R26" t="s">
        <v>69</v>
      </c>
      <c r="S26" t="s">
        <v>69</v>
      </c>
      <c r="T26" t="s">
        <v>590</v>
      </c>
      <c r="U26" t="s">
        <v>591</v>
      </c>
      <c r="V26" t="s">
        <v>592</v>
      </c>
      <c r="W26" t="s">
        <v>593</v>
      </c>
      <c r="X26" t="s">
        <v>594</v>
      </c>
      <c r="Y26" t="s">
        <v>595</v>
      </c>
      <c r="Z26" t="s">
        <v>69</v>
      </c>
      <c r="AA26" t="s">
        <v>69</v>
      </c>
      <c r="AB26" t="s">
        <v>69</v>
      </c>
      <c r="AC26" t="s">
        <v>69</v>
      </c>
      <c r="AD26" t="s">
        <v>69</v>
      </c>
      <c r="AE26">
        <v>55</v>
      </c>
      <c r="AF26">
        <v>0</v>
      </c>
      <c r="AG26">
        <v>0</v>
      </c>
      <c r="AH26">
        <v>0</v>
      </c>
      <c r="AI26">
        <v>0</v>
      </c>
      <c r="AJ26" t="s">
        <v>596</v>
      </c>
      <c r="AK26" t="s">
        <v>597</v>
      </c>
      <c r="AL26" t="s">
        <v>598</v>
      </c>
      <c r="AM26" t="s">
        <v>599</v>
      </c>
      <c r="AN26" t="s">
        <v>600</v>
      </c>
      <c r="AO26" t="s">
        <v>69</v>
      </c>
      <c r="AP26" t="s">
        <v>601</v>
      </c>
      <c r="AQ26" t="s">
        <v>602</v>
      </c>
      <c r="AR26" t="s">
        <v>69</v>
      </c>
      <c r="AS26">
        <v>2020</v>
      </c>
      <c r="AT26" t="s">
        <v>69</v>
      </c>
      <c r="AU26" t="s">
        <v>69</v>
      </c>
      <c r="AV26" t="s">
        <v>69</v>
      </c>
      <c r="AW26" t="s">
        <v>69</v>
      </c>
      <c r="AX26" t="s">
        <v>69</v>
      </c>
      <c r="AY26" t="s">
        <v>69</v>
      </c>
      <c r="AZ26">
        <v>168</v>
      </c>
      <c r="BA26">
        <v>195</v>
      </c>
      <c r="BB26" t="s">
        <v>69</v>
      </c>
      <c r="BC26" t="s">
        <v>603</v>
      </c>
      <c r="BD26" t="s">
        <v>69</v>
      </c>
      <c r="BE26" t="s">
        <v>69</v>
      </c>
      <c r="BF26">
        <v>28</v>
      </c>
      <c r="BG26" t="s">
        <v>604</v>
      </c>
      <c r="BH26" t="s">
        <v>604</v>
      </c>
      <c r="BI26" t="s">
        <v>605</v>
      </c>
      <c r="BJ26" t="s">
        <v>606</v>
      </c>
      <c r="BK26" t="s">
        <v>69</v>
      </c>
      <c r="BL26" t="s">
        <v>94</v>
      </c>
      <c r="BM26" t="s">
        <v>69</v>
      </c>
      <c r="BN26" t="s">
        <v>69</v>
      </c>
      <c r="BO26" t="s">
        <v>95</v>
      </c>
      <c r="BP26" t="s">
        <v>69</v>
      </c>
    </row>
    <row r="27" spans="1:68" x14ac:dyDescent="0.15">
      <c r="A27" t="s">
        <v>67</v>
      </c>
      <c r="B27" t="s">
        <v>607</v>
      </c>
      <c r="C27" t="s">
        <v>69</v>
      </c>
      <c r="D27" t="s">
        <v>69</v>
      </c>
      <c r="E27" t="s">
        <v>69</v>
      </c>
      <c r="F27" t="s">
        <v>608</v>
      </c>
      <c r="G27" t="s">
        <v>69</v>
      </c>
      <c r="H27" t="s">
        <v>69</v>
      </c>
      <c r="I27" t="s">
        <v>609</v>
      </c>
      <c r="J27" t="s">
        <v>610</v>
      </c>
      <c r="K27" t="s">
        <v>69</v>
      </c>
      <c r="L27" t="s">
        <v>69</v>
      </c>
      <c r="M27" t="s">
        <v>456</v>
      </c>
      <c r="N27" t="s">
        <v>74</v>
      </c>
      <c r="O27" t="s">
        <v>69</v>
      </c>
      <c r="P27" t="s">
        <v>69</v>
      </c>
      <c r="Q27" t="s">
        <v>69</v>
      </c>
      <c r="R27" t="s">
        <v>69</v>
      </c>
      <c r="S27" t="s">
        <v>69</v>
      </c>
      <c r="T27" t="s">
        <v>611</v>
      </c>
      <c r="U27" t="s">
        <v>69</v>
      </c>
      <c r="V27" t="s">
        <v>612</v>
      </c>
      <c r="W27" t="s">
        <v>69</v>
      </c>
      <c r="X27" t="s">
        <v>69</v>
      </c>
      <c r="Y27" t="s">
        <v>613</v>
      </c>
      <c r="Z27" t="s">
        <v>69</v>
      </c>
      <c r="AA27" t="s">
        <v>69</v>
      </c>
      <c r="AB27" t="s">
        <v>69</v>
      </c>
      <c r="AC27" t="s">
        <v>69</v>
      </c>
      <c r="AD27" t="s">
        <v>69</v>
      </c>
      <c r="AE27">
        <v>51</v>
      </c>
      <c r="AF27">
        <v>0</v>
      </c>
      <c r="AG27">
        <v>0</v>
      </c>
      <c r="AH27">
        <v>0</v>
      </c>
      <c r="AI27">
        <v>0</v>
      </c>
      <c r="AJ27" t="s">
        <v>614</v>
      </c>
      <c r="AK27" t="s">
        <v>615</v>
      </c>
      <c r="AL27" t="s">
        <v>616</v>
      </c>
      <c r="AM27" t="s">
        <v>617</v>
      </c>
      <c r="AN27" t="s">
        <v>618</v>
      </c>
      <c r="AO27" t="s">
        <v>69</v>
      </c>
      <c r="AP27" t="s">
        <v>619</v>
      </c>
      <c r="AQ27" t="s">
        <v>620</v>
      </c>
      <c r="AR27" t="s">
        <v>69</v>
      </c>
      <c r="AS27">
        <v>2020</v>
      </c>
      <c r="AT27" t="s">
        <v>69</v>
      </c>
      <c r="AU27">
        <v>8</v>
      </c>
      <c r="AV27" t="s">
        <v>69</v>
      </c>
      <c r="AW27" t="s">
        <v>69</v>
      </c>
      <c r="AX27" t="s">
        <v>69</v>
      </c>
      <c r="AY27" t="s">
        <v>69</v>
      </c>
      <c r="AZ27">
        <v>485</v>
      </c>
      <c r="BA27">
        <v>510</v>
      </c>
      <c r="BB27" t="s">
        <v>69</v>
      </c>
      <c r="BC27" t="s">
        <v>621</v>
      </c>
      <c r="BD27" t="s">
        <v>69</v>
      </c>
      <c r="BE27" t="s">
        <v>69</v>
      </c>
      <c r="BF27">
        <v>26</v>
      </c>
      <c r="BG27" t="s">
        <v>622</v>
      </c>
      <c r="BH27" t="s">
        <v>622</v>
      </c>
      <c r="BI27" t="s">
        <v>623</v>
      </c>
      <c r="BJ27" t="s">
        <v>624</v>
      </c>
      <c r="BK27" t="s">
        <v>69</v>
      </c>
      <c r="BL27" t="s">
        <v>94</v>
      </c>
      <c r="BM27" t="s">
        <v>69</v>
      </c>
      <c r="BN27" t="s">
        <v>69</v>
      </c>
      <c r="BO27" t="s">
        <v>95</v>
      </c>
      <c r="BP27" t="s">
        <v>69</v>
      </c>
    </row>
    <row r="28" spans="1:68" x14ac:dyDescent="0.15">
      <c r="A28" t="s">
        <v>67</v>
      </c>
      <c r="B28" t="s">
        <v>625</v>
      </c>
      <c r="C28" t="s">
        <v>69</v>
      </c>
      <c r="D28" t="s">
        <v>69</v>
      </c>
      <c r="E28" t="s">
        <v>69</v>
      </c>
      <c r="F28" t="s">
        <v>626</v>
      </c>
      <c r="G28" t="s">
        <v>69</v>
      </c>
      <c r="H28" t="s">
        <v>69</v>
      </c>
      <c r="I28" t="s">
        <v>627</v>
      </c>
      <c r="J28" t="s">
        <v>628</v>
      </c>
      <c r="K28" t="s">
        <v>69</v>
      </c>
      <c r="L28" t="s">
        <v>69</v>
      </c>
      <c r="M28" t="s">
        <v>73</v>
      </c>
      <c r="N28" t="s">
        <v>100</v>
      </c>
      <c r="O28" t="s">
        <v>69</v>
      </c>
      <c r="P28" t="s">
        <v>69</v>
      </c>
      <c r="Q28" t="s">
        <v>69</v>
      </c>
      <c r="R28" t="s">
        <v>69</v>
      </c>
      <c r="S28" t="s">
        <v>69</v>
      </c>
      <c r="T28" t="s">
        <v>629</v>
      </c>
      <c r="U28" t="s">
        <v>630</v>
      </c>
      <c r="V28" t="s">
        <v>631</v>
      </c>
      <c r="W28" t="s">
        <v>632</v>
      </c>
      <c r="X28" t="s">
        <v>633</v>
      </c>
      <c r="Y28" t="s">
        <v>634</v>
      </c>
      <c r="Z28" t="s">
        <v>69</v>
      </c>
      <c r="AA28" t="s">
        <v>635</v>
      </c>
      <c r="AB28" t="s">
        <v>69</v>
      </c>
      <c r="AC28" t="s">
        <v>69</v>
      </c>
      <c r="AD28" t="s">
        <v>69</v>
      </c>
      <c r="AE28">
        <v>109</v>
      </c>
      <c r="AF28">
        <v>1</v>
      </c>
      <c r="AG28">
        <v>1</v>
      </c>
      <c r="AH28">
        <v>1</v>
      </c>
      <c r="AI28">
        <v>8</v>
      </c>
      <c r="AJ28" t="s">
        <v>572</v>
      </c>
      <c r="AK28" t="s">
        <v>573</v>
      </c>
      <c r="AL28" t="s">
        <v>636</v>
      </c>
      <c r="AM28" t="s">
        <v>637</v>
      </c>
      <c r="AN28" t="s">
        <v>638</v>
      </c>
      <c r="AO28" t="s">
        <v>69</v>
      </c>
      <c r="AP28" t="s">
        <v>639</v>
      </c>
      <c r="AQ28" t="s">
        <v>640</v>
      </c>
      <c r="AR28" t="s">
        <v>69</v>
      </c>
      <c r="AS28" t="s">
        <v>69</v>
      </c>
      <c r="AT28" t="s">
        <v>69</v>
      </c>
      <c r="AU28" t="s">
        <v>69</v>
      </c>
      <c r="AV28" t="s">
        <v>69</v>
      </c>
      <c r="AW28" t="s">
        <v>69</v>
      </c>
      <c r="AX28" t="s">
        <v>69</v>
      </c>
      <c r="AY28" t="s">
        <v>69</v>
      </c>
      <c r="AZ28" t="s">
        <v>69</v>
      </c>
      <c r="BA28" t="s">
        <v>69</v>
      </c>
      <c r="BB28" t="s">
        <v>69</v>
      </c>
      <c r="BC28" t="s">
        <v>641</v>
      </c>
      <c r="BD28" t="s">
        <v>69</v>
      </c>
      <c r="BE28" t="s">
        <v>642</v>
      </c>
      <c r="BF28">
        <v>23</v>
      </c>
      <c r="BG28" t="s">
        <v>268</v>
      </c>
      <c r="BH28" t="s">
        <v>232</v>
      </c>
      <c r="BI28" t="s">
        <v>643</v>
      </c>
      <c r="BJ28" t="s">
        <v>644</v>
      </c>
      <c r="BK28" t="s">
        <v>69</v>
      </c>
      <c r="BL28" t="s">
        <v>69</v>
      </c>
      <c r="BM28" t="s">
        <v>69</v>
      </c>
      <c r="BN28" t="s">
        <v>69</v>
      </c>
      <c r="BO28" t="s">
        <v>95</v>
      </c>
      <c r="BP28" t="s">
        <v>69</v>
      </c>
    </row>
    <row r="29" spans="1:68" x14ac:dyDescent="0.15">
      <c r="A29" t="s">
        <v>67</v>
      </c>
      <c r="B29" t="s">
        <v>645</v>
      </c>
      <c r="C29" t="s">
        <v>69</v>
      </c>
      <c r="D29" t="s">
        <v>69</v>
      </c>
      <c r="E29" t="s">
        <v>69</v>
      </c>
      <c r="F29" t="s">
        <v>646</v>
      </c>
      <c r="G29" t="s">
        <v>69</v>
      </c>
      <c r="H29" t="s">
        <v>69</v>
      </c>
      <c r="I29" t="s">
        <v>647</v>
      </c>
      <c r="J29" t="s">
        <v>648</v>
      </c>
      <c r="K29" t="s">
        <v>69</v>
      </c>
      <c r="L29" t="s">
        <v>69</v>
      </c>
      <c r="M29" t="s">
        <v>73</v>
      </c>
      <c r="N29" t="s">
        <v>74</v>
      </c>
      <c r="O29" t="s">
        <v>69</v>
      </c>
      <c r="P29" t="s">
        <v>69</v>
      </c>
      <c r="Q29" t="s">
        <v>69</v>
      </c>
      <c r="R29" t="s">
        <v>69</v>
      </c>
      <c r="S29" t="s">
        <v>69</v>
      </c>
      <c r="T29" t="s">
        <v>649</v>
      </c>
      <c r="U29" t="s">
        <v>650</v>
      </c>
      <c r="V29" t="s">
        <v>651</v>
      </c>
      <c r="W29" t="s">
        <v>652</v>
      </c>
      <c r="X29" t="s">
        <v>653</v>
      </c>
      <c r="Y29" t="s">
        <v>654</v>
      </c>
      <c r="Z29" t="s">
        <v>655</v>
      </c>
      <c r="AA29" t="s">
        <v>656</v>
      </c>
      <c r="AB29" t="s">
        <v>69</v>
      </c>
      <c r="AC29" t="s">
        <v>69</v>
      </c>
      <c r="AD29" t="s">
        <v>69</v>
      </c>
      <c r="AE29">
        <v>39</v>
      </c>
      <c r="AF29">
        <v>3</v>
      </c>
      <c r="AG29">
        <v>3</v>
      </c>
      <c r="AH29">
        <v>0</v>
      </c>
      <c r="AI29">
        <v>17</v>
      </c>
      <c r="AJ29" t="s">
        <v>657</v>
      </c>
      <c r="AK29" t="s">
        <v>658</v>
      </c>
      <c r="AL29" t="s">
        <v>659</v>
      </c>
      <c r="AM29" t="s">
        <v>660</v>
      </c>
      <c r="AN29" t="s">
        <v>661</v>
      </c>
      <c r="AO29" t="s">
        <v>69</v>
      </c>
      <c r="AP29" t="s">
        <v>662</v>
      </c>
      <c r="AQ29" t="s">
        <v>663</v>
      </c>
      <c r="AR29" t="s">
        <v>355</v>
      </c>
      <c r="AS29">
        <v>2019</v>
      </c>
      <c r="AT29">
        <v>54</v>
      </c>
      <c r="AU29">
        <v>6</v>
      </c>
      <c r="AV29" t="s">
        <v>69</v>
      </c>
      <c r="AW29" t="s">
        <v>69</v>
      </c>
      <c r="AX29" t="s">
        <v>69</v>
      </c>
      <c r="AY29" t="s">
        <v>69</v>
      </c>
      <c r="AZ29">
        <v>739</v>
      </c>
      <c r="BA29">
        <v>749</v>
      </c>
      <c r="BB29" t="s">
        <v>69</v>
      </c>
      <c r="BC29" t="s">
        <v>664</v>
      </c>
      <c r="BD29" t="s">
        <v>69</v>
      </c>
      <c r="BE29" t="s">
        <v>69</v>
      </c>
      <c r="BF29">
        <v>11</v>
      </c>
      <c r="BG29" t="s">
        <v>449</v>
      </c>
      <c r="BH29" t="s">
        <v>288</v>
      </c>
      <c r="BI29" t="s">
        <v>665</v>
      </c>
      <c r="BJ29" t="s">
        <v>666</v>
      </c>
      <c r="BK29">
        <v>30171685</v>
      </c>
      <c r="BL29" t="s">
        <v>69</v>
      </c>
      <c r="BM29" t="s">
        <v>69</v>
      </c>
      <c r="BN29" t="s">
        <v>69</v>
      </c>
      <c r="BO29" t="s">
        <v>95</v>
      </c>
      <c r="BP29" t="s">
        <v>69</v>
      </c>
    </row>
    <row r="30" spans="1:68" x14ac:dyDescent="0.15">
      <c r="A30" t="s">
        <v>67</v>
      </c>
      <c r="B30" t="s">
        <v>667</v>
      </c>
      <c r="C30" t="s">
        <v>69</v>
      </c>
      <c r="D30" t="s">
        <v>69</v>
      </c>
      <c r="E30" t="s">
        <v>69</v>
      </c>
      <c r="F30" t="s">
        <v>668</v>
      </c>
      <c r="G30" t="s">
        <v>69</v>
      </c>
      <c r="H30" t="s">
        <v>69</v>
      </c>
      <c r="I30" t="s">
        <v>669</v>
      </c>
      <c r="J30" t="s">
        <v>670</v>
      </c>
      <c r="K30" t="s">
        <v>69</v>
      </c>
      <c r="L30" t="s">
        <v>69</v>
      </c>
      <c r="M30" t="s">
        <v>73</v>
      </c>
      <c r="N30" t="s">
        <v>74</v>
      </c>
      <c r="O30" t="s">
        <v>69</v>
      </c>
      <c r="P30" t="s">
        <v>69</v>
      </c>
      <c r="Q30" t="s">
        <v>69</v>
      </c>
      <c r="R30" t="s">
        <v>69</v>
      </c>
      <c r="S30" t="s">
        <v>69</v>
      </c>
      <c r="T30" t="s">
        <v>671</v>
      </c>
      <c r="U30" t="s">
        <v>672</v>
      </c>
      <c r="V30" t="s">
        <v>673</v>
      </c>
      <c r="W30" t="s">
        <v>674</v>
      </c>
      <c r="X30" t="s">
        <v>675</v>
      </c>
      <c r="Y30" t="s">
        <v>676</v>
      </c>
      <c r="Z30" t="s">
        <v>677</v>
      </c>
      <c r="AA30" t="s">
        <v>678</v>
      </c>
      <c r="AB30" t="s">
        <v>679</v>
      </c>
      <c r="AC30" t="s">
        <v>680</v>
      </c>
      <c r="AD30" t="s">
        <v>69</v>
      </c>
      <c r="AE30">
        <v>59</v>
      </c>
      <c r="AF30">
        <v>0</v>
      </c>
      <c r="AG30">
        <v>0</v>
      </c>
      <c r="AH30">
        <v>3</v>
      </c>
      <c r="AI30">
        <v>21</v>
      </c>
      <c r="AJ30" t="s">
        <v>223</v>
      </c>
      <c r="AK30" t="s">
        <v>224</v>
      </c>
      <c r="AL30" t="s">
        <v>225</v>
      </c>
      <c r="AM30" t="s">
        <v>681</v>
      </c>
      <c r="AN30" t="s">
        <v>682</v>
      </c>
      <c r="AO30" t="s">
        <v>69</v>
      </c>
      <c r="AP30" t="s">
        <v>683</v>
      </c>
      <c r="AQ30" t="s">
        <v>684</v>
      </c>
      <c r="AR30" t="s">
        <v>685</v>
      </c>
      <c r="AS30">
        <v>2020</v>
      </c>
      <c r="AT30">
        <v>26</v>
      </c>
      <c r="AU30">
        <v>1</v>
      </c>
      <c r="AV30" t="s">
        <v>69</v>
      </c>
      <c r="AW30" t="s">
        <v>69</v>
      </c>
      <c r="AX30" t="s">
        <v>69</v>
      </c>
      <c r="AY30" t="s">
        <v>69</v>
      </c>
      <c r="AZ30" t="s">
        <v>69</v>
      </c>
      <c r="BA30" t="s">
        <v>69</v>
      </c>
      <c r="BB30" t="s">
        <v>686</v>
      </c>
      <c r="BC30" t="s">
        <v>687</v>
      </c>
      <c r="BD30" t="s">
        <v>69</v>
      </c>
      <c r="BE30" t="s">
        <v>688</v>
      </c>
      <c r="BF30">
        <v>16</v>
      </c>
      <c r="BG30" t="s">
        <v>689</v>
      </c>
      <c r="BH30" t="s">
        <v>689</v>
      </c>
      <c r="BI30" t="s">
        <v>690</v>
      </c>
      <c r="BJ30" t="s">
        <v>691</v>
      </c>
      <c r="BK30" t="s">
        <v>69</v>
      </c>
      <c r="BL30" t="s">
        <v>69</v>
      </c>
      <c r="BM30" t="s">
        <v>69</v>
      </c>
      <c r="BN30" t="s">
        <v>69</v>
      </c>
      <c r="BO30" t="s">
        <v>95</v>
      </c>
      <c r="BP30" t="s">
        <v>69</v>
      </c>
    </row>
    <row r="31" spans="1:68" x14ac:dyDescent="0.15">
      <c r="A31" t="s">
        <v>67</v>
      </c>
      <c r="B31" t="s">
        <v>692</v>
      </c>
      <c r="C31" t="s">
        <v>69</v>
      </c>
      <c r="D31" t="s">
        <v>69</v>
      </c>
      <c r="E31" t="s">
        <v>69</v>
      </c>
      <c r="F31" t="s">
        <v>693</v>
      </c>
      <c r="G31" t="s">
        <v>69</v>
      </c>
      <c r="H31" t="s">
        <v>69</v>
      </c>
      <c r="I31" t="s">
        <v>694</v>
      </c>
      <c r="J31" t="s">
        <v>695</v>
      </c>
      <c r="K31" t="s">
        <v>69</v>
      </c>
      <c r="L31" t="s">
        <v>69</v>
      </c>
      <c r="M31" t="s">
        <v>73</v>
      </c>
      <c r="N31" t="s">
        <v>74</v>
      </c>
      <c r="O31" t="s">
        <v>69</v>
      </c>
      <c r="P31" t="s">
        <v>69</v>
      </c>
      <c r="Q31" t="s">
        <v>69</v>
      </c>
      <c r="R31" t="s">
        <v>69</v>
      </c>
      <c r="S31" t="s">
        <v>69</v>
      </c>
      <c r="T31" t="s">
        <v>69</v>
      </c>
      <c r="U31" t="s">
        <v>696</v>
      </c>
      <c r="V31" t="s">
        <v>697</v>
      </c>
      <c r="W31" t="s">
        <v>698</v>
      </c>
      <c r="X31" t="s">
        <v>699</v>
      </c>
      <c r="Y31" t="s">
        <v>700</v>
      </c>
      <c r="Z31" t="s">
        <v>69</v>
      </c>
      <c r="AA31" t="s">
        <v>69</v>
      </c>
      <c r="AB31" t="s">
        <v>69</v>
      </c>
      <c r="AC31" t="s">
        <v>69</v>
      </c>
      <c r="AD31" t="s">
        <v>69</v>
      </c>
      <c r="AE31">
        <v>86</v>
      </c>
      <c r="AF31">
        <v>0</v>
      </c>
      <c r="AG31">
        <v>0</v>
      </c>
      <c r="AH31">
        <v>0</v>
      </c>
      <c r="AI31">
        <v>4</v>
      </c>
      <c r="AJ31" t="s">
        <v>701</v>
      </c>
      <c r="AK31" t="s">
        <v>702</v>
      </c>
      <c r="AL31" t="s">
        <v>703</v>
      </c>
      <c r="AM31" t="s">
        <v>704</v>
      </c>
      <c r="AN31" t="s">
        <v>705</v>
      </c>
      <c r="AO31" t="s">
        <v>69</v>
      </c>
      <c r="AP31" t="s">
        <v>706</v>
      </c>
      <c r="AQ31" t="s">
        <v>707</v>
      </c>
      <c r="AR31" t="s">
        <v>708</v>
      </c>
      <c r="AS31">
        <v>2019</v>
      </c>
      <c r="AT31">
        <v>40</v>
      </c>
      <c r="AU31">
        <v>11</v>
      </c>
      <c r="AV31" t="s">
        <v>69</v>
      </c>
      <c r="AW31" t="s">
        <v>69</v>
      </c>
      <c r="AX31" t="s">
        <v>69</v>
      </c>
      <c r="AY31" t="s">
        <v>69</v>
      </c>
      <c r="AZ31">
        <v>1372</v>
      </c>
      <c r="BA31">
        <v>1390</v>
      </c>
      <c r="BB31" t="s">
        <v>69</v>
      </c>
      <c r="BC31" t="s">
        <v>709</v>
      </c>
      <c r="BD31" t="s">
        <v>69</v>
      </c>
      <c r="BE31" t="s">
        <v>69</v>
      </c>
      <c r="BF31">
        <v>19</v>
      </c>
      <c r="BG31" t="s">
        <v>710</v>
      </c>
      <c r="BH31" t="s">
        <v>711</v>
      </c>
      <c r="BI31" t="s">
        <v>712</v>
      </c>
      <c r="BJ31" t="s">
        <v>713</v>
      </c>
      <c r="BK31" t="s">
        <v>69</v>
      </c>
      <c r="BL31" t="s">
        <v>69</v>
      </c>
      <c r="BM31" t="s">
        <v>69</v>
      </c>
      <c r="BN31" t="s">
        <v>69</v>
      </c>
      <c r="BO31" t="s">
        <v>95</v>
      </c>
      <c r="BP31" t="s">
        <v>69</v>
      </c>
    </row>
    <row r="32" spans="1:68" x14ac:dyDescent="0.15">
      <c r="A32" t="s">
        <v>67</v>
      </c>
      <c r="B32" t="s">
        <v>714</v>
      </c>
      <c r="C32" t="s">
        <v>69</v>
      </c>
      <c r="D32" t="s">
        <v>69</v>
      </c>
      <c r="E32" t="s">
        <v>69</v>
      </c>
      <c r="F32" t="s">
        <v>715</v>
      </c>
      <c r="G32" t="s">
        <v>69</v>
      </c>
      <c r="H32" t="s">
        <v>69</v>
      </c>
      <c r="I32" t="s">
        <v>716</v>
      </c>
      <c r="J32" t="s">
        <v>717</v>
      </c>
      <c r="K32" t="s">
        <v>69</v>
      </c>
      <c r="L32" t="s">
        <v>69</v>
      </c>
      <c r="M32" t="s">
        <v>73</v>
      </c>
      <c r="N32" t="s">
        <v>318</v>
      </c>
      <c r="O32" t="s">
        <v>69</v>
      </c>
      <c r="P32" t="s">
        <v>69</v>
      </c>
      <c r="Q32" t="s">
        <v>69</v>
      </c>
      <c r="R32" t="s">
        <v>69</v>
      </c>
      <c r="S32" t="s">
        <v>69</v>
      </c>
      <c r="T32" t="s">
        <v>718</v>
      </c>
      <c r="U32" t="s">
        <v>719</v>
      </c>
      <c r="V32" t="s">
        <v>720</v>
      </c>
      <c r="W32" t="s">
        <v>721</v>
      </c>
      <c r="X32" t="s">
        <v>722</v>
      </c>
      <c r="Y32" t="s">
        <v>723</v>
      </c>
      <c r="Z32" t="s">
        <v>69</v>
      </c>
      <c r="AA32" t="s">
        <v>724</v>
      </c>
      <c r="AB32" t="s">
        <v>69</v>
      </c>
      <c r="AC32" t="s">
        <v>69</v>
      </c>
      <c r="AD32" t="s">
        <v>69</v>
      </c>
      <c r="AE32">
        <v>75</v>
      </c>
      <c r="AF32">
        <v>3</v>
      </c>
      <c r="AG32">
        <v>3</v>
      </c>
      <c r="AH32">
        <v>3</v>
      </c>
      <c r="AI32">
        <v>11</v>
      </c>
      <c r="AJ32" t="s">
        <v>725</v>
      </c>
      <c r="AK32" t="s">
        <v>83</v>
      </c>
      <c r="AL32" t="s">
        <v>726</v>
      </c>
      <c r="AM32" t="s">
        <v>727</v>
      </c>
      <c r="AN32" t="s">
        <v>728</v>
      </c>
      <c r="AO32" t="s">
        <v>69</v>
      </c>
      <c r="AP32" t="s">
        <v>729</v>
      </c>
      <c r="AQ32" t="s">
        <v>730</v>
      </c>
      <c r="AR32" t="s">
        <v>731</v>
      </c>
      <c r="AS32">
        <v>2019</v>
      </c>
      <c r="AT32">
        <v>63</v>
      </c>
      <c r="AU32">
        <v>2</v>
      </c>
      <c r="AV32" t="s">
        <v>69</v>
      </c>
      <c r="AW32" t="s">
        <v>69</v>
      </c>
      <c r="AX32" t="s">
        <v>69</v>
      </c>
      <c r="AY32" t="s">
        <v>69</v>
      </c>
      <c r="AZ32">
        <v>90</v>
      </c>
      <c r="BA32">
        <v>111</v>
      </c>
      <c r="BB32" t="s">
        <v>69</v>
      </c>
      <c r="BC32" t="s">
        <v>732</v>
      </c>
      <c r="BD32" t="s">
        <v>69</v>
      </c>
      <c r="BE32" t="s">
        <v>69</v>
      </c>
      <c r="BF32">
        <v>22</v>
      </c>
      <c r="BG32" t="s">
        <v>733</v>
      </c>
      <c r="BH32" t="s">
        <v>288</v>
      </c>
      <c r="BI32" t="s">
        <v>734</v>
      </c>
      <c r="BJ32" t="s">
        <v>735</v>
      </c>
      <c r="BK32" t="s">
        <v>69</v>
      </c>
      <c r="BL32" t="s">
        <v>213</v>
      </c>
      <c r="BM32" t="s">
        <v>69</v>
      </c>
      <c r="BN32" t="s">
        <v>69</v>
      </c>
      <c r="BO32" t="s">
        <v>95</v>
      </c>
      <c r="BP32" t="s">
        <v>69</v>
      </c>
    </row>
    <row r="33" spans="1:68" x14ac:dyDescent="0.15">
      <c r="A33" t="s">
        <v>67</v>
      </c>
      <c r="B33" t="s">
        <v>736</v>
      </c>
      <c r="C33" t="s">
        <v>69</v>
      </c>
      <c r="D33" t="s">
        <v>69</v>
      </c>
      <c r="E33" t="s">
        <v>69</v>
      </c>
      <c r="F33" t="s">
        <v>737</v>
      </c>
      <c r="G33" t="s">
        <v>69</v>
      </c>
      <c r="H33" t="s">
        <v>69</v>
      </c>
      <c r="I33" t="s">
        <v>738</v>
      </c>
      <c r="J33" t="s">
        <v>739</v>
      </c>
      <c r="K33" t="s">
        <v>69</v>
      </c>
      <c r="L33" t="s">
        <v>69</v>
      </c>
      <c r="M33" t="s">
        <v>740</v>
      </c>
      <c r="N33" t="s">
        <v>74</v>
      </c>
      <c r="O33" t="s">
        <v>69</v>
      </c>
      <c r="P33" t="s">
        <v>69</v>
      </c>
      <c r="Q33" t="s">
        <v>69</v>
      </c>
      <c r="R33" t="s">
        <v>69</v>
      </c>
      <c r="S33" t="s">
        <v>69</v>
      </c>
      <c r="T33" t="s">
        <v>741</v>
      </c>
      <c r="U33" t="s">
        <v>742</v>
      </c>
      <c r="V33" t="s">
        <v>743</v>
      </c>
      <c r="W33" t="s">
        <v>744</v>
      </c>
      <c r="X33" t="s">
        <v>745</v>
      </c>
      <c r="Y33" t="s">
        <v>746</v>
      </c>
      <c r="Z33" t="s">
        <v>69</v>
      </c>
      <c r="AA33" t="s">
        <v>747</v>
      </c>
      <c r="AB33" t="s">
        <v>69</v>
      </c>
      <c r="AC33" t="s">
        <v>69</v>
      </c>
      <c r="AD33" t="s">
        <v>69</v>
      </c>
      <c r="AE33">
        <v>32</v>
      </c>
      <c r="AF33">
        <v>0</v>
      </c>
      <c r="AG33">
        <v>0</v>
      </c>
      <c r="AH33">
        <v>1</v>
      </c>
      <c r="AI33">
        <v>3</v>
      </c>
      <c r="AJ33" t="s">
        <v>748</v>
      </c>
      <c r="AK33" t="s">
        <v>749</v>
      </c>
      <c r="AL33" t="s">
        <v>750</v>
      </c>
      <c r="AM33" t="s">
        <v>751</v>
      </c>
      <c r="AN33" t="s">
        <v>69</v>
      </c>
      <c r="AO33" t="s">
        <v>69</v>
      </c>
      <c r="AP33" t="s">
        <v>752</v>
      </c>
      <c r="AQ33" t="s">
        <v>753</v>
      </c>
      <c r="AR33" t="s">
        <v>754</v>
      </c>
      <c r="AS33">
        <v>2019</v>
      </c>
      <c r="AT33">
        <v>36</v>
      </c>
      <c r="AU33">
        <v>6</v>
      </c>
      <c r="AV33" t="s">
        <v>69</v>
      </c>
      <c r="AW33" t="s">
        <v>69</v>
      </c>
      <c r="AX33" t="s">
        <v>69</v>
      </c>
      <c r="AY33" t="s">
        <v>69</v>
      </c>
      <c r="AZ33">
        <v>821</v>
      </c>
      <c r="BA33">
        <v>829</v>
      </c>
      <c r="BB33" t="s">
        <v>69</v>
      </c>
      <c r="BC33" t="s">
        <v>69</v>
      </c>
      <c r="BD33" t="s">
        <v>69</v>
      </c>
      <c r="BE33" t="s">
        <v>69</v>
      </c>
      <c r="BF33">
        <v>9</v>
      </c>
      <c r="BG33" t="s">
        <v>755</v>
      </c>
      <c r="BH33" t="s">
        <v>756</v>
      </c>
      <c r="BI33" t="s">
        <v>757</v>
      </c>
      <c r="BJ33" t="s">
        <v>758</v>
      </c>
      <c r="BK33" t="s">
        <v>69</v>
      </c>
      <c r="BL33" t="s">
        <v>69</v>
      </c>
      <c r="BM33" t="s">
        <v>69</v>
      </c>
      <c r="BN33" t="s">
        <v>69</v>
      </c>
      <c r="BO33" t="s">
        <v>95</v>
      </c>
      <c r="BP33" t="s">
        <v>69</v>
      </c>
    </row>
    <row r="34" spans="1:68" x14ac:dyDescent="0.15">
      <c r="A34" t="s">
        <v>67</v>
      </c>
      <c r="B34" t="s">
        <v>759</v>
      </c>
      <c r="C34" t="s">
        <v>69</v>
      </c>
      <c r="D34" t="s">
        <v>69</v>
      </c>
      <c r="E34" t="s">
        <v>69</v>
      </c>
      <c r="F34" t="s">
        <v>760</v>
      </c>
      <c r="G34" t="s">
        <v>69</v>
      </c>
      <c r="H34" t="s">
        <v>69</v>
      </c>
      <c r="I34" t="s">
        <v>761</v>
      </c>
      <c r="J34" t="s">
        <v>762</v>
      </c>
      <c r="K34" t="s">
        <v>69</v>
      </c>
      <c r="L34" t="s">
        <v>69</v>
      </c>
      <c r="M34" t="s">
        <v>73</v>
      </c>
      <c r="N34" t="s">
        <v>74</v>
      </c>
      <c r="O34" t="s">
        <v>69</v>
      </c>
      <c r="P34" t="s">
        <v>69</v>
      </c>
      <c r="Q34" t="s">
        <v>69</v>
      </c>
      <c r="R34" t="s">
        <v>69</v>
      </c>
      <c r="S34" t="s">
        <v>69</v>
      </c>
      <c r="T34" t="s">
        <v>763</v>
      </c>
      <c r="U34" t="s">
        <v>764</v>
      </c>
      <c r="V34" t="s">
        <v>765</v>
      </c>
      <c r="W34" t="s">
        <v>766</v>
      </c>
      <c r="X34" t="s">
        <v>767</v>
      </c>
      <c r="Y34" t="s">
        <v>768</v>
      </c>
      <c r="Z34" t="s">
        <v>69</v>
      </c>
      <c r="AA34" t="s">
        <v>69</v>
      </c>
      <c r="AB34" t="s">
        <v>769</v>
      </c>
      <c r="AC34" t="s">
        <v>770</v>
      </c>
      <c r="AD34" t="s">
        <v>69</v>
      </c>
      <c r="AE34">
        <v>60</v>
      </c>
      <c r="AF34">
        <v>1</v>
      </c>
      <c r="AG34">
        <v>1</v>
      </c>
      <c r="AH34">
        <v>1</v>
      </c>
      <c r="AI34">
        <v>4</v>
      </c>
      <c r="AJ34" t="s">
        <v>771</v>
      </c>
      <c r="AK34" t="s">
        <v>772</v>
      </c>
      <c r="AL34" t="s">
        <v>773</v>
      </c>
      <c r="AM34" t="s">
        <v>774</v>
      </c>
      <c r="AN34" t="s">
        <v>775</v>
      </c>
      <c r="AO34" t="s">
        <v>69</v>
      </c>
      <c r="AP34" t="s">
        <v>776</v>
      </c>
      <c r="AQ34" t="s">
        <v>777</v>
      </c>
      <c r="AR34" t="s">
        <v>731</v>
      </c>
      <c r="AS34">
        <v>2019</v>
      </c>
      <c r="AT34">
        <v>73</v>
      </c>
      <c r="AU34" t="s">
        <v>69</v>
      </c>
      <c r="AV34" t="s">
        <v>69</v>
      </c>
      <c r="AW34" t="s">
        <v>69</v>
      </c>
      <c r="AX34" t="s">
        <v>69</v>
      </c>
      <c r="AY34" t="s">
        <v>69</v>
      </c>
      <c r="AZ34">
        <v>43</v>
      </c>
      <c r="BA34">
        <v>58</v>
      </c>
      <c r="BB34" t="s">
        <v>69</v>
      </c>
      <c r="BC34" t="s">
        <v>778</v>
      </c>
      <c r="BD34" t="s">
        <v>69</v>
      </c>
      <c r="BE34" t="s">
        <v>69</v>
      </c>
      <c r="BF34">
        <v>16</v>
      </c>
      <c r="BG34" t="s">
        <v>779</v>
      </c>
      <c r="BH34" t="s">
        <v>780</v>
      </c>
      <c r="BI34" t="s">
        <v>781</v>
      </c>
      <c r="BJ34" t="s">
        <v>782</v>
      </c>
      <c r="BK34" t="s">
        <v>69</v>
      </c>
      <c r="BL34" t="s">
        <v>213</v>
      </c>
      <c r="BM34" t="s">
        <v>69</v>
      </c>
      <c r="BN34" t="s">
        <v>69</v>
      </c>
      <c r="BO34" t="s">
        <v>95</v>
      </c>
      <c r="BP34" t="s">
        <v>69</v>
      </c>
    </row>
    <row r="35" spans="1:68" x14ac:dyDescent="0.15">
      <c r="A35" t="s">
        <v>67</v>
      </c>
      <c r="B35" t="s">
        <v>783</v>
      </c>
      <c r="C35" t="s">
        <v>69</v>
      </c>
      <c r="D35" t="s">
        <v>69</v>
      </c>
      <c r="E35" t="s">
        <v>69</v>
      </c>
      <c r="F35" t="s">
        <v>784</v>
      </c>
      <c r="G35" t="s">
        <v>69</v>
      </c>
      <c r="H35" t="s">
        <v>69</v>
      </c>
      <c r="I35" t="s">
        <v>785</v>
      </c>
      <c r="J35" t="s">
        <v>786</v>
      </c>
      <c r="K35" t="s">
        <v>69</v>
      </c>
      <c r="L35" t="s">
        <v>69</v>
      </c>
      <c r="M35" t="s">
        <v>73</v>
      </c>
      <c r="N35" t="s">
        <v>318</v>
      </c>
      <c r="O35" t="s">
        <v>69</v>
      </c>
      <c r="P35" t="s">
        <v>69</v>
      </c>
      <c r="Q35" t="s">
        <v>69</v>
      </c>
      <c r="R35" t="s">
        <v>69</v>
      </c>
      <c r="S35" t="s">
        <v>69</v>
      </c>
      <c r="T35" t="s">
        <v>787</v>
      </c>
      <c r="U35" t="s">
        <v>788</v>
      </c>
      <c r="V35" t="s">
        <v>789</v>
      </c>
      <c r="W35" t="s">
        <v>790</v>
      </c>
      <c r="X35" t="s">
        <v>791</v>
      </c>
      <c r="Y35" t="s">
        <v>792</v>
      </c>
      <c r="Z35" t="s">
        <v>69</v>
      </c>
      <c r="AA35" t="s">
        <v>69</v>
      </c>
      <c r="AB35" t="s">
        <v>69</v>
      </c>
      <c r="AC35" t="s">
        <v>69</v>
      </c>
      <c r="AD35" t="s">
        <v>69</v>
      </c>
      <c r="AE35">
        <v>108</v>
      </c>
      <c r="AF35">
        <v>3</v>
      </c>
      <c r="AG35">
        <v>3</v>
      </c>
      <c r="AH35">
        <v>3</v>
      </c>
      <c r="AI35">
        <v>11</v>
      </c>
      <c r="AJ35" t="s">
        <v>108</v>
      </c>
      <c r="AK35" t="s">
        <v>109</v>
      </c>
      <c r="AL35" t="s">
        <v>110</v>
      </c>
      <c r="AM35" t="s">
        <v>793</v>
      </c>
      <c r="AN35" t="s">
        <v>794</v>
      </c>
      <c r="AO35" t="s">
        <v>69</v>
      </c>
      <c r="AP35" t="s">
        <v>795</v>
      </c>
      <c r="AQ35" t="s">
        <v>796</v>
      </c>
      <c r="AR35" t="s">
        <v>797</v>
      </c>
      <c r="AS35">
        <v>2019</v>
      </c>
      <c r="AT35">
        <v>30</v>
      </c>
      <c r="AU35">
        <v>5</v>
      </c>
      <c r="AV35" t="s">
        <v>69</v>
      </c>
      <c r="AW35" t="s">
        <v>69</v>
      </c>
      <c r="AX35" t="s">
        <v>69</v>
      </c>
      <c r="AY35" t="s">
        <v>69</v>
      </c>
      <c r="AZ35">
        <v>446</v>
      </c>
      <c r="BA35">
        <v>463</v>
      </c>
      <c r="BB35" t="s">
        <v>69</v>
      </c>
      <c r="BC35" t="s">
        <v>798</v>
      </c>
      <c r="BD35" t="s">
        <v>69</v>
      </c>
      <c r="BE35" t="s">
        <v>69</v>
      </c>
      <c r="BF35">
        <v>18</v>
      </c>
      <c r="BG35" t="s">
        <v>117</v>
      </c>
      <c r="BH35" t="s">
        <v>117</v>
      </c>
      <c r="BI35" t="s">
        <v>799</v>
      </c>
      <c r="BJ35" t="s">
        <v>800</v>
      </c>
      <c r="BK35" t="s">
        <v>69</v>
      </c>
      <c r="BL35" t="s">
        <v>69</v>
      </c>
      <c r="BM35" t="s">
        <v>69</v>
      </c>
      <c r="BN35" t="s">
        <v>69</v>
      </c>
      <c r="BO35" t="s">
        <v>95</v>
      </c>
      <c r="BP35" t="s">
        <v>69</v>
      </c>
    </row>
    <row r="36" spans="1:68" x14ac:dyDescent="0.15">
      <c r="A36" t="s">
        <v>67</v>
      </c>
      <c r="B36" t="s">
        <v>801</v>
      </c>
      <c r="C36" t="s">
        <v>69</v>
      </c>
      <c r="D36" t="s">
        <v>69</v>
      </c>
      <c r="E36" t="s">
        <v>69</v>
      </c>
      <c r="F36" t="s">
        <v>802</v>
      </c>
      <c r="G36" t="s">
        <v>69</v>
      </c>
      <c r="H36" t="s">
        <v>69</v>
      </c>
      <c r="I36" t="s">
        <v>803</v>
      </c>
      <c r="J36" t="s">
        <v>804</v>
      </c>
      <c r="K36" t="s">
        <v>69</v>
      </c>
      <c r="L36" t="s">
        <v>69</v>
      </c>
      <c r="M36" t="s">
        <v>73</v>
      </c>
      <c r="N36" t="s">
        <v>74</v>
      </c>
      <c r="O36" t="s">
        <v>69</v>
      </c>
      <c r="P36" t="s">
        <v>69</v>
      </c>
      <c r="Q36" t="s">
        <v>69</v>
      </c>
      <c r="R36" t="s">
        <v>69</v>
      </c>
      <c r="S36" t="s">
        <v>69</v>
      </c>
      <c r="T36" t="s">
        <v>805</v>
      </c>
      <c r="U36" t="s">
        <v>69</v>
      </c>
      <c r="V36" t="s">
        <v>806</v>
      </c>
      <c r="W36" t="s">
        <v>807</v>
      </c>
      <c r="X36" t="s">
        <v>808</v>
      </c>
      <c r="Y36" t="s">
        <v>809</v>
      </c>
      <c r="Z36" t="s">
        <v>69</v>
      </c>
      <c r="AA36" t="s">
        <v>69</v>
      </c>
      <c r="AB36" t="s">
        <v>69</v>
      </c>
      <c r="AC36" t="s">
        <v>69</v>
      </c>
      <c r="AD36" t="s">
        <v>69</v>
      </c>
      <c r="AE36">
        <v>54</v>
      </c>
      <c r="AF36">
        <v>2</v>
      </c>
      <c r="AG36">
        <v>2</v>
      </c>
      <c r="AH36">
        <v>0</v>
      </c>
      <c r="AI36">
        <v>0</v>
      </c>
      <c r="AJ36" t="s">
        <v>108</v>
      </c>
      <c r="AK36" t="s">
        <v>109</v>
      </c>
      <c r="AL36" t="s">
        <v>110</v>
      </c>
      <c r="AM36" t="s">
        <v>810</v>
      </c>
      <c r="AN36" t="s">
        <v>811</v>
      </c>
      <c r="AO36" t="s">
        <v>69</v>
      </c>
      <c r="AP36" t="s">
        <v>812</v>
      </c>
      <c r="AQ36" t="s">
        <v>813</v>
      </c>
      <c r="AR36" t="s">
        <v>814</v>
      </c>
      <c r="AS36">
        <v>2020</v>
      </c>
      <c r="AT36">
        <v>26</v>
      </c>
      <c r="AU36">
        <v>1</v>
      </c>
      <c r="AV36" t="s">
        <v>69</v>
      </c>
      <c r="AW36" t="s">
        <v>69</v>
      </c>
      <c r="AX36" t="s">
        <v>69</v>
      </c>
      <c r="AY36" t="s">
        <v>69</v>
      </c>
      <c r="AZ36">
        <v>3</v>
      </c>
      <c r="BA36">
        <v>15</v>
      </c>
      <c r="BB36" t="s">
        <v>69</v>
      </c>
      <c r="BC36" t="s">
        <v>815</v>
      </c>
      <c r="BD36" t="s">
        <v>69</v>
      </c>
      <c r="BE36" t="s">
        <v>816</v>
      </c>
      <c r="BF36">
        <v>13</v>
      </c>
      <c r="BG36" t="s">
        <v>817</v>
      </c>
      <c r="BH36" t="s">
        <v>817</v>
      </c>
      <c r="BI36" t="s">
        <v>818</v>
      </c>
      <c r="BJ36" t="s">
        <v>819</v>
      </c>
      <c r="BK36" t="s">
        <v>69</v>
      </c>
      <c r="BL36" t="s">
        <v>69</v>
      </c>
      <c r="BM36" t="s">
        <v>69</v>
      </c>
      <c r="BN36" t="s">
        <v>69</v>
      </c>
      <c r="BO36" t="s">
        <v>95</v>
      </c>
      <c r="BP36" t="s">
        <v>69</v>
      </c>
    </row>
    <row r="37" spans="1:68" x14ac:dyDescent="0.15">
      <c r="A37" t="s">
        <v>67</v>
      </c>
      <c r="B37" t="s">
        <v>820</v>
      </c>
      <c r="C37" t="s">
        <v>69</v>
      </c>
      <c r="D37" t="s">
        <v>69</v>
      </c>
      <c r="E37" t="s">
        <v>69</v>
      </c>
      <c r="F37" t="s">
        <v>821</v>
      </c>
      <c r="G37" t="s">
        <v>69</v>
      </c>
      <c r="H37" t="s">
        <v>69</v>
      </c>
      <c r="I37" t="s">
        <v>822</v>
      </c>
      <c r="J37" t="s">
        <v>197</v>
      </c>
      <c r="K37" t="s">
        <v>69</v>
      </c>
      <c r="L37" t="s">
        <v>69</v>
      </c>
      <c r="M37" t="s">
        <v>73</v>
      </c>
      <c r="N37" t="s">
        <v>74</v>
      </c>
      <c r="O37" t="s">
        <v>69</v>
      </c>
      <c r="P37" t="s">
        <v>69</v>
      </c>
      <c r="Q37" t="s">
        <v>69</v>
      </c>
      <c r="R37" t="s">
        <v>69</v>
      </c>
      <c r="S37" t="s">
        <v>69</v>
      </c>
      <c r="T37" t="s">
        <v>823</v>
      </c>
      <c r="U37" t="s">
        <v>824</v>
      </c>
      <c r="V37" t="s">
        <v>825</v>
      </c>
      <c r="W37" t="s">
        <v>826</v>
      </c>
      <c r="X37" t="s">
        <v>827</v>
      </c>
      <c r="Y37" t="s">
        <v>828</v>
      </c>
      <c r="Z37" t="s">
        <v>69</v>
      </c>
      <c r="AA37" t="s">
        <v>69</v>
      </c>
      <c r="AB37" t="s">
        <v>69</v>
      </c>
      <c r="AC37" t="s">
        <v>69</v>
      </c>
      <c r="AD37" t="s">
        <v>69</v>
      </c>
      <c r="AE37">
        <v>7</v>
      </c>
      <c r="AF37">
        <v>0</v>
      </c>
      <c r="AG37">
        <v>0</v>
      </c>
      <c r="AH37">
        <v>1</v>
      </c>
      <c r="AI37">
        <v>4</v>
      </c>
      <c r="AJ37" t="s">
        <v>108</v>
      </c>
      <c r="AK37" t="s">
        <v>109</v>
      </c>
      <c r="AL37" t="s">
        <v>110</v>
      </c>
      <c r="AM37" t="s">
        <v>205</v>
      </c>
      <c r="AN37" t="s">
        <v>206</v>
      </c>
      <c r="AO37" t="s">
        <v>69</v>
      </c>
      <c r="AP37" t="s">
        <v>207</v>
      </c>
      <c r="AQ37" t="s">
        <v>208</v>
      </c>
      <c r="AR37" t="s">
        <v>829</v>
      </c>
      <c r="AS37">
        <v>2019</v>
      </c>
      <c r="AT37">
        <v>42</v>
      </c>
      <c r="AU37">
        <v>13</v>
      </c>
      <c r="AV37" t="s">
        <v>69</v>
      </c>
      <c r="AW37" t="s">
        <v>69</v>
      </c>
      <c r="AX37" t="s">
        <v>69</v>
      </c>
      <c r="AY37" t="s">
        <v>69</v>
      </c>
      <c r="AZ37">
        <v>2285</v>
      </c>
      <c r="BA37">
        <v>2290</v>
      </c>
      <c r="BB37" t="s">
        <v>69</v>
      </c>
      <c r="BC37" t="s">
        <v>830</v>
      </c>
      <c r="BD37" t="s">
        <v>69</v>
      </c>
      <c r="BE37" t="s">
        <v>69</v>
      </c>
      <c r="BF37">
        <v>6</v>
      </c>
      <c r="BG37" t="s">
        <v>210</v>
      </c>
      <c r="BH37" t="s">
        <v>210</v>
      </c>
      <c r="BI37" t="s">
        <v>831</v>
      </c>
      <c r="BJ37" t="s">
        <v>832</v>
      </c>
      <c r="BK37" t="s">
        <v>69</v>
      </c>
      <c r="BL37" t="s">
        <v>833</v>
      </c>
      <c r="BM37" t="s">
        <v>69</v>
      </c>
      <c r="BN37" t="s">
        <v>69</v>
      </c>
      <c r="BO37" t="s">
        <v>95</v>
      </c>
      <c r="BP37" t="s">
        <v>69</v>
      </c>
    </row>
    <row r="38" spans="1:68" x14ac:dyDescent="0.15">
      <c r="A38" t="s">
        <v>67</v>
      </c>
      <c r="B38" t="s">
        <v>834</v>
      </c>
      <c r="C38" t="s">
        <v>69</v>
      </c>
      <c r="D38" t="s">
        <v>69</v>
      </c>
      <c r="E38" t="s">
        <v>69</v>
      </c>
      <c r="F38" t="s">
        <v>835</v>
      </c>
      <c r="G38" t="s">
        <v>69</v>
      </c>
      <c r="H38" t="s">
        <v>69</v>
      </c>
      <c r="I38" t="s">
        <v>836</v>
      </c>
      <c r="J38" t="s">
        <v>837</v>
      </c>
      <c r="K38" t="s">
        <v>69</v>
      </c>
      <c r="L38" t="s">
        <v>69</v>
      </c>
      <c r="M38" t="s">
        <v>73</v>
      </c>
      <c r="N38" t="s">
        <v>74</v>
      </c>
      <c r="O38" t="s">
        <v>69</v>
      </c>
      <c r="P38" t="s">
        <v>69</v>
      </c>
      <c r="Q38" t="s">
        <v>69</v>
      </c>
      <c r="R38" t="s">
        <v>69</v>
      </c>
      <c r="S38" t="s">
        <v>69</v>
      </c>
      <c r="T38" t="s">
        <v>838</v>
      </c>
      <c r="U38" t="s">
        <v>839</v>
      </c>
      <c r="V38" t="s">
        <v>840</v>
      </c>
      <c r="W38" t="s">
        <v>841</v>
      </c>
      <c r="X38" t="s">
        <v>842</v>
      </c>
      <c r="Y38" t="s">
        <v>843</v>
      </c>
      <c r="Z38" t="s">
        <v>69</v>
      </c>
      <c r="AA38" t="s">
        <v>69</v>
      </c>
      <c r="AB38" t="s">
        <v>69</v>
      </c>
      <c r="AC38" t="s">
        <v>69</v>
      </c>
      <c r="AD38" t="s">
        <v>69</v>
      </c>
      <c r="AE38">
        <v>117</v>
      </c>
      <c r="AF38">
        <v>6</v>
      </c>
      <c r="AG38">
        <v>6</v>
      </c>
      <c r="AH38">
        <v>2</v>
      </c>
      <c r="AI38">
        <v>12</v>
      </c>
      <c r="AJ38" t="s">
        <v>131</v>
      </c>
      <c r="AK38" t="s">
        <v>132</v>
      </c>
      <c r="AL38" t="s">
        <v>133</v>
      </c>
      <c r="AM38" t="s">
        <v>844</v>
      </c>
      <c r="AN38" t="s">
        <v>845</v>
      </c>
      <c r="AO38" t="s">
        <v>69</v>
      </c>
      <c r="AP38" t="s">
        <v>846</v>
      </c>
      <c r="AQ38" t="s">
        <v>847</v>
      </c>
      <c r="AR38" t="s">
        <v>848</v>
      </c>
      <c r="AS38">
        <v>2019</v>
      </c>
      <c r="AT38">
        <v>36</v>
      </c>
      <c r="AU38">
        <v>5</v>
      </c>
      <c r="AV38" t="s">
        <v>69</v>
      </c>
      <c r="AW38" t="s">
        <v>69</v>
      </c>
      <c r="AX38" t="s">
        <v>356</v>
      </c>
      <c r="AY38" t="s">
        <v>69</v>
      </c>
      <c r="AZ38">
        <v>771</v>
      </c>
      <c r="BA38">
        <v>804</v>
      </c>
      <c r="BB38" t="s">
        <v>69</v>
      </c>
      <c r="BC38" t="s">
        <v>849</v>
      </c>
      <c r="BD38" t="s">
        <v>69</v>
      </c>
      <c r="BE38" t="s">
        <v>69</v>
      </c>
      <c r="BF38">
        <v>34</v>
      </c>
      <c r="BG38" t="s">
        <v>850</v>
      </c>
      <c r="BH38" t="s">
        <v>232</v>
      </c>
      <c r="BI38" t="s">
        <v>851</v>
      </c>
      <c r="BJ38" t="s">
        <v>852</v>
      </c>
      <c r="BK38" t="s">
        <v>69</v>
      </c>
      <c r="BL38" t="s">
        <v>853</v>
      </c>
      <c r="BM38" t="s">
        <v>69</v>
      </c>
      <c r="BN38" t="s">
        <v>69</v>
      </c>
      <c r="BO38" t="s">
        <v>95</v>
      </c>
      <c r="BP38" t="s">
        <v>69</v>
      </c>
    </row>
    <row r="39" spans="1:68" x14ac:dyDescent="0.15">
      <c r="A39" t="s">
        <v>67</v>
      </c>
      <c r="B39" t="s">
        <v>854</v>
      </c>
      <c r="C39" t="s">
        <v>69</v>
      </c>
      <c r="D39" t="s">
        <v>69</v>
      </c>
      <c r="E39" t="s">
        <v>69</v>
      </c>
      <c r="F39" t="s">
        <v>855</v>
      </c>
      <c r="G39" t="s">
        <v>69</v>
      </c>
      <c r="H39" t="s">
        <v>69</v>
      </c>
      <c r="I39" t="s">
        <v>856</v>
      </c>
      <c r="J39" t="s">
        <v>857</v>
      </c>
      <c r="K39" t="s">
        <v>69</v>
      </c>
      <c r="L39" t="s">
        <v>69</v>
      </c>
      <c r="M39" t="s">
        <v>73</v>
      </c>
      <c r="N39" t="s">
        <v>74</v>
      </c>
      <c r="O39" t="s">
        <v>69</v>
      </c>
      <c r="P39" t="s">
        <v>69</v>
      </c>
      <c r="Q39" t="s">
        <v>69</v>
      </c>
      <c r="R39" t="s">
        <v>69</v>
      </c>
      <c r="S39" t="s">
        <v>69</v>
      </c>
      <c r="T39" t="s">
        <v>858</v>
      </c>
      <c r="U39" t="s">
        <v>859</v>
      </c>
      <c r="V39" t="s">
        <v>860</v>
      </c>
      <c r="W39" t="s">
        <v>861</v>
      </c>
      <c r="X39" t="s">
        <v>862</v>
      </c>
      <c r="Y39" t="s">
        <v>863</v>
      </c>
      <c r="Z39" t="s">
        <v>864</v>
      </c>
      <c r="AA39" t="s">
        <v>865</v>
      </c>
      <c r="AB39" t="s">
        <v>866</v>
      </c>
      <c r="AC39" t="s">
        <v>867</v>
      </c>
      <c r="AD39" t="s">
        <v>69</v>
      </c>
      <c r="AE39">
        <v>57</v>
      </c>
      <c r="AF39">
        <v>3</v>
      </c>
      <c r="AG39">
        <v>3</v>
      </c>
      <c r="AH39">
        <v>2</v>
      </c>
      <c r="AI39">
        <v>3</v>
      </c>
      <c r="AJ39" t="s">
        <v>108</v>
      </c>
      <c r="AK39" t="s">
        <v>109</v>
      </c>
      <c r="AL39" t="s">
        <v>110</v>
      </c>
      <c r="AM39" t="s">
        <v>868</v>
      </c>
      <c r="AN39" t="s">
        <v>869</v>
      </c>
      <c r="AO39" t="s">
        <v>69</v>
      </c>
      <c r="AP39" t="s">
        <v>870</v>
      </c>
      <c r="AQ39" t="s">
        <v>871</v>
      </c>
      <c r="AR39" t="s">
        <v>872</v>
      </c>
      <c r="AS39">
        <v>2020</v>
      </c>
      <c r="AT39">
        <v>41</v>
      </c>
      <c r="AU39">
        <v>10</v>
      </c>
      <c r="AV39" t="s">
        <v>69</v>
      </c>
      <c r="AW39" t="s">
        <v>69</v>
      </c>
      <c r="AX39" t="s">
        <v>69</v>
      </c>
      <c r="AY39" t="s">
        <v>69</v>
      </c>
      <c r="AZ39">
        <v>829</v>
      </c>
      <c r="BA39">
        <v>843</v>
      </c>
      <c r="BB39" t="s">
        <v>69</v>
      </c>
      <c r="BC39" t="s">
        <v>873</v>
      </c>
      <c r="BD39" t="s">
        <v>69</v>
      </c>
      <c r="BE39" t="s">
        <v>874</v>
      </c>
      <c r="BF39">
        <v>15</v>
      </c>
      <c r="BG39" t="s">
        <v>875</v>
      </c>
      <c r="BH39" t="s">
        <v>876</v>
      </c>
      <c r="BI39" t="s">
        <v>877</v>
      </c>
      <c r="BJ39" t="s">
        <v>878</v>
      </c>
      <c r="BK39" t="s">
        <v>69</v>
      </c>
      <c r="BL39" t="s">
        <v>69</v>
      </c>
      <c r="BM39" t="s">
        <v>69</v>
      </c>
      <c r="BN39" t="s">
        <v>69</v>
      </c>
      <c r="BO39" t="s">
        <v>95</v>
      </c>
      <c r="BP39" t="s">
        <v>69</v>
      </c>
    </row>
    <row r="40" spans="1:68" x14ac:dyDescent="0.15">
      <c r="A40" t="s">
        <v>67</v>
      </c>
      <c r="B40" t="s">
        <v>879</v>
      </c>
      <c r="C40" t="s">
        <v>69</v>
      </c>
      <c r="D40" t="s">
        <v>69</v>
      </c>
      <c r="E40" t="s">
        <v>69</v>
      </c>
      <c r="F40" t="s">
        <v>880</v>
      </c>
      <c r="G40" t="s">
        <v>69</v>
      </c>
      <c r="H40" t="s">
        <v>69</v>
      </c>
      <c r="I40" t="s">
        <v>881</v>
      </c>
      <c r="J40" t="s">
        <v>882</v>
      </c>
      <c r="K40" t="s">
        <v>69</v>
      </c>
      <c r="L40" t="s">
        <v>69</v>
      </c>
      <c r="M40" t="s">
        <v>73</v>
      </c>
      <c r="N40" t="s">
        <v>74</v>
      </c>
      <c r="O40" t="s">
        <v>69</v>
      </c>
      <c r="P40" t="s">
        <v>69</v>
      </c>
      <c r="Q40" t="s">
        <v>69</v>
      </c>
      <c r="R40" t="s">
        <v>69</v>
      </c>
      <c r="S40" t="s">
        <v>69</v>
      </c>
      <c r="T40" t="s">
        <v>69</v>
      </c>
      <c r="U40" t="s">
        <v>883</v>
      </c>
      <c r="V40" t="s">
        <v>884</v>
      </c>
      <c r="W40" t="s">
        <v>885</v>
      </c>
      <c r="X40" t="s">
        <v>886</v>
      </c>
      <c r="Y40" t="s">
        <v>887</v>
      </c>
      <c r="Z40" t="s">
        <v>888</v>
      </c>
      <c r="AA40" t="s">
        <v>889</v>
      </c>
      <c r="AB40" t="s">
        <v>890</v>
      </c>
      <c r="AC40" t="s">
        <v>891</v>
      </c>
      <c r="AD40" t="s">
        <v>69</v>
      </c>
      <c r="AE40">
        <v>110</v>
      </c>
      <c r="AF40">
        <v>4</v>
      </c>
      <c r="AG40">
        <v>4</v>
      </c>
      <c r="AH40">
        <v>0</v>
      </c>
      <c r="AI40">
        <v>3</v>
      </c>
      <c r="AJ40" t="s">
        <v>892</v>
      </c>
      <c r="AK40" t="s">
        <v>893</v>
      </c>
      <c r="AL40" t="s">
        <v>894</v>
      </c>
      <c r="AM40" t="s">
        <v>895</v>
      </c>
      <c r="AN40" t="s">
        <v>69</v>
      </c>
      <c r="AO40" t="s">
        <v>69</v>
      </c>
      <c r="AP40" t="s">
        <v>896</v>
      </c>
      <c r="AQ40" t="s">
        <v>897</v>
      </c>
      <c r="AR40" t="s">
        <v>898</v>
      </c>
      <c r="AS40">
        <v>2019</v>
      </c>
      <c r="AT40">
        <v>41</v>
      </c>
      <c r="AU40" t="s">
        <v>69</v>
      </c>
      <c r="AV40" t="s">
        <v>69</v>
      </c>
      <c r="AW40" t="s">
        <v>69</v>
      </c>
      <c r="AX40" t="s">
        <v>69</v>
      </c>
      <c r="AY40" t="s">
        <v>69</v>
      </c>
      <c r="AZ40">
        <v>293</v>
      </c>
      <c r="BA40">
        <v>330</v>
      </c>
      <c r="BB40" t="s">
        <v>69</v>
      </c>
      <c r="BC40" t="s">
        <v>899</v>
      </c>
      <c r="BD40" t="s">
        <v>69</v>
      </c>
      <c r="BE40" t="s">
        <v>69</v>
      </c>
      <c r="BF40">
        <v>38</v>
      </c>
      <c r="BG40" t="s">
        <v>604</v>
      </c>
      <c r="BH40" t="s">
        <v>604</v>
      </c>
      <c r="BI40" t="s">
        <v>900</v>
      </c>
      <c r="BJ40" t="s">
        <v>901</v>
      </c>
      <c r="BK40" t="s">
        <v>69</v>
      </c>
      <c r="BL40" t="s">
        <v>902</v>
      </c>
      <c r="BM40" t="s">
        <v>69</v>
      </c>
      <c r="BN40" t="s">
        <v>69</v>
      </c>
      <c r="BO40" t="s">
        <v>95</v>
      </c>
      <c r="BP40" t="s">
        <v>69</v>
      </c>
    </row>
    <row r="41" spans="1:68" x14ac:dyDescent="0.15">
      <c r="A41" t="s">
        <v>67</v>
      </c>
      <c r="B41" t="s">
        <v>903</v>
      </c>
      <c r="C41" t="s">
        <v>69</v>
      </c>
      <c r="D41" t="s">
        <v>69</v>
      </c>
      <c r="E41" t="s">
        <v>69</v>
      </c>
      <c r="F41" t="s">
        <v>904</v>
      </c>
      <c r="G41" t="s">
        <v>69</v>
      </c>
      <c r="H41" t="s">
        <v>69</v>
      </c>
      <c r="I41" t="s">
        <v>905</v>
      </c>
      <c r="J41" t="s">
        <v>906</v>
      </c>
      <c r="K41" t="s">
        <v>69</v>
      </c>
      <c r="L41" t="s">
        <v>69</v>
      </c>
      <c r="M41" t="s">
        <v>73</v>
      </c>
      <c r="N41" t="s">
        <v>318</v>
      </c>
      <c r="O41" t="s">
        <v>69</v>
      </c>
      <c r="P41" t="s">
        <v>69</v>
      </c>
      <c r="Q41" t="s">
        <v>69</v>
      </c>
      <c r="R41" t="s">
        <v>69</v>
      </c>
      <c r="S41" t="s">
        <v>69</v>
      </c>
      <c r="T41" t="s">
        <v>907</v>
      </c>
      <c r="U41" t="s">
        <v>908</v>
      </c>
      <c r="V41" t="s">
        <v>909</v>
      </c>
      <c r="W41" t="s">
        <v>910</v>
      </c>
      <c r="X41" t="s">
        <v>911</v>
      </c>
      <c r="Y41" t="s">
        <v>912</v>
      </c>
      <c r="Z41" t="s">
        <v>913</v>
      </c>
      <c r="AA41" t="s">
        <v>914</v>
      </c>
      <c r="AB41" t="s">
        <v>69</v>
      </c>
      <c r="AC41" t="s">
        <v>69</v>
      </c>
      <c r="AD41" t="s">
        <v>69</v>
      </c>
      <c r="AE41">
        <v>135</v>
      </c>
      <c r="AF41">
        <v>7</v>
      </c>
      <c r="AG41">
        <v>7</v>
      </c>
      <c r="AH41">
        <v>4</v>
      </c>
      <c r="AI41">
        <v>15</v>
      </c>
      <c r="AJ41" t="s">
        <v>108</v>
      </c>
      <c r="AK41" t="s">
        <v>109</v>
      </c>
      <c r="AL41" t="s">
        <v>110</v>
      </c>
      <c r="AM41" t="s">
        <v>915</v>
      </c>
      <c r="AN41" t="s">
        <v>916</v>
      </c>
      <c r="AO41" t="s">
        <v>69</v>
      </c>
      <c r="AP41" t="s">
        <v>917</v>
      </c>
      <c r="AQ41" t="s">
        <v>918</v>
      </c>
      <c r="AR41" t="s">
        <v>329</v>
      </c>
      <c r="AS41">
        <v>2020</v>
      </c>
      <c r="AT41">
        <v>23</v>
      </c>
      <c r="AU41">
        <v>17</v>
      </c>
      <c r="AV41" t="s">
        <v>69</v>
      </c>
      <c r="AW41" t="s">
        <v>69</v>
      </c>
      <c r="AX41" t="s">
        <v>69</v>
      </c>
      <c r="AY41" t="s">
        <v>69</v>
      </c>
      <c r="AZ41">
        <v>2109</v>
      </c>
      <c r="BA41">
        <v>2126</v>
      </c>
      <c r="BB41" t="s">
        <v>69</v>
      </c>
      <c r="BC41" t="s">
        <v>919</v>
      </c>
      <c r="BD41" t="s">
        <v>69</v>
      </c>
      <c r="BE41" t="s">
        <v>920</v>
      </c>
      <c r="BF41">
        <v>18</v>
      </c>
      <c r="BG41" t="s">
        <v>921</v>
      </c>
      <c r="BH41" t="s">
        <v>922</v>
      </c>
      <c r="BI41" t="s">
        <v>923</v>
      </c>
      <c r="BJ41" t="s">
        <v>924</v>
      </c>
      <c r="BK41" t="s">
        <v>69</v>
      </c>
      <c r="BL41" t="s">
        <v>833</v>
      </c>
      <c r="BM41" t="s">
        <v>69</v>
      </c>
      <c r="BN41" t="s">
        <v>69</v>
      </c>
      <c r="BO41" t="s">
        <v>95</v>
      </c>
      <c r="BP41" t="s">
        <v>69</v>
      </c>
    </row>
    <row r="42" spans="1:68" x14ac:dyDescent="0.15">
      <c r="A42" t="s">
        <v>67</v>
      </c>
      <c r="B42" t="s">
        <v>925</v>
      </c>
      <c r="C42" t="s">
        <v>69</v>
      </c>
      <c r="D42" t="s">
        <v>69</v>
      </c>
      <c r="E42" t="s">
        <v>69</v>
      </c>
      <c r="F42" t="s">
        <v>926</v>
      </c>
      <c r="G42" t="s">
        <v>69</v>
      </c>
      <c r="H42" t="s">
        <v>69</v>
      </c>
      <c r="I42" t="s">
        <v>927</v>
      </c>
      <c r="J42" t="s">
        <v>217</v>
      </c>
      <c r="K42" t="s">
        <v>69</v>
      </c>
      <c r="L42" t="s">
        <v>69</v>
      </c>
      <c r="M42" t="s">
        <v>73</v>
      </c>
      <c r="N42" t="s">
        <v>318</v>
      </c>
      <c r="O42" t="s">
        <v>69</v>
      </c>
      <c r="P42" t="s">
        <v>69</v>
      </c>
      <c r="Q42" t="s">
        <v>69</v>
      </c>
      <c r="R42" t="s">
        <v>69</v>
      </c>
      <c r="S42" t="s">
        <v>69</v>
      </c>
      <c r="T42" t="s">
        <v>928</v>
      </c>
      <c r="U42" t="s">
        <v>929</v>
      </c>
      <c r="V42" t="s">
        <v>930</v>
      </c>
      <c r="W42" t="s">
        <v>931</v>
      </c>
      <c r="X42" t="s">
        <v>932</v>
      </c>
      <c r="Y42" t="s">
        <v>933</v>
      </c>
      <c r="Z42" t="s">
        <v>69</v>
      </c>
      <c r="AA42" t="s">
        <v>69</v>
      </c>
      <c r="AB42" t="s">
        <v>69</v>
      </c>
      <c r="AC42" t="s">
        <v>69</v>
      </c>
      <c r="AD42" t="s">
        <v>69</v>
      </c>
      <c r="AE42">
        <v>102</v>
      </c>
      <c r="AF42">
        <v>10</v>
      </c>
      <c r="AG42">
        <v>10</v>
      </c>
      <c r="AH42">
        <v>4</v>
      </c>
      <c r="AI42">
        <v>12</v>
      </c>
      <c r="AJ42" t="s">
        <v>223</v>
      </c>
      <c r="AK42" t="s">
        <v>224</v>
      </c>
      <c r="AL42" t="s">
        <v>225</v>
      </c>
      <c r="AM42" t="s">
        <v>226</v>
      </c>
      <c r="AN42" t="s">
        <v>227</v>
      </c>
      <c r="AO42" t="s">
        <v>69</v>
      </c>
      <c r="AP42" t="s">
        <v>228</v>
      </c>
      <c r="AQ42" t="s">
        <v>229</v>
      </c>
      <c r="AR42" t="s">
        <v>934</v>
      </c>
      <c r="AS42">
        <v>2019</v>
      </c>
      <c r="AT42">
        <v>29</v>
      </c>
      <c r="AU42">
        <v>3</v>
      </c>
      <c r="AV42" t="s">
        <v>69</v>
      </c>
      <c r="AW42" t="s">
        <v>69</v>
      </c>
      <c r="AX42" t="s">
        <v>69</v>
      </c>
      <c r="AY42" t="s">
        <v>69</v>
      </c>
      <c r="AZ42">
        <v>328</v>
      </c>
      <c r="BA42">
        <v>352</v>
      </c>
      <c r="BB42" t="s">
        <v>69</v>
      </c>
      <c r="BC42" t="s">
        <v>935</v>
      </c>
      <c r="BD42" t="s">
        <v>69</v>
      </c>
      <c r="BE42" t="s">
        <v>69</v>
      </c>
      <c r="BF42">
        <v>25</v>
      </c>
      <c r="BG42" t="s">
        <v>231</v>
      </c>
      <c r="BH42" t="s">
        <v>232</v>
      </c>
      <c r="BI42" t="s">
        <v>936</v>
      </c>
      <c r="BJ42" t="s">
        <v>937</v>
      </c>
      <c r="BK42" t="s">
        <v>69</v>
      </c>
      <c r="BL42" t="s">
        <v>938</v>
      </c>
      <c r="BM42" t="s">
        <v>69</v>
      </c>
      <c r="BN42" t="s">
        <v>69</v>
      </c>
      <c r="BO42" t="s">
        <v>95</v>
      </c>
      <c r="BP42" t="s">
        <v>69</v>
      </c>
    </row>
    <row r="43" spans="1:68" x14ac:dyDescent="0.15">
      <c r="A43" t="s">
        <v>67</v>
      </c>
      <c r="B43" t="s">
        <v>939</v>
      </c>
      <c r="C43" t="s">
        <v>69</v>
      </c>
      <c r="D43" t="s">
        <v>69</v>
      </c>
      <c r="E43" t="s">
        <v>69</v>
      </c>
      <c r="F43" t="s">
        <v>940</v>
      </c>
      <c r="G43" t="s">
        <v>69</v>
      </c>
      <c r="H43" t="s">
        <v>69</v>
      </c>
      <c r="I43" t="s">
        <v>941</v>
      </c>
      <c r="J43" t="s">
        <v>942</v>
      </c>
      <c r="K43" t="s">
        <v>69</v>
      </c>
      <c r="L43" t="s">
        <v>69</v>
      </c>
      <c r="M43" t="s">
        <v>73</v>
      </c>
      <c r="N43" t="s">
        <v>74</v>
      </c>
      <c r="O43" t="s">
        <v>69</v>
      </c>
      <c r="P43" t="s">
        <v>69</v>
      </c>
      <c r="Q43" t="s">
        <v>69</v>
      </c>
      <c r="R43" t="s">
        <v>69</v>
      </c>
      <c r="S43" t="s">
        <v>69</v>
      </c>
      <c r="T43" t="s">
        <v>943</v>
      </c>
      <c r="U43" t="s">
        <v>944</v>
      </c>
      <c r="V43" t="s">
        <v>945</v>
      </c>
      <c r="W43" t="s">
        <v>946</v>
      </c>
      <c r="X43" t="s">
        <v>947</v>
      </c>
      <c r="Y43" t="s">
        <v>948</v>
      </c>
      <c r="Z43" t="s">
        <v>949</v>
      </c>
      <c r="AA43" t="s">
        <v>950</v>
      </c>
      <c r="AB43" t="s">
        <v>951</v>
      </c>
      <c r="AC43" t="s">
        <v>952</v>
      </c>
      <c r="AD43" t="s">
        <v>69</v>
      </c>
      <c r="AE43">
        <v>43</v>
      </c>
      <c r="AF43">
        <v>2</v>
      </c>
      <c r="AG43">
        <v>2</v>
      </c>
      <c r="AH43">
        <v>0</v>
      </c>
      <c r="AI43">
        <v>3</v>
      </c>
      <c r="AJ43" t="s">
        <v>953</v>
      </c>
      <c r="AK43" t="s">
        <v>954</v>
      </c>
      <c r="AL43" t="s">
        <v>955</v>
      </c>
      <c r="AM43" t="s">
        <v>956</v>
      </c>
      <c r="AN43" t="s">
        <v>957</v>
      </c>
      <c r="AO43" t="s">
        <v>69</v>
      </c>
      <c r="AP43" t="s">
        <v>958</v>
      </c>
      <c r="AQ43" t="s">
        <v>959</v>
      </c>
      <c r="AR43" t="s">
        <v>934</v>
      </c>
      <c r="AS43">
        <v>2019</v>
      </c>
      <c r="AT43">
        <v>69</v>
      </c>
      <c r="AU43" t="s">
        <v>69</v>
      </c>
      <c r="AV43" t="s">
        <v>69</v>
      </c>
      <c r="AW43" t="s">
        <v>69</v>
      </c>
      <c r="AX43" t="s">
        <v>69</v>
      </c>
      <c r="AY43" t="s">
        <v>69</v>
      </c>
      <c r="AZ43">
        <v>60</v>
      </c>
      <c r="BA43">
        <v>69</v>
      </c>
      <c r="BB43" t="s">
        <v>69</v>
      </c>
      <c r="BC43" t="s">
        <v>960</v>
      </c>
      <c r="BD43" t="s">
        <v>69</v>
      </c>
      <c r="BE43" t="s">
        <v>69</v>
      </c>
      <c r="BF43">
        <v>10</v>
      </c>
      <c r="BG43" t="s">
        <v>961</v>
      </c>
      <c r="BH43" t="s">
        <v>961</v>
      </c>
      <c r="BI43" t="s">
        <v>962</v>
      </c>
      <c r="BJ43" t="s">
        <v>963</v>
      </c>
      <c r="BK43">
        <v>31196730</v>
      </c>
      <c r="BL43" t="s">
        <v>964</v>
      </c>
      <c r="BM43" t="s">
        <v>69</v>
      </c>
      <c r="BN43" t="s">
        <v>69</v>
      </c>
      <c r="BO43" t="s">
        <v>95</v>
      </c>
      <c r="BP43" t="s">
        <v>69</v>
      </c>
    </row>
    <row r="44" spans="1:68" x14ac:dyDescent="0.15">
      <c r="A44" t="s">
        <v>67</v>
      </c>
      <c r="B44" t="s">
        <v>965</v>
      </c>
      <c r="C44" t="s">
        <v>69</v>
      </c>
      <c r="D44" t="s">
        <v>69</v>
      </c>
      <c r="E44" t="s">
        <v>69</v>
      </c>
      <c r="F44" t="s">
        <v>966</v>
      </c>
      <c r="G44" t="s">
        <v>69</v>
      </c>
      <c r="H44" t="s">
        <v>69</v>
      </c>
      <c r="I44" t="s">
        <v>967</v>
      </c>
      <c r="J44" t="s">
        <v>968</v>
      </c>
      <c r="K44" t="s">
        <v>69</v>
      </c>
      <c r="L44" t="s">
        <v>69</v>
      </c>
      <c r="M44" t="s">
        <v>73</v>
      </c>
      <c r="N44" t="s">
        <v>969</v>
      </c>
      <c r="O44" t="s">
        <v>970</v>
      </c>
      <c r="P44" t="s">
        <v>971</v>
      </c>
      <c r="Q44" t="s">
        <v>972</v>
      </c>
      <c r="R44" t="s">
        <v>69</v>
      </c>
      <c r="S44" t="s">
        <v>973</v>
      </c>
      <c r="T44" t="s">
        <v>974</v>
      </c>
      <c r="U44" t="s">
        <v>975</v>
      </c>
      <c r="V44" t="s">
        <v>976</v>
      </c>
      <c r="W44" t="s">
        <v>977</v>
      </c>
      <c r="X44" t="s">
        <v>978</v>
      </c>
      <c r="Y44" t="s">
        <v>979</v>
      </c>
      <c r="Z44" t="s">
        <v>980</v>
      </c>
      <c r="AA44" t="s">
        <v>981</v>
      </c>
      <c r="AB44" t="s">
        <v>69</v>
      </c>
      <c r="AC44" t="s">
        <v>69</v>
      </c>
      <c r="AD44" t="s">
        <v>69</v>
      </c>
      <c r="AE44">
        <v>184</v>
      </c>
      <c r="AF44">
        <v>6</v>
      </c>
      <c r="AG44">
        <v>6</v>
      </c>
      <c r="AH44">
        <v>4</v>
      </c>
      <c r="AI44">
        <v>19</v>
      </c>
      <c r="AJ44" t="s">
        <v>982</v>
      </c>
      <c r="AK44" t="s">
        <v>573</v>
      </c>
      <c r="AL44" t="s">
        <v>983</v>
      </c>
      <c r="AM44" t="s">
        <v>984</v>
      </c>
      <c r="AN44" t="s">
        <v>985</v>
      </c>
      <c r="AO44" t="s">
        <v>69</v>
      </c>
      <c r="AP44" t="s">
        <v>986</v>
      </c>
      <c r="AQ44" t="s">
        <v>987</v>
      </c>
      <c r="AR44" t="s">
        <v>934</v>
      </c>
      <c r="AS44">
        <v>2019</v>
      </c>
      <c r="AT44">
        <v>100</v>
      </c>
      <c r="AU44" t="s">
        <v>69</v>
      </c>
      <c r="AV44" t="s">
        <v>69</v>
      </c>
      <c r="AW44" t="s">
        <v>69</v>
      </c>
      <c r="AX44" t="s">
        <v>69</v>
      </c>
      <c r="AY44" t="s">
        <v>69</v>
      </c>
      <c r="AZ44">
        <v>339</v>
      </c>
      <c r="BA44">
        <v>353</v>
      </c>
      <c r="BB44" t="s">
        <v>69</v>
      </c>
      <c r="BC44" t="s">
        <v>988</v>
      </c>
      <c r="BD44" t="s">
        <v>69</v>
      </c>
      <c r="BE44" t="s">
        <v>69</v>
      </c>
      <c r="BF44">
        <v>15</v>
      </c>
      <c r="BG44" t="s">
        <v>850</v>
      </c>
      <c r="BH44" t="s">
        <v>232</v>
      </c>
      <c r="BI44" t="s">
        <v>989</v>
      </c>
      <c r="BJ44" t="s">
        <v>990</v>
      </c>
      <c r="BK44" t="s">
        <v>69</v>
      </c>
      <c r="BL44" t="s">
        <v>833</v>
      </c>
      <c r="BM44" t="s">
        <v>69</v>
      </c>
      <c r="BN44" t="s">
        <v>69</v>
      </c>
      <c r="BO44" t="s">
        <v>95</v>
      </c>
      <c r="BP44" t="s">
        <v>69</v>
      </c>
    </row>
    <row r="45" spans="1:68" x14ac:dyDescent="0.15">
      <c r="A45" t="s">
        <v>67</v>
      </c>
      <c r="B45" t="s">
        <v>991</v>
      </c>
      <c r="C45" t="s">
        <v>69</v>
      </c>
      <c r="D45" t="s">
        <v>69</v>
      </c>
      <c r="E45" t="s">
        <v>69</v>
      </c>
      <c r="F45" t="s">
        <v>992</v>
      </c>
      <c r="G45" t="s">
        <v>69</v>
      </c>
      <c r="H45" t="s">
        <v>69</v>
      </c>
      <c r="I45" t="s">
        <v>993</v>
      </c>
      <c r="J45" t="s">
        <v>994</v>
      </c>
      <c r="K45" t="s">
        <v>69</v>
      </c>
      <c r="L45" t="s">
        <v>69</v>
      </c>
      <c r="M45" t="s">
        <v>73</v>
      </c>
      <c r="N45" t="s">
        <v>74</v>
      </c>
      <c r="O45" t="s">
        <v>69</v>
      </c>
      <c r="P45" t="s">
        <v>69</v>
      </c>
      <c r="Q45" t="s">
        <v>69</v>
      </c>
      <c r="R45" t="s">
        <v>69</v>
      </c>
      <c r="S45" t="s">
        <v>69</v>
      </c>
      <c r="T45" t="s">
        <v>995</v>
      </c>
      <c r="U45" t="s">
        <v>996</v>
      </c>
      <c r="V45" t="s">
        <v>997</v>
      </c>
      <c r="W45" t="s">
        <v>998</v>
      </c>
      <c r="X45" t="s">
        <v>999</v>
      </c>
      <c r="Y45" t="s">
        <v>1000</v>
      </c>
      <c r="Z45" t="s">
        <v>1001</v>
      </c>
      <c r="AA45" t="s">
        <v>1002</v>
      </c>
      <c r="AB45" t="s">
        <v>69</v>
      </c>
      <c r="AC45" t="s">
        <v>69</v>
      </c>
      <c r="AD45" t="s">
        <v>69</v>
      </c>
      <c r="AE45">
        <v>95</v>
      </c>
      <c r="AF45">
        <v>1</v>
      </c>
      <c r="AG45">
        <v>1</v>
      </c>
      <c r="AH45">
        <v>1</v>
      </c>
      <c r="AI45">
        <v>8</v>
      </c>
      <c r="AJ45" t="s">
        <v>108</v>
      </c>
      <c r="AK45" t="s">
        <v>109</v>
      </c>
      <c r="AL45" t="s">
        <v>110</v>
      </c>
      <c r="AM45" t="s">
        <v>1003</v>
      </c>
      <c r="AN45" t="s">
        <v>1004</v>
      </c>
      <c r="AO45" t="s">
        <v>69</v>
      </c>
      <c r="AP45" t="s">
        <v>1005</v>
      </c>
      <c r="AQ45" t="s">
        <v>1006</v>
      </c>
      <c r="AR45" t="s">
        <v>829</v>
      </c>
      <c r="AS45">
        <v>2019</v>
      </c>
      <c r="AT45">
        <v>29</v>
      </c>
      <c r="AU45">
        <v>7</v>
      </c>
      <c r="AV45" t="s">
        <v>69</v>
      </c>
      <c r="AW45" t="s">
        <v>69</v>
      </c>
      <c r="AX45" t="s">
        <v>69</v>
      </c>
      <c r="AY45" t="s">
        <v>69</v>
      </c>
      <c r="AZ45">
        <v>840</v>
      </c>
      <c r="BA45">
        <v>860</v>
      </c>
      <c r="BB45" t="s">
        <v>69</v>
      </c>
      <c r="BC45" t="s">
        <v>1007</v>
      </c>
      <c r="BD45" t="s">
        <v>69</v>
      </c>
      <c r="BE45" t="s">
        <v>1008</v>
      </c>
      <c r="BF45">
        <v>21</v>
      </c>
      <c r="BG45" t="s">
        <v>1009</v>
      </c>
      <c r="BH45" t="s">
        <v>1009</v>
      </c>
      <c r="BI45" t="s">
        <v>1010</v>
      </c>
      <c r="BJ45" t="s">
        <v>1011</v>
      </c>
      <c r="BK45" t="s">
        <v>69</v>
      </c>
      <c r="BL45" t="s">
        <v>69</v>
      </c>
      <c r="BM45" t="s">
        <v>69</v>
      </c>
      <c r="BN45" t="s">
        <v>69</v>
      </c>
      <c r="BO45" t="s">
        <v>95</v>
      </c>
      <c r="BP45" t="s">
        <v>69</v>
      </c>
    </row>
    <row r="46" spans="1:68" x14ac:dyDescent="0.15">
      <c r="A46" t="s">
        <v>67</v>
      </c>
      <c r="B46" t="s">
        <v>1012</v>
      </c>
      <c r="C46" t="s">
        <v>69</v>
      </c>
      <c r="D46" t="s">
        <v>69</v>
      </c>
      <c r="E46" t="s">
        <v>69</v>
      </c>
      <c r="F46" t="s">
        <v>1013</v>
      </c>
      <c r="G46" t="s">
        <v>69</v>
      </c>
      <c r="H46" t="s">
        <v>69</v>
      </c>
      <c r="I46" t="s">
        <v>1014</v>
      </c>
      <c r="J46" t="s">
        <v>1015</v>
      </c>
      <c r="K46" t="s">
        <v>69</v>
      </c>
      <c r="L46" t="s">
        <v>69</v>
      </c>
      <c r="M46" t="s">
        <v>73</v>
      </c>
      <c r="N46" t="s">
        <v>74</v>
      </c>
      <c r="O46" t="s">
        <v>69</v>
      </c>
      <c r="P46" t="s">
        <v>69</v>
      </c>
      <c r="Q46" t="s">
        <v>69</v>
      </c>
      <c r="R46" t="s">
        <v>69</v>
      </c>
      <c r="S46" t="s">
        <v>69</v>
      </c>
      <c r="T46" t="s">
        <v>69</v>
      </c>
      <c r="U46" t="s">
        <v>1016</v>
      </c>
      <c r="V46" t="s">
        <v>1017</v>
      </c>
      <c r="W46" t="s">
        <v>1018</v>
      </c>
      <c r="X46" t="s">
        <v>1019</v>
      </c>
      <c r="Y46" t="s">
        <v>1020</v>
      </c>
      <c r="Z46" t="s">
        <v>1021</v>
      </c>
      <c r="AA46" t="s">
        <v>1022</v>
      </c>
      <c r="AB46" t="s">
        <v>1023</v>
      </c>
      <c r="AC46" t="s">
        <v>1024</v>
      </c>
      <c r="AD46" t="s">
        <v>69</v>
      </c>
      <c r="AE46">
        <v>122</v>
      </c>
      <c r="AF46">
        <v>3</v>
      </c>
      <c r="AG46">
        <v>3</v>
      </c>
      <c r="AH46">
        <v>2</v>
      </c>
      <c r="AI46">
        <v>10</v>
      </c>
      <c r="AJ46" t="s">
        <v>1025</v>
      </c>
      <c r="AK46" t="s">
        <v>1026</v>
      </c>
      <c r="AL46" t="s">
        <v>1027</v>
      </c>
      <c r="AM46" t="s">
        <v>1028</v>
      </c>
      <c r="AN46" t="s">
        <v>69</v>
      </c>
      <c r="AO46" t="s">
        <v>69</v>
      </c>
      <c r="AP46" t="s">
        <v>1029</v>
      </c>
      <c r="AQ46" t="s">
        <v>1030</v>
      </c>
      <c r="AR46" t="s">
        <v>579</v>
      </c>
      <c r="AS46">
        <v>2019</v>
      </c>
      <c r="AT46">
        <v>5</v>
      </c>
      <c r="AU46">
        <v>2</v>
      </c>
      <c r="AV46" t="s">
        <v>69</v>
      </c>
      <c r="AW46" t="s">
        <v>69</v>
      </c>
      <c r="AX46" t="s">
        <v>69</v>
      </c>
      <c r="AY46" t="s">
        <v>69</v>
      </c>
      <c r="AZ46">
        <v>171</v>
      </c>
      <c r="BA46">
        <v>200</v>
      </c>
      <c r="BB46" t="s">
        <v>69</v>
      </c>
      <c r="BC46" t="s">
        <v>1031</v>
      </c>
      <c r="BD46" t="s">
        <v>69</v>
      </c>
      <c r="BE46" t="s">
        <v>69</v>
      </c>
      <c r="BF46">
        <v>30</v>
      </c>
      <c r="BG46" t="s">
        <v>268</v>
      </c>
      <c r="BH46" t="s">
        <v>232</v>
      </c>
      <c r="BI46" t="s">
        <v>1032</v>
      </c>
      <c r="BJ46" t="s">
        <v>1033</v>
      </c>
      <c r="BK46" t="s">
        <v>69</v>
      </c>
      <c r="BL46" t="s">
        <v>69</v>
      </c>
      <c r="BM46" t="s">
        <v>69</v>
      </c>
      <c r="BN46" t="s">
        <v>69</v>
      </c>
      <c r="BO46" t="s">
        <v>95</v>
      </c>
      <c r="BP46" t="s">
        <v>69</v>
      </c>
    </row>
    <row r="47" spans="1:68" x14ac:dyDescent="0.15">
      <c r="A47" t="s">
        <v>67</v>
      </c>
      <c r="B47" t="s">
        <v>1034</v>
      </c>
      <c r="C47" t="s">
        <v>69</v>
      </c>
      <c r="D47" t="s">
        <v>69</v>
      </c>
      <c r="E47" t="s">
        <v>69</v>
      </c>
      <c r="F47" t="s">
        <v>1035</v>
      </c>
      <c r="G47" t="s">
        <v>69</v>
      </c>
      <c r="H47" t="s">
        <v>69</v>
      </c>
      <c r="I47" t="s">
        <v>1036</v>
      </c>
      <c r="J47" t="s">
        <v>1037</v>
      </c>
      <c r="K47" t="s">
        <v>69</v>
      </c>
      <c r="L47" t="s">
        <v>69</v>
      </c>
      <c r="M47" t="s">
        <v>73</v>
      </c>
      <c r="N47" t="s">
        <v>74</v>
      </c>
      <c r="O47" t="s">
        <v>69</v>
      </c>
      <c r="P47" t="s">
        <v>69</v>
      </c>
      <c r="Q47" t="s">
        <v>69</v>
      </c>
      <c r="R47" t="s">
        <v>69</v>
      </c>
      <c r="S47" t="s">
        <v>69</v>
      </c>
      <c r="T47" t="s">
        <v>1038</v>
      </c>
      <c r="U47" t="s">
        <v>1039</v>
      </c>
      <c r="V47" t="s">
        <v>1040</v>
      </c>
      <c r="W47" t="s">
        <v>1041</v>
      </c>
      <c r="X47" t="s">
        <v>1042</v>
      </c>
      <c r="Y47" t="s">
        <v>1043</v>
      </c>
      <c r="Z47" t="s">
        <v>69</v>
      </c>
      <c r="AA47" t="s">
        <v>1044</v>
      </c>
      <c r="AB47" t="s">
        <v>1045</v>
      </c>
      <c r="AC47" t="s">
        <v>1046</v>
      </c>
      <c r="AD47" t="s">
        <v>69</v>
      </c>
      <c r="AE47">
        <v>135</v>
      </c>
      <c r="AF47">
        <v>14</v>
      </c>
      <c r="AG47">
        <v>14</v>
      </c>
      <c r="AH47">
        <v>0</v>
      </c>
      <c r="AI47">
        <v>3</v>
      </c>
      <c r="AJ47" t="s">
        <v>572</v>
      </c>
      <c r="AK47" t="s">
        <v>573</v>
      </c>
      <c r="AL47" t="s">
        <v>636</v>
      </c>
      <c r="AM47" t="s">
        <v>1047</v>
      </c>
      <c r="AN47" t="s">
        <v>1048</v>
      </c>
      <c r="AO47" t="s">
        <v>69</v>
      </c>
      <c r="AP47" t="s">
        <v>1049</v>
      </c>
      <c r="AQ47" t="s">
        <v>1050</v>
      </c>
      <c r="AR47" t="s">
        <v>88</v>
      </c>
      <c r="AS47">
        <v>2019</v>
      </c>
      <c r="AT47">
        <v>17</v>
      </c>
      <c r="AU47">
        <v>2</v>
      </c>
      <c r="AV47" t="s">
        <v>69</v>
      </c>
      <c r="AW47" t="s">
        <v>69</v>
      </c>
      <c r="AX47" t="s">
        <v>69</v>
      </c>
      <c r="AY47" t="s">
        <v>69</v>
      </c>
      <c r="AZ47">
        <v>346</v>
      </c>
      <c r="BA47">
        <v>369</v>
      </c>
      <c r="BB47" t="s">
        <v>69</v>
      </c>
      <c r="BC47" t="s">
        <v>1051</v>
      </c>
      <c r="BD47" t="s">
        <v>69</v>
      </c>
      <c r="BE47" t="s">
        <v>69</v>
      </c>
      <c r="BF47">
        <v>24</v>
      </c>
      <c r="BG47" t="s">
        <v>1052</v>
      </c>
      <c r="BH47" t="s">
        <v>1053</v>
      </c>
      <c r="BI47" t="s">
        <v>1054</v>
      </c>
      <c r="BJ47" t="s">
        <v>1055</v>
      </c>
      <c r="BK47" t="s">
        <v>69</v>
      </c>
      <c r="BL47" t="s">
        <v>69</v>
      </c>
      <c r="BM47" t="s">
        <v>69</v>
      </c>
      <c r="BN47" t="s">
        <v>69</v>
      </c>
      <c r="BO47" t="s">
        <v>95</v>
      </c>
      <c r="BP47" t="s">
        <v>69</v>
      </c>
    </row>
    <row r="48" spans="1:68" x14ac:dyDescent="0.15">
      <c r="A48" t="s">
        <v>67</v>
      </c>
      <c r="B48" t="s">
        <v>1056</v>
      </c>
      <c r="C48" t="s">
        <v>69</v>
      </c>
      <c r="D48" t="s">
        <v>69</v>
      </c>
      <c r="E48" t="s">
        <v>69</v>
      </c>
      <c r="F48" t="s">
        <v>1057</v>
      </c>
      <c r="G48" t="s">
        <v>69</v>
      </c>
      <c r="H48" t="s">
        <v>69</v>
      </c>
      <c r="I48" t="s">
        <v>1058</v>
      </c>
      <c r="J48" t="s">
        <v>1059</v>
      </c>
      <c r="K48" t="s">
        <v>69</v>
      </c>
      <c r="L48" t="s">
        <v>69</v>
      </c>
      <c r="M48" t="s">
        <v>1060</v>
      </c>
      <c r="N48" t="s">
        <v>74</v>
      </c>
      <c r="O48" t="s">
        <v>69</v>
      </c>
      <c r="P48" t="s">
        <v>69</v>
      </c>
      <c r="Q48" t="s">
        <v>69</v>
      </c>
      <c r="R48" t="s">
        <v>69</v>
      </c>
      <c r="S48" t="s">
        <v>69</v>
      </c>
      <c r="T48" t="s">
        <v>1061</v>
      </c>
      <c r="U48" t="s">
        <v>69</v>
      </c>
      <c r="V48" t="s">
        <v>1062</v>
      </c>
      <c r="W48" t="s">
        <v>1063</v>
      </c>
      <c r="X48" t="s">
        <v>1064</v>
      </c>
      <c r="Y48" t="s">
        <v>1065</v>
      </c>
      <c r="Z48" t="s">
        <v>69</v>
      </c>
      <c r="AA48" t="s">
        <v>69</v>
      </c>
      <c r="AB48" t="s">
        <v>69</v>
      </c>
      <c r="AC48" t="s">
        <v>69</v>
      </c>
      <c r="AD48" t="s">
        <v>69</v>
      </c>
      <c r="AE48">
        <v>23</v>
      </c>
      <c r="AF48">
        <v>0</v>
      </c>
      <c r="AG48">
        <v>0</v>
      </c>
      <c r="AH48">
        <v>0</v>
      </c>
      <c r="AI48">
        <v>2</v>
      </c>
      <c r="AJ48" t="s">
        <v>1066</v>
      </c>
      <c r="AK48" t="s">
        <v>1067</v>
      </c>
      <c r="AL48" t="s">
        <v>1068</v>
      </c>
      <c r="AM48" t="s">
        <v>1069</v>
      </c>
      <c r="AN48" t="s">
        <v>69</v>
      </c>
      <c r="AO48" t="s">
        <v>69</v>
      </c>
      <c r="AP48" t="s">
        <v>1070</v>
      </c>
      <c r="AQ48" t="s">
        <v>1071</v>
      </c>
      <c r="AR48" t="s">
        <v>1072</v>
      </c>
      <c r="AS48">
        <v>2019</v>
      </c>
      <c r="AT48" t="s">
        <v>69</v>
      </c>
      <c r="AU48">
        <v>2</v>
      </c>
      <c r="AV48" t="s">
        <v>69</v>
      </c>
      <c r="AW48" t="s">
        <v>69</v>
      </c>
      <c r="AX48" t="s">
        <v>69</v>
      </c>
      <c r="AY48" t="s">
        <v>69</v>
      </c>
      <c r="AZ48">
        <v>175</v>
      </c>
      <c r="BA48">
        <v>184</v>
      </c>
      <c r="BB48" t="s">
        <v>69</v>
      </c>
      <c r="BC48" t="s">
        <v>1073</v>
      </c>
      <c r="BD48" t="s">
        <v>69</v>
      </c>
      <c r="BE48" t="s">
        <v>69</v>
      </c>
      <c r="BF48">
        <v>10</v>
      </c>
      <c r="BG48" t="s">
        <v>1074</v>
      </c>
      <c r="BH48" t="s">
        <v>1074</v>
      </c>
      <c r="BI48" t="s">
        <v>1075</v>
      </c>
      <c r="BJ48" t="s">
        <v>1076</v>
      </c>
      <c r="BK48" t="s">
        <v>69</v>
      </c>
      <c r="BL48" t="s">
        <v>213</v>
      </c>
      <c r="BM48" t="s">
        <v>69</v>
      </c>
      <c r="BN48" t="s">
        <v>69</v>
      </c>
      <c r="BO48" t="s">
        <v>95</v>
      </c>
      <c r="BP48" t="s">
        <v>69</v>
      </c>
    </row>
    <row r="49" spans="1:68" x14ac:dyDescent="0.15">
      <c r="A49" t="s">
        <v>67</v>
      </c>
      <c r="B49" t="s">
        <v>1077</v>
      </c>
      <c r="C49" t="s">
        <v>69</v>
      </c>
      <c r="D49" t="s">
        <v>69</v>
      </c>
      <c r="E49" t="s">
        <v>69</v>
      </c>
      <c r="F49" t="s">
        <v>1078</v>
      </c>
      <c r="G49" t="s">
        <v>69</v>
      </c>
      <c r="H49" t="s">
        <v>69</v>
      </c>
      <c r="I49" t="s">
        <v>1079</v>
      </c>
      <c r="J49" t="s">
        <v>1080</v>
      </c>
      <c r="K49" t="s">
        <v>69</v>
      </c>
      <c r="L49" t="s">
        <v>69</v>
      </c>
      <c r="M49" t="s">
        <v>73</v>
      </c>
      <c r="N49" t="s">
        <v>74</v>
      </c>
      <c r="O49" t="s">
        <v>69</v>
      </c>
      <c r="P49" t="s">
        <v>69</v>
      </c>
      <c r="Q49" t="s">
        <v>69</v>
      </c>
      <c r="R49" t="s">
        <v>69</v>
      </c>
      <c r="S49" t="s">
        <v>69</v>
      </c>
      <c r="T49" t="s">
        <v>1081</v>
      </c>
      <c r="U49" t="s">
        <v>1082</v>
      </c>
      <c r="V49" t="s">
        <v>1083</v>
      </c>
      <c r="W49" t="s">
        <v>1084</v>
      </c>
      <c r="X49" t="s">
        <v>1085</v>
      </c>
      <c r="Y49" t="s">
        <v>1086</v>
      </c>
      <c r="Z49" t="s">
        <v>69</v>
      </c>
      <c r="AA49" t="s">
        <v>69</v>
      </c>
      <c r="AB49" t="s">
        <v>69</v>
      </c>
      <c r="AC49" t="s">
        <v>69</v>
      </c>
      <c r="AD49" t="s">
        <v>69</v>
      </c>
      <c r="AE49">
        <v>31</v>
      </c>
      <c r="AF49">
        <v>0</v>
      </c>
      <c r="AG49">
        <v>0</v>
      </c>
      <c r="AH49">
        <v>3</v>
      </c>
      <c r="AI49">
        <v>10</v>
      </c>
      <c r="AJ49" t="s">
        <v>1087</v>
      </c>
      <c r="AK49" t="s">
        <v>1088</v>
      </c>
      <c r="AL49" t="s">
        <v>1089</v>
      </c>
      <c r="AM49" t="s">
        <v>1090</v>
      </c>
      <c r="AN49" t="s">
        <v>1091</v>
      </c>
      <c r="AO49" t="s">
        <v>69</v>
      </c>
      <c r="AP49" t="s">
        <v>1092</v>
      </c>
      <c r="AQ49" t="s">
        <v>1093</v>
      </c>
      <c r="AR49" t="s">
        <v>511</v>
      </c>
      <c r="AS49">
        <v>2019</v>
      </c>
      <c r="AT49">
        <v>12</v>
      </c>
      <c r="AU49">
        <v>1</v>
      </c>
      <c r="AV49" t="s">
        <v>69</v>
      </c>
      <c r="AW49" t="s">
        <v>69</v>
      </c>
      <c r="AX49" t="s">
        <v>69</v>
      </c>
      <c r="AY49" t="s">
        <v>69</v>
      </c>
      <c r="AZ49">
        <v>110</v>
      </c>
      <c r="BA49">
        <v>127</v>
      </c>
      <c r="BB49" t="s">
        <v>69</v>
      </c>
      <c r="BC49" t="s">
        <v>1094</v>
      </c>
      <c r="BD49" t="s">
        <v>69</v>
      </c>
      <c r="BE49" t="s">
        <v>69</v>
      </c>
      <c r="BF49">
        <v>18</v>
      </c>
      <c r="BG49" t="s">
        <v>117</v>
      </c>
      <c r="BH49" t="s">
        <v>117</v>
      </c>
      <c r="BI49" t="s">
        <v>1095</v>
      </c>
      <c r="BJ49" t="s">
        <v>1096</v>
      </c>
      <c r="BK49" t="s">
        <v>69</v>
      </c>
      <c r="BL49" t="s">
        <v>69</v>
      </c>
      <c r="BM49" t="s">
        <v>69</v>
      </c>
      <c r="BN49" t="s">
        <v>69</v>
      </c>
      <c r="BO49" t="s">
        <v>95</v>
      </c>
      <c r="BP49" t="s">
        <v>69</v>
      </c>
    </row>
    <row r="50" spans="1:68" x14ac:dyDescent="0.15">
      <c r="A50" t="s">
        <v>67</v>
      </c>
      <c r="B50" t="s">
        <v>1097</v>
      </c>
      <c r="C50" t="s">
        <v>69</v>
      </c>
      <c r="D50" t="s">
        <v>69</v>
      </c>
      <c r="E50" t="s">
        <v>69</v>
      </c>
      <c r="F50" t="s">
        <v>1098</v>
      </c>
      <c r="G50" t="s">
        <v>69</v>
      </c>
      <c r="H50" t="s">
        <v>69</v>
      </c>
      <c r="I50" t="s">
        <v>1099</v>
      </c>
      <c r="J50" t="s">
        <v>1100</v>
      </c>
      <c r="K50" t="s">
        <v>69</v>
      </c>
      <c r="L50" t="s">
        <v>69</v>
      </c>
      <c r="M50" t="s">
        <v>73</v>
      </c>
      <c r="N50" t="s">
        <v>74</v>
      </c>
      <c r="O50" t="s">
        <v>69</v>
      </c>
      <c r="P50" t="s">
        <v>69</v>
      </c>
      <c r="Q50" t="s">
        <v>69</v>
      </c>
      <c r="R50" t="s">
        <v>69</v>
      </c>
      <c r="S50" t="s">
        <v>69</v>
      </c>
      <c r="T50" t="s">
        <v>1101</v>
      </c>
      <c r="U50" t="s">
        <v>1102</v>
      </c>
      <c r="V50" t="s">
        <v>1103</v>
      </c>
      <c r="W50" t="s">
        <v>1104</v>
      </c>
      <c r="X50" t="s">
        <v>1105</v>
      </c>
      <c r="Y50" t="s">
        <v>1106</v>
      </c>
      <c r="Z50" t="s">
        <v>69</v>
      </c>
      <c r="AA50" t="s">
        <v>69</v>
      </c>
      <c r="AB50" t="s">
        <v>69</v>
      </c>
      <c r="AC50" t="s">
        <v>69</v>
      </c>
      <c r="AD50" t="s">
        <v>69</v>
      </c>
      <c r="AE50">
        <v>48</v>
      </c>
      <c r="AF50">
        <v>0</v>
      </c>
      <c r="AG50">
        <v>0</v>
      </c>
      <c r="AH50">
        <v>0</v>
      </c>
      <c r="AI50">
        <v>2</v>
      </c>
      <c r="AJ50" t="s">
        <v>1107</v>
      </c>
      <c r="AK50" t="s">
        <v>1108</v>
      </c>
      <c r="AL50" t="s">
        <v>1109</v>
      </c>
      <c r="AM50" t="s">
        <v>1110</v>
      </c>
      <c r="AN50" t="s">
        <v>1111</v>
      </c>
      <c r="AO50" t="s">
        <v>69</v>
      </c>
      <c r="AP50" t="s">
        <v>1112</v>
      </c>
      <c r="AQ50" t="s">
        <v>1113</v>
      </c>
      <c r="AR50" t="s">
        <v>535</v>
      </c>
      <c r="AS50">
        <v>2019</v>
      </c>
      <c r="AT50">
        <v>26</v>
      </c>
      <c r="AU50">
        <v>2</v>
      </c>
      <c r="AV50" t="s">
        <v>69</v>
      </c>
      <c r="AW50" t="s">
        <v>69</v>
      </c>
      <c r="AX50" t="s">
        <v>69</v>
      </c>
      <c r="AY50" t="s">
        <v>69</v>
      </c>
      <c r="AZ50">
        <v>289</v>
      </c>
      <c r="BA50">
        <v>303</v>
      </c>
      <c r="BB50" t="s">
        <v>69</v>
      </c>
      <c r="BC50" t="s">
        <v>1114</v>
      </c>
      <c r="BD50" t="s">
        <v>69</v>
      </c>
      <c r="BE50" t="s">
        <v>69</v>
      </c>
      <c r="BF50">
        <v>15</v>
      </c>
      <c r="BG50" t="s">
        <v>1115</v>
      </c>
      <c r="BH50" t="s">
        <v>1116</v>
      </c>
      <c r="BI50" t="s">
        <v>1117</v>
      </c>
      <c r="BJ50" t="s">
        <v>1118</v>
      </c>
      <c r="BK50" t="s">
        <v>69</v>
      </c>
      <c r="BL50" t="s">
        <v>69</v>
      </c>
      <c r="BM50" t="s">
        <v>69</v>
      </c>
      <c r="BN50" t="s">
        <v>69</v>
      </c>
      <c r="BO50" t="s">
        <v>95</v>
      </c>
      <c r="BP50" t="s">
        <v>69</v>
      </c>
    </row>
    <row r="51" spans="1:68" x14ac:dyDescent="0.15">
      <c r="A51" t="s">
        <v>67</v>
      </c>
      <c r="B51" t="s">
        <v>1119</v>
      </c>
      <c r="C51" t="s">
        <v>69</v>
      </c>
      <c r="D51" t="s">
        <v>69</v>
      </c>
      <c r="E51" t="s">
        <v>69</v>
      </c>
      <c r="F51" t="s">
        <v>1120</v>
      </c>
      <c r="G51" t="s">
        <v>69</v>
      </c>
      <c r="H51" t="s">
        <v>69</v>
      </c>
      <c r="I51" t="s">
        <v>1121</v>
      </c>
      <c r="J51" t="s">
        <v>1122</v>
      </c>
      <c r="K51" t="s">
        <v>69</v>
      </c>
      <c r="L51" t="s">
        <v>69</v>
      </c>
      <c r="M51" t="s">
        <v>73</v>
      </c>
      <c r="N51" t="s">
        <v>50</v>
      </c>
      <c r="O51" t="s">
        <v>69</v>
      </c>
      <c r="P51" t="s">
        <v>69</v>
      </c>
      <c r="Q51" t="s">
        <v>69</v>
      </c>
      <c r="R51" t="s">
        <v>69</v>
      </c>
      <c r="S51" t="s">
        <v>69</v>
      </c>
      <c r="T51" t="s">
        <v>69</v>
      </c>
      <c r="U51" t="s">
        <v>69</v>
      </c>
      <c r="V51" t="s">
        <v>69</v>
      </c>
      <c r="W51" t="s">
        <v>1123</v>
      </c>
      <c r="X51" t="s">
        <v>69</v>
      </c>
      <c r="Y51" t="s">
        <v>69</v>
      </c>
      <c r="Z51" t="s">
        <v>69</v>
      </c>
      <c r="AA51" t="s">
        <v>69</v>
      </c>
      <c r="AB51" t="s">
        <v>69</v>
      </c>
      <c r="AC51" t="s">
        <v>69</v>
      </c>
      <c r="AD51" t="s">
        <v>69</v>
      </c>
      <c r="AE51">
        <v>0</v>
      </c>
      <c r="AF51">
        <v>0</v>
      </c>
      <c r="AG51">
        <v>0</v>
      </c>
      <c r="AH51">
        <v>0</v>
      </c>
      <c r="AI51">
        <v>1</v>
      </c>
      <c r="AJ51" t="s">
        <v>180</v>
      </c>
      <c r="AK51" t="s">
        <v>181</v>
      </c>
      <c r="AL51" t="s">
        <v>182</v>
      </c>
      <c r="AM51" t="s">
        <v>1124</v>
      </c>
      <c r="AN51" t="s">
        <v>69</v>
      </c>
      <c r="AO51" t="s">
        <v>69</v>
      </c>
      <c r="AP51" t="s">
        <v>1125</v>
      </c>
      <c r="AQ51" t="s">
        <v>1126</v>
      </c>
      <c r="AR51" t="s">
        <v>1127</v>
      </c>
      <c r="AS51">
        <v>2019</v>
      </c>
      <c r="AT51">
        <v>18</v>
      </c>
      <c r="AU51" t="s">
        <v>69</v>
      </c>
      <c r="AV51" t="s">
        <v>69</v>
      </c>
      <c r="AW51" t="s">
        <v>69</v>
      </c>
      <c r="AX51" t="s">
        <v>69</v>
      </c>
      <c r="AY51" t="s">
        <v>69</v>
      </c>
      <c r="AZ51" t="s">
        <v>69</v>
      </c>
      <c r="BA51" t="s">
        <v>69</v>
      </c>
      <c r="BB51" t="s">
        <v>69</v>
      </c>
      <c r="BC51" t="s">
        <v>69</v>
      </c>
      <c r="BD51" t="s">
        <v>69</v>
      </c>
      <c r="BE51" t="s">
        <v>69</v>
      </c>
      <c r="BF51">
        <v>2</v>
      </c>
      <c r="BG51" t="s">
        <v>1128</v>
      </c>
      <c r="BH51" t="s">
        <v>922</v>
      </c>
      <c r="BI51" t="s">
        <v>1129</v>
      </c>
      <c r="BJ51" t="s">
        <v>1130</v>
      </c>
      <c r="BK51" t="s">
        <v>69</v>
      </c>
      <c r="BL51" t="s">
        <v>94</v>
      </c>
      <c r="BM51" t="s">
        <v>69</v>
      </c>
      <c r="BN51" t="s">
        <v>69</v>
      </c>
      <c r="BO51" t="s">
        <v>95</v>
      </c>
      <c r="BP51" t="s">
        <v>69</v>
      </c>
    </row>
    <row r="52" spans="1:68" x14ac:dyDescent="0.15">
      <c r="A52" t="s">
        <v>67</v>
      </c>
      <c r="B52" t="s">
        <v>1131</v>
      </c>
      <c r="C52" t="s">
        <v>69</v>
      </c>
      <c r="D52" t="s">
        <v>69</v>
      </c>
      <c r="E52" t="s">
        <v>69</v>
      </c>
      <c r="F52" t="s">
        <v>1132</v>
      </c>
      <c r="G52" t="s">
        <v>69</v>
      </c>
      <c r="H52" t="s">
        <v>69</v>
      </c>
      <c r="I52" t="s">
        <v>1133</v>
      </c>
      <c r="J52" t="s">
        <v>1134</v>
      </c>
      <c r="K52" t="s">
        <v>69</v>
      </c>
      <c r="L52" t="s">
        <v>69</v>
      </c>
      <c r="M52" t="s">
        <v>73</v>
      </c>
      <c r="N52" t="s">
        <v>74</v>
      </c>
      <c r="O52" t="s">
        <v>69</v>
      </c>
      <c r="P52" t="s">
        <v>69</v>
      </c>
      <c r="Q52" t="s">
        <v>69</v>
      </c>
      <c r="R52" t="s">
        <v>69</v>
      </c>
      <c r="S52" t="s">
        <v>69</v>
      </c>
      <c r="T52" t="s">
        <v>1135</v>
      </c>
      <c r="U52" t="s">
        <v>1136</v>
      </c>
      <c r="V52" t="s">
        <v>1137</v>
      </c>
      <c r="W52" t="s">
        <v>1138</v>
      </c>
      <c r="X52" t="s">
        <v>1139</v>
      </c>
      <c r="Y52" t="s">
        <v>1140</v>
      </c>
      <c r="Z52" t="s">
        <v>69</v>
      </c>
      <c r="AA52" t="s">
        <v>69</v>
      </c>
      <c r="AB52" t="s">
        <v>69</v>
      </c>
      <c r="AC52" t="s">
        <v>69</v>
      </c>
      <c r="AD52" t="s">
        <v>69</v>
      </c>
      <c r="AE52">
        <v>58</v>
      </c>
      <c r="AF52">
        <v>1</v>
      </c>
      <c r="AG52">
        <v>1</v>
      </c>
      <c r="AH52">
        <v>3</v>
      </c>
      <c r="AI52">
        <v>3</v>
      </c>
      <c r="AJ52" t="s">
        <v>1141</v>
      </c>
      <c r="AK52" t="s">
        <v>1142</v>
      </c>
      <c r="AL52" t="s">
        <v>1143</v>
      </c>
      <c r="AM52" t="s">
        <v>69</v>
      </c>
      <c r="AN52" t="s">
        <v>1144</v>
      </c>
      <c r="AO52" t="s">
        <v>69</v>
      </c>
      <c r="AP52" t="s">
        <v>1134</v>
      </c>
      <c r="AQ52" t="s">
        <v>1145</v>
      </c>
      <c r="AR52" t="s">
        <v>685</v>
      </c>
      <c r="AS52">
        <v>2019</v>
      </c>
      <c r="AT52">
        <v>2</v>
      </c>
      <c r="AU52">
        <v>1</v>
      </c>
      <c r="AV52" t="s">
        <v>69</v>
      </c>
      <c r="AW52" t="s">
        <v>69</v>
      </c>
      <c r="AX52" t="s">
        <v>69</v>
      </c>
      <c r="AY52" t="s">
        <v>69</v>
      </c>
      <c r="AZ52">
        <v>279</v>
      </c>
      <c r="BA52">
        <v>292</v>
      </c>
      <c r="BB52" t="s">
        <v>69</v>
      </c>
      <c r="BC52" t="s">
        <v>1146</v>
      </c>
      <c r="BD52" t="s">
        <v>69</v>
      </c>
      <c r="BE52" t="s">
        <v>69</v>
      </c>
      <c r="BF52">
        <v>14</v>
      </c>
      <c r="BG52" t="s">
        <v>1147</v>
      </c>
      <c r="BH52" t="s">
        <v>1148</v>
      </c>
      <c r="BI52" t="s">
        <v>1149</v>
      </c>
      <c r="BJ52" t="s">
        <v>1150</v>
      </c>
      <c r="BK52" t="s">
        <v>69</v>
      </c>
      <c r="BL52" t="s">
        <v>1151</v>
      </c>
      <c r="BM52" t="s">
        <v>69</v>
      </c>
      <c r="BN52" t="s">
        <v>69</v>
      </c>
      <c r="BO52" t="s">
        <v>95</v>
      </c>
      <c r="BP52" t="s">
        <v>69</v>
      </c>
    </row>
    <row r="53" spans="1:68" x14ac:dyDescent="0.15">
      <c r="A53" t="s">
        <v>67</v>
      </c>
      <c r="B53" t="s">
        <v>1152</v>
      </c>
      <c r="C53" t="s">
        <v>69</v>
      </c>
      <c r="D53" t="s">
        <v>69</v>
      </c>
      <c r="E53" t="s">
        <v>69</v>
      </c>
      <c r="F53" t="s">
        <v>1153</v>
      </c>
      <c r="G53" t="s">
        <v>69</v>
      </c>
      <c r="H53" t="s">
        <v>69</v>
      </c>
      <c r="I53" t="s">
        <v>1154</v>
      </c>
      <c r="J53" t="s">
        <v>1155</v>
      </c>
      <c r="K53" t="s">
        <v>69</v>
      </c>
      <c r="L53" t="s">
        <v>69</v>
      </c>
      <c r="M53" t="s">
        <v>73</v>
      </c>
      <c r="N53" t="s">
        <v>74</v>
      </c>
      <c r="O53" t="s">
        <v>69</v>
      </c>
      <c r="P53" t="s">
        <v>69</v>
      </c>
      <c r="Q53" t="s">
        <v>69</v>
      </c>
      <c r="R53" t="s">
        <v>69</v>
      </c>
      <c r="S53" t="s">
        <v>69</v>
      </c>
      <c r="T53" t="s">
        <v>1156</v>
      </c>
      <c r="U53" t="s">
        <v>1157</v>
      </c>
      <c r="V53" t="s">
        <v>1158</v>
      </c>
      <c r="W53" t="s">
        <v>1159</v>
      </c>
      <c r="X53" t="s">
        <v>1160</v>
      </c>
      <c r="Y53" t="s">
        <v>69</v>
      </c>
      <c r="Z53" t="s">
        <v>69</v>
      </c>
      <c r="AA53" t="s">
        <v>1161</v>
      </c>
      <c r="AB53" t="s">
        <v>69</v>
      </c>
      <c r="AC53" t="s">
        <v>69</v>
      </c>
      <c r="AD53" t="s">
        <v>69</v>
      </c>
      <c r="AE53">
        <v>104</v>
      </c>
      <c r="AF53">
        <v>0</v>
      </c>
      <c r="AG53">
        <v>0</v>
      </c>
      <c r="AH53">
        <v>0</v>
      </c>
      <c r="AI53">
        <v>3</v>
      </c>
      <c r="AJ53" t="s">
        <v>1162</v>
      </c>
      <c r="AK53" t="s">
        <v>1163</v>
      </c>
      <c r="AL53" t="s">
        <v>1164</v>
      </c>
      <c r="AM53" t="s">
        <v>1165</v>
      </c>
      <c r="AN53" t="s">
        <v>69</v>
      </c>
      <c r="AO53" t="s">
        <v>69</v>
      </c>
      <c r="AP53" t="s">
        <v>1166</v>
      </c>
      <c r="AQ53" t="s">
        <v>1167</v>
      </c>
      <c r="AR53" t="s">
        <v>69</v>
      </c>
      <c r="AS53">
        <v>2019</v>
      </c>
      <c r="AT53">
        <v>10</v>
      </c>
      <c r="AU53">
        <v>20</v>
      </c>
      <c r="AV53" t="s">
        <v>69</v>
      </c>
      <c r="AW53" t="s">
        <v>69</v>
      </c>
      <c r="AX53" t="s">
        <v>69</v>
      </c>
      <c r="AY53" t="s">
        <v>69</v>
      </c>
      <c r="AZ53">
        <v>125</v>
      </c>
      <c r="BA53">
        <v>137</v>
      </c>
      <c r="BB53" t="s">
        <v>69</v>
      </c>
      <c r="BC53" t="s">
        <v>1168</v>
      </c>
      <c r="BD53" t="s">
        <v>69</v>
      </c>
      <c r="BE53" t="s">
        <v>69</v>
      </c>
      <c r="BF53">
        <v>13</v>
      </c>
      <c r="BG53" t="s">
        <v>493</v>
      </c>
      <c r="BH53" t="s">
        <v>493</v>
      </c>
      <c r="BI53" t="s">
        <v>1169</v>
      </c>
      <c r="BJ53" t="s">
        <v>1170</v>
      </c>
      <c r="BK53" t="s">
        <v>69</v>
      </c>
      <c r="BL53" t="s">
        <v>94</v>
      </c>
      <c r="BM53" t="s">
        <v>69</v>
      </c>
      <c r="BN53" t="s">
        <v>69</v>
      </c>
      <c r="BO53" t="s">
        <v>95</v>
      </c>
      <c r="BP53" t="s">
        <v>69</v>
      </c>
    </row>
    <row r="54" spans="1:68" x14ac:dyDescent="0.15">
      <c r="A54" t="s">
        <v>67</v>
      </c>
      <c r="B54" t="s">
        <v>1171</v>
      </c>
      <c r="C54" t="s">
        <v>69</v>
      </c>
      <c r="D54" t="s">
        <v>69</v>
      </c>
      <c r="E54" t="s">
        <v>69</v>
      </c>
      <c r="F54" t="s">
        <v>1172</v>
      </c>
      <c r="G54" t="s">
        <v>69</v>
      </c>
      <c r="H54" t="s">
        <v>69</v>
      </c>
      <c r="I54" t="s">
        <v>1173</v>
      </c>
      <c r="J54" t="s">
        <v>1174</v>
      </c>
      <c r="K54" t="s">
        <v>69</v>
      </c>
      <c r="L54" t="s">
        <v>69</v>
      </c>
      <c r="M54" t="s">
        <v>73</v>
      </c>
      <c r="N54" t="s">
        <v>74</v>
      </c>
      <c r="O54" t="s">
        <v>69</v>
      </c>
      <c r="P54" t="s">
        <v>69</v>
      </c>
      <c r="Q54" t="s">
        <v>69</v>
      </c>
      <c r="R54" t="s">
        <v>69</v>
      </c>
      <c r="S54" t="s">
        <v>69</v>
      </c>
      <c r="T54" t="s">
        <v>1175</v>
      </c>
      <c r="U54" t="s">
        <v>1176</v>
      </c>
      <c r="V54" t="s">
        <v>1177</v>
      </c>
      <c r="W54" t="s">
        <v>1178</v>
      </c>
      <c r="X54" t="s">
        <v>1179</v>
      </c>
      <c r="Y54" t="s">
        <v>1180</v>
      </c>
      <c r="Z54" t="s">
        <v>69</v>
      </c>
      <c r="AA54" t="s">
        <v>69</v>
      </c>
      <c r="AB54" t="s">
        <v>1181</v>
      </c>
      <c r="AC54" t="s">
        <v>1182</v>
      </c>
      <c r="AD54" t="s">
        <v>69</v>
      </c>
      <c r="AE54">
        <v>75</v>
      </c>
      <c r="AF54">
        <v>6</v>
      </c>
      <c r="AG54">
        <v>6</v>
      </c>
      <c r="AH54">
        <v>1</v>
      </c>
      <c r="AI54">
        <v>1</v>
      </c>
      <c r="AJ54" t="s">
        <v>1183</v>
      </c>
      <c r="AK54" t="s">
        <v>1184</v>
      </c>
      <c r="AL54" t="s">
        <v>1185</v>
      </c>
      <c r="AM54" t="s">
        <v>1186</v>
      </c>
      <c r="AN54" t="s">
        <v>1187</v>
      </c>
      <c r="AO54" t="s">
        <v>69</v>
      </c>
      <c r="AP54" t="s">
        <v>1188</v>
      </c>
      <c r="AQ54" t="s">
        <v>1189</v>
      </c>
      <c r="AR54" t="s">
        <v>69</v>
      </c>
      <c r="AS54">
        <v>2019</v>
      </c>
      <c r="AT54">
        <v>89</v>
      </c>
      <c r="AU54">
        <v>6</v>
      </c>
      <c r="AV54" t="s">
        <v>69</v>
      </c>
      <c r="AW54" t="s">
        <v>69</v>
      </c>
      <c r="AX54" t="s">
        <v>69</v>
      </c>
      <c r="AY54" t="s">
        <v>69</v>
      </c>
      <c r="AZ54">
        <v>627</v>
      </c>
      <c r="BA54">
        <v>639</v>
      </c>
      <c r="BB54" t="s">
        <v>69</v>
      </c>
      <c r="BC54" t="s">
        <v>1190</v>
      </c>
      <c r="BD54" t="s">
        <v>69</v>
      </c>
      <c r="BE54" t="s">
        <v>69</v>
      </c>
      <c r="BF54">
        <v>13</v>
      </c>
      <c r="BG54" t="s">
        <v>1191</v>
      </c>
      <c r="BH54" t="s">
        <v>1191</v>
      </c>
      <c r="BI54" t="s">
        <v>1192</v>
      </c>
      <c r="BJ54" t="s">
        <v>1193</v>
      </c>
      <c r="BK54">
        <v>29461073</v>
      </c>
      <c r="BL54" t="s">
        <v>69</v>
      </c>
      <c r="BM54" t="s">
        <v>69</v>
      </c>
      <c r="BN54" t="s">
        <v>69</v>
      </c>
      <c r="BO54" t="s">
        <v>95</v>
      </c>
      <c r="BP54" t="s">
        <v>69</v>
      </c>
    </row>
    <row r="55" spans="1:68" x14ac:dyDescent="0.15">
      <c r="A55" t="s">
        <v>67</v>
      </c>
      <c r="B55" t="s">
        <v>1194</v>
      </c>
      <c r="C55" t="s">
        <v>69</v>
      </c>
      <c r="D55" t="s">
        <v>69</v>
      </c>
      <c r="E55" t="s">
        <v>69</v>
      </c>
      <c r="F55" t="s">
        <v>1195</v>
      </c>
      <c r="G55" t="s">
        <v>69</v>
      </c>
      <c r="H55" t="s">
        <v>69</v>
      </c>
      <c r="I55" t="s">
        <v>1196</v>
      </c>
      <c r="J55" t="s">
        <v>1197</v>
      </c>
      <c r="K55" t="s">
        <v>69</v>
      </c>
      <c r="L55" t="s">
        <v>69</v>
      </c>
      <c r="M55" t="s">
        <v>1198</v>
      </c>
      <c r="N55" t="s">
        <v>74</v>
      </c>
      <c r="O55" t="s">
        <v>69</v>
      </c>
      <c r="P55" t="s">
        <v>69</v>
      </c>
      <c r="Q55" t="s">
        <v>69</v>
      </c>
      <c r="R55" t="s">
        <v>69</v>
      </c>
      <c r="S55" t="s">
        <v>69</v>
      </c>
      <c r="T55" t="s">
        <v>1199</v>
      </c>
      <c r="U55" t="s">
        <v>1200</v>
      </c>
      <c r="V55" t="s">
        <v>1201</v>
      </c>
      <c r="W55" t="s">
        <v>1202</v>
      </c>
      <c r="X55" t="s">
        <v>1203</v>
      </c>
      <c r="Y55" t="s">
        <v>1204</v>
      </c>
      <c r="Z55" t="s">
        <v>69</v>
      </c>
      <c r="AA55" t="s">
        <v>1205</v>
      </c>
      <c r="AB55" t="s">
        <v>69</v>
      </c>
      <c r="AC55" t="s">
        <v>69</v>
      </c>
      <c r="AD55" t="s">
        <v>69</v>
      </c>
      <c r="AE55">
        <v>74</v>
      </c>
      <c r="AF55">
        <v>0</v>
      </c>
      <c r="AG55">
        <v>1</v>
      </c>
      <c r="AH55">
        <v>0</v>
      </c>
      <c r="AI55">
        <v>4</v>
      </c>
      <c r="AJ55" t="s">
        <v>1206</v>
      </c>
      <c r="AK55" t="s">
        <v>1207</v>
      </c>
      <c r="AL55" t="s">
        <v>1208</v>
      </c>
      <c r="AM55" t="s">
        <v>1209</v>
      </c>
      <c r="AN55" t="s">
        <v>69</v>
      </c>
      <c r="AO55" t="s">
        <v>69</v>
      </c>
      <c r="AP55" t="s">
        <v>1210</v>
      </c>
      <c r="AQ55" t="s">
        <v>1211</v>
      </c>
      <c r="AR55" t="s">
        <v>69</v>
      </c>
      <c r="AS55">
        <v>2019</v>
      </c>
      <c r="AT55">
        <v>53</v>
      </c>
      <c r="AU55">
        <v>4</v>
      </c>
      <c r="AV55" t="s">
        <v>69</v>
      </c>
      <c r="AW55" t="s">
        <v>69</v>
      </c>
      <c r="AX55" t="s">
        <v>69</v>
      </c>
      <c r="AY55" t="s">
        <v>69</v>
      </c>
      <c r="AZ55">
        <v>865</v>
      </c>
      <c r="BA55">
        <v>881</v>
      </c>
      <c r="BB55" t="s">
        <v>69</v>
      </c>
      <c r="BC55" t="s">
        <v>1212</v>
      </c>
      <c r="BD55" t="s">
        <v>69</v>
      </c>
      <c r="BE55" t="s">
        <v>69</v>
      </c>
      <c r="BF55">
        <v>17</v>
      </c>
      <c r="BG55" t="s">
        <v>1213</v>
      </c>
      <c r="BH55" t="s">
        <v>1213</v>
      </c>
      <c r="BI55" t="s">
        <v>1214</v>
      </c>
      <c r="BJ55" t="s">
        <v>1215</v>
      </c>
      <c r="BK55">
        <v>31760414</v>
      </c>
      <c r="BL55" t="s">
        <v>213</v>
      </c>
      <c r="BM55" t="s">
        <v>69</v>
      </c>
      <c r="BN55" t="s">
        <v>69</v>
      </c>
      <c r="BO55" t="s">
        <v>95</v>
      </c>
      <c r="BP55" t="s">
        <v>69</v>
      </c>
    </row>
    <row r="56" spans="1:68" x14ac:dyDescent="0.15">
      <c r="A56" t="s">
        <v>67</v>
      </c>
      <c r="B56" t="s">
        <v>1216</v>
      </c>
      <c r="C56" t="s">
        <v>69</v>
      </c>
      <c r="D56" t="s">
        <v>69</v>
      </c>
      <c r="E56" t="s">
        <v>69</v>
      </c>
      <c r="F56" t="s">
        <v>1217</v>
      </c>
      <c r="G56" t="s">
        <v>69</v>
      </c>
      <c r="H56" t="s">
        <v>69</v>
      </c>
      <c r="I56" t="s">
        <v>1218</v>
      </c>
      <c r="J56" t="s">
        <v>1219</v>
      </c>
      <c r="K56" t="s">
        <v>69</v>
      </c>
      <c r="L56" t="s">
        <v>69</v>
      </c>
      <c r="M56" t="s">
        <v>456</v>
      </c>
      <c r="N56" t="s">
        <v>74</v>
      </c>
      <c r="O56" t="s">
        <v>69</v>
      </c>
      <c r="P56" t="s">
        <v>69</v>
      </c>
      <c r="Q56" t="s">
        <v>69</v>
      </c>
      <c r="R56" t="s">
        <v>69</v>
      </c>
      <c r="S56" t="s">
        <v>69</v>
      </c>
      <c r="T56" t="s">
        <v>1220</v>
      </c>
      <c r="U56" t="s">
        <v>1221</v>
      </c>
      <c r="V56" t="s">
        <v>1222</v>
      </c>
      <c r="W56" t="s">
        <v>1223</v>
      </c>
      <c r="X56" t="s">
        <v>1224</v>
      </c>
      <c r="Y56" t="s">
        <v>1225</v>
      </c>
      <c r="Z56" t="s">
        <v>1226</v>
      </c>
      <c r="AA56" t="s">
        <v>69</v>
      </c>
      <c r="AB56" t="s">
        <v>69</v>
      </c>
      <c r="AC56" t="s">
        <v>69</v>
      </c>
      <c r="AD56" t="s">
        <v>69</v>
      </c>
      <c r="AE56">
        <v>94</v>
      </c>
      <c r="AF56">
        <v>0</v>
      </c>
      <c r="AG56">
        <v>0</v>
      </c>
      <c r="AH56">
        <v>1</v>
      </c>
      <c r="AI56">
        <v>4</v>
      </c>
      <c r="AJ56" t="s">
        <v>1227</v>
      </c>
      <c r="AK56" t="s">
        <v>1228</v>
      </c>
      <c r="AL56" t="s">
        <v>1229</v>
      </c>
      <c r="AM56" t="s">
        <v>1230</v>
      </c>
      <c r="AN56" t="s">
        <v>1231</v>
      </c>
      <c r="AO56" t="s">
        <v>69</v>
      </c>
      <c r="AP56" t="s">
        <v>1232</v>
      </c>
      <c r="AQ56" t="s">
        <v>1233</v>
      </c>
      <c r="AR56" t="s">
        <v>69</v>
      </c>
      <c r="AS56">
        <v>2019</v>
      </c>
      <c r="AT56">
        <v>46</v>
      </c>
      <c r="AU56">
        <v>84</v>
      </c>
      <c r="AV56" t="s">
        <v>69</v>
      </c>
      <c r="AW56" t="s">
        <v>69</v>
      </c>
      <c r="AX56" t="s">
        <v>69</v>
      </c>
      <c r="AY56" t="s">
        <v>69</v>
      </c>
      <c r="AZ56">
        <v>37</v>
      </c>
      <c r="BA56">
        <v>63</v>
      </c>
      <c r="BB56" t="s">
        <v>69</v>
      </c>
      <c r="BC56" t="s">
        <v>1234</v>
      </c>
      <c r="BD56" t="s">
        <v>69</v>
      </c>
      <c r="BE56" t="s">
        <v>69</v>
      </c>
      <c r="BF56">
        <v>27</v>
      </c>
      <c r="BG56" t="s">
        <v>1128</v>
      </c>
      <c r="BH56" t="s">
        <v>922</v>
      </c>
      <c r="BI56" t="s">
        <v>1235</v>
      </c>
      <c r="BJ56" t="s">
        <v>1236</v>
      </c>
      <c r="BK56" t="s">
        <v>69</v>
      </c>
      <c r="BL56" t="s">
        <v>336</v>
      </c>
      <c r="BM56" t="s">
        <v>69</v>
      </c>
      <c r="BN56" t="s">
        <v>69</v>
      </c>
      <c r="BO56" t="s">
        <v>95</v>
      </c>
      <c r="BP56" t="s">
        <v>69</v>
      </c>
    </row>
    <row r="57" spans="1:68" x14ac:dyDescent="0.15">
      <c r="A57" t="s">
        <v>67</v>
      </c>
      <c r="B57" t="s">
        <v>1237</v>
      </c>
      <c r="C57" t="s">
        <v>69</v>
      </c>
      <c r="D57" t="s">
        <v>69</v>
      </c>
      <c r="E57" t="s">
        <v>69</v>
      </c>
      <c r="F57" t="s">
        <v>1238</v>
      </c>
      <c r="G57" t="s">
        <v>69</v>
      </c>
      <c r="H57" t="s">
        <v>69</v>
      </c>
      <c r="I57" t="s">
        <v>1239</v>
      </c>
      <c r="J57" t="s">
        <v>1240</v>
      </c>
      <c r="K57" t="s">
        <v>69</v>
      </c>
      <c r="L57" t="s">
        <v>69</v>
      </c>
      <c r="M57" t="s">
        <v>73</v>
      </c>
      <c r="N57" t="s">
        <v>74</v>
      </c>
      <c r="O57" t="s">
        <v>69</v>
      </c>
      <c r="P57" t="s">
        <v>69</v>
      </c>
      <c r="Q57" t="s">
        <v>69</v>
      </c>
      <c r="R57" t="s">
        <v>69</v>
      </c>
      <c r="S57" t="s">
        <v>69</v>
      </c>
      <c r="T57" t="s">
        <v>1241</v>
      </c>
      <c r="U57" t="s">
        <v>1242</v>
      </c>
      <c r="V57" t="s">
        <v>1243</v>
      </c>
      <c r="W57" t="s">
        <v>1244</v>
      </c>
      <c r="X57" t="s">
        <v>1245</v>
      </c>
      <c r="Y57" t="s">
        <v>1246</v>
      </c>
      <c r="Z57" t="s">
        <v>1247</v>
      </c>
      <c r="AA57" t="s">
        <v>1248</v>
      </c>
      <c r="AB57" t="s">
        <v>1249</v>
      </c>
      <c r="AC57" t="s">
        <v>1250</v>
      </c>
      <c r="AD57" t="s">
        <v>69</v>
      </c>
      <c r="AE57">
        <v>52</v>
      </c>
      <c r="AF57">
        <v>6</v>
      </c>
      <c r="AG57">
        <v>6</v>
      </c>
      <c r="AH57">
        <v>0</v>
      </c>
      <c r="AI57">
        <v>1</v>
      </c>
      <c r="AJ57" t="s">
        <v>1251</v>
      </c>
      <c r="AK57" t="s">
        <v>156</v>
      </c>
      <c r="AL57" t="s">
        <v>1252</v>
      </c>
      <c r="AM57" t="s">
        <v>1253</v>
      </c>
      <c r="AN57" t="s">
        <v>1254</v>
      </c>
      <c r="AO57" t="s">
        <v>69</v>
      </c>
      <c r="AP57" t="s">
        <v>1255</v>
      </c>
      <c r="AQ57" t="s">
        <v>1256</v>
      </c>
      <c r="AR57" t="s">
        <v>685</v>
      </c>
      <c r="AS57">
        <v>2019</v>
      </c>
      <c r="AT57">
        <v>16</v>
      </c>
      <c r="AU57">
        <v>1</v>
      </c>
      <c r="AV57" t="s">
        <v>69</v>
      </c>
      <c r="AW57" t="s">
        <v>69</v>
      </c>
      <c r="AX57" t="s">
        <v>356</v>
      </c>
      <c r="AY57" t="s">
        <v>69</v>
      </c>
      <c r="AZ57">
        <v>45</v>
      </c>
      <c r="BA57">
        <v>59</v>
      </c>
      <c r="BB57" t="s">
        <v>69</v>
      </c>
      <c r="BC57" t="s">
        <v>1257</v>
      </c>
      <c r="BD57" t="s">
        <v>69</v>
      </c>
      <c r="BE57" t="s">
        <v>69</v>
      </c>
      <c r="BF57">
        <v>15</v>
      </c>
      <c r="BG57" t="s">
        <v>604</v>
      </c>
      <c r="BH57" t="s">
        <v>604</v>
      </c>
      <c r="BI57" t="s">
        <v>1258</v>
      </c>
      <c r="BJ57" t="s">
        <v>1259</v>
      </c>
      <c r="BK57" t="s">
        <v>69</v>
      </c>
      <c r="BL57" t="s">
        <v>1260</v>
      </c>
      <c r="BM57" t="s">
        <v>69</v>
      </c>
      <c r="BN57" t="s">
        <v>69</v>
      </c>
      <c r="BO57" t="s">
        <v>95</v>
      </c>
      <c r="BP57" t="s">
        <v>69</v>
      </c>
    </row>
    <row r="58" spans="1:68" x14ac:dyDescent="0.15">
      <c r="A58" t="s">
        <v>67</v>
      </c>
      <c r="B58" t="s">
        <v>1261</v>
      </c>
      <c r="C58" t="s">
        <v>69</v>
      </c>
      <c r="D58" t="s">
        <v>69</v>
      </c>
      <c r="E58" t="s">
        <v>69</v>
      </c>
      <c r="F58" t="s">
        <v>1262</v>
      </c>
      <c r="G58" t="s">
        <v>69</v>
      </c>
      <c r="H58" t="s">
        <v>69</v>
      </c>
      <c r="I58" t="s">
        <v>1263</v>
      </c>
      <c r="J58" t="s">
        <v>1264</v>
      </c>
      <c r="K58" t="s">
        <v>69</v>
      </c>
      <c r="L58" t="s">
        <v>69</v>
      </c>
      <c r="M58" t="s">
        <v>73</v>
      </c>
      <c r="N58" t="s">
        <v>74</v>
      </c>
      <c r="O58" t="s">
        <v>69</v>
      </c>
      <c r="P58" t="s">
        <v>69</v>
      </c>
      <c r="Q58" t="s">
        <v>69</v>
      </c>
      <c r="R58" t="s">
        <v>69</v>
      </c>
      <c r="S58" t="s">
        <v>69</v>
      </c>
      <c r="T58" t="s">
        <v>1265</v>
      </c>
      <c r="U58" t="s">
        <v>1266</v>
      </c>
      <c r="V58" t="s">
        <v>1267</v>
      </c>
      <c r="W58" t="s">
        <v>1268</v>
      </c>
      <c r="X58" t="s">
        <v>1269</v>
      </c>
      <c r="Y58" t="s">
        <v>1270</v>
      </c>
      <c r="Z58" t="s">
        <v>69</v>
      </c>
      <c r="AA58" t="s">
        <v>69</v>
      </c>
      <c r="AB58" t="s">
        <v>1271</v>
      </c>
      <c r="AC58" t="s">
        <v>1272</v>
      </c>
      <c r="AD58" t="s">
        <v>69</v>
      </c>
      <c r="AE58">
        <v>72</v>
      </c>
      <c r="AF58">
        <v>2</v>
      </c>
      <c r="AG58">
        <v>2</v>
      </c>
      <c r="AH58">
        <v>1</v>
      </c>
      <c r="AI58">
        <v>19</v>
      </c>
      <c r="AJ58" t="s">
        <v>572</v>
      </c>
      <c r="AK58" t="s">
        <v>573</v>
      </c>
      <c r="AL58" t="s">
        <v>636</v>
      </c>
      <c r="AM58" t="s">
        <v>1273</v>
      </c>
      <c r="AN58" t="s">
        <v>1274</v>
      </c>
      <c r="AO58" t="s">
        <v>69</v>
      </c>
      <c r="AP58" t="s">
        <v>1275</v>
      </c>
      <c r="AQ58" t="s">
        <v>1276</v>
      </c>
      <c r="AR58" t="s">
        <v>685</v>
      </c>
      <c r="AS58">
        <v>2019</v>
      </c>
      <c r="AT58">
        <v>32</v>
      </c>
      <c r="AU58">
        <v>1</v>
      </c>
      <c r="AV58" t="s">
        <v>69</v>
      </c>
      <c r="AW58" t="s">
        <v>69</v>
      </c>
      <c r="AX58" t="s">
        <v>69</v>
      </c>
      <c r="AY58" t="s">
        <v>69</v>
      </c>
      <c r="AZ58">
        <v>23</v>
      </c>
      <c r="BA58">
        <v>51</v>
      </c>
      <c r="BB58" t="s">
        <v>69</v>
      </c>
      <c r="BC58" t="s">
        <v>1277</v>
      </c>
      <c r="BD58" t="s">
        <v>69</v>
      </c>
      <c r="BE58" t="s">
        <v>69</v>
      </c>
      <c r="BF58">
        <v>29</v>
      </c>
      <c r="BG58" t="s">
        <v>1278</v>
      </c>
      <c r="BH58" t="s">
        <v>1279</v>
      </c>
      <c r="BI58" t="s">
        <v>1280</v>
      </c>
      <c r="BJ58" t="s">
        <v>1281</v>
      </c>
      <c r="BK58" t="s">
        <v>69</v>
      </c>
      <c r="BL58" t="s">
        <v>69</v>
      </c>
      <c r="BM58" t="s">
        <v>69</v>
      </c>
      <c r="BN58" t="s">
        <v>69</v>
      </c>
      <c r="BO58" t="s">
        <v>95</v>
      </c>
      <c r="BP58" t="s">
        <v>69</v>
      </c>
    </row>
    <row r="59" spans="1:68" x14ac:dyDescent="0.15">
      <c r="A59" t="s">
        <v>67</v>
      </c>
      <c r="B59" t="s">
        <v>1282</v>
      </c>
      <c r="C59" t="s">
        <v>69</v>
      </c>
      <c r="D59" t="s">
        <v>69</v>
      </c>
      <c r="E59" t="s">
        <v>69</v>
      </c>
      <c r="F59" t="s">
        <v>1283</v>
      </c>
      <c r="G59" t="s">
        <v>69</v>
      </c>
      <c r="H59" t="s">
        <v>69</v>
      </c>
      <c r="I59" t="s">
        <v>1284</v>
      </c>
      <c r="J59" t="s">
        <v>1285</v>
      </c>
      <c r="K59" t="s">
        <v>69</v>
      </c>
      <c r="L59" t="s">
        <v>69</v>
      </c>
      <c r="M59" t="s">
        <v>73</v>
      </c>
      <c r="N59" t="s">
        <v>74</v>
      </c>
      <c r="O59" t="s">
        <v>69</v>
      </c>
      <c r="P59" t="s">
        <v>69</v>
      </c>
      <c r="Q59" t="s">
        <v>69</v>
      </c>
      <c r="R59" t="s">
        <v>69</v>
      </c>
      <c r="S59" t="s">
        <v>69</v>
      </c>
      <c r="T59" t="s">
        <v>69</v>
      </c>
      <c r="U59" t="s">
        <v>1286</v>
      </c>
      <c r="V59" t="s">
        <v>1287</v>
      </c>
      <c r="W59" t="s">
        <v>1288</v>
      </c>
      <c r="X59" t="s">
        <v>1289</v>
      </c>
      <c r="Y59" t="s">
        <v>1290</v>
      </c>
      <c r="Z59" t="s">
        <v>1291</v>
      </c>
      <c r="AA59" t="s">
        <v>1292</v>
      </c>
      <c r="AB59" t="s">
        <v>69</v>
      </c>
      <c r="AC59" t="s">
        <v>69</v>
      </c>
      <c r="AD59" t="s">
        <v>69</v>
      </c>
      <c r="AE59">
        <v>95</v>
      </c>
      <c r="AF59">
        <v>16</v>
      </c>
      <c r="AG59">
        <v>16</v>
      </c>
      <c r="AH59">
        <v>0</v>
      </c>
      <c r="AI59">
        <v>14</v>
      </c>
      <c r="AJ59" t="s">
        <v>223</v>
      </c>
      <c r="AK59" t="s">
        <v>224</v>
      </c>
      <c r="AL59" t="s">
        <v>225</v>
      </c>
      <c r="AM59" t="s">
        <v>1293</v>
      </c>
      <c r="AN59" t="s">
        <v>1294</v>
      </c>
      <c r="AO59" t="s">
        <v>69</v>
      </c>
      <c r="AP59" t="s">
        <v>1295</v>
      </c>
      <c r="AQ59" t="s">
        <v>1296</v>
      </c>
      <c r="AR59" t="s">
        <v>355</v>
      </c>
      <c r="AS59">
        <v>2018</v>
      </c>
      <c r="AT59">
        <v>74</v>
      </c>
      <c r="AU59">
        <v>4</v>
      </c>
      <c r="AV59" t="s">
        <v>69</v>
      </c>
      <c r="AW59" t="s">
        <v>69</v>
      </c>
      <c r="AX59" t="s">
        <v>356</v>
      </c>
      <c r="AY59" t="s">
        <v>69</v>
      </c>
      <c r="AZ59">
        <v>833</v>
      </c>
      <c r="BA59">
        <v>855</v>
      </c>
      <c r="BB59" t="s">
        <v>69</v>
      </c>
      <c r="BC59" t="s">
        <v>1297</v>
      </c>
      <c r="BD59" t="s">
        <v>69</v>
      </c>
      <c r="BE59" t="s">
        <v>69</v>
      </c>
      <c r="BF59">
        <v>23</v>
      </c>
      <c r="BG59" t="s">
        <v>1298</v>
      </c>
      <c r="BH59" t="s">
        <v>1299</v>
      </c>
      <c r="BI59" t="s">
        <v>1300</v>
      </c>
      <c r="BJ59" t="s">
        <v>1301</v>
      </c>
      <c r="BK59" t="s">
        <v>69</v>
      </c>
      <c r="BL59" t="s">
        <v>69</v>
      </c>
      <c r="BM59" t="s">
        <v>69</v>
      </c>
      <c r="BN59" t="s">
        <v>69</v>
      </c>
      <c r="BO59" t="s">
        <v>95</v>
      </c>
      <c r="BP59" t="s">
        <v>69</v>
      </c>
    </row>
    <row r="60" spans="1:68" x14ac:dyDescent="0.15">
      <c r="A60" t="s">
        <v>67</v>
      </c>
      <c r="B60" t="s">
        <v>1302</v>
      </c>
      <c r="C60" t="s">
        <v>69</v>
      </c>
      <c r="D60" t="s">
        <v>69</v>
      </c>
      <c r="E60" t="s">
        <v>69</v>
      </c>
      <c r="F60" t="s">
        <v>1303</v>
      </c>
      <c r="G60" t="s">
        <v>69</v>
      </c>
      <c r="H60" t="s">
        <v>69</v>
      </c>
      <c r="I60" t="s">
        <v>1304</v>
      </c>
      <c r="J60" t="s">
        <v>1305</v>
      </c>
      <c r="K60" t="s">
        <v>69</v>
      </c>
      <c r="L60" t="s">
        <v>69</v>
      </c>
      <c r="M60" t="s">
        <v>73</v>
      </c>
      <c r="N60" t="s">
        <v>74</v>
      </c>
      <c r="O60" t="s">
        <v>69</v>
      </c>
      <c r="P60" t="s">
        <v>69</v>
      </c>
      <c r="Q60" t="s">
        <v>69</v>
      </c>
      <c r="R60" t="s">
        <v>69</v>
      </c>
      <c r="S60" t="s">
        <v>69</v>
      </c>
      <c r="T60" t="s">
        <v>1306</v>
      </c>
      <c r="U60" t="s">
        <v>1307</v>
      </c>
      <c r="V60" t="s">
        <v>1308</v>
      </c>
      <c r="W60" t="s">
        <v>1309</v>
      </c>
      <c r="X60" t="s">
        <v>1310</v>
      </c>
      <c r="Y60" t="s">
        <v>1311</v>
      </c>
      <c r="Z60" t="s">
        <v>69</v>
      </c>
      <c r="AA60" t="s">
        <v>1312</v>
      </c>
      <c r="AB60" t="s">
        <v>69</v>
      </c>
      <c r="AC60" t="s">
        <v>69</v>
      </c>
      <c r="AD60" t="s">
        <v>69</v>
      </c>
      <c r="AE60">
        <v>66</v>
      </c>
      <c r="AF60">
        <v>10</v>
      </c>
      <c r="AG60">
        <v>10</v>
      </c>
      <c r="AH60">
        <v>1</v>
      </c>
      <c r="AI60">
        <v>16</v>
      </c>
      <c r="AJ60" t="s">
        <v>108</v>
      </c>
      <c r="AK60" t="s">
        <v>109</v>
      </c>
      <c r="AL60" t="s">
        <v>110</v>
      </c>
      <c r="AM60" t="s">
        <v>1313</v>
      </c>
      <c r="AN60" t="s">
        <v>1314</v>
      </c>
      <c r="AO60" t="s">
        <v>69</v>
      </c>
      <c r="AP60" t="s">
        <v>1315</v>
      </c>
      <c r="AQ60" t="s">
        <v>1316</v>
      </c>
      <c r="AR60" t="s">
        <v>1317</v>
      </c>
      <c r="AS60">
        <v>2018</v>
      </c>
      <c r="AT60">
        <v>24</v>
      </c>
      <c r="AU60">
        <v>8</v>
      </c>
      <c r="AV60" t="s">
        <v>69</v>
      </c>
      <c r="AW60" t="s">
        <v>69</v>
      </c>
      <c r="AX60" t="s">
        <v>69</v>
      </c>
      <c r="AY60" t="s">
        <v>69</v>
      </c>
      <c r="AZ60">
        <v>960</v>
      </c>
      <c r="BA60">
        <v>981</v>
      </c>
      <c r="BB60" t="s">
        <v>69</v>
      </c>
      <c r="BC60" t="s">
        <v>1318</v>
      </c>
      <c r="BD60" t="s">
        <v>69</v>
      </c>
      <c r="BE60" t="s">
        <v>69</v>
      </c>
      <c r="BF60">
        <v>22</v>
      </c>
      <c r="BG60" t="s">
        <v>850</v>
      </c>
      <c r="BH60" t="s">
        <v>232</v>
      </c>
      <c r="BI60" t="s">
        <v>1319</v>
      </c>
      <c r="BJ60" t="s">
        <v>1320</v>
      </c>
      <c r="BK60" t="s">
        <v>69</v>
      </c>
      <c r="BL60" t="s">
        <v>69</v>
      </c>
      <c r="BM60" t="s">
        <v>69</v>
      </c>
      <c r="BN60" t="s">
        <v>69</v>
      </c>
      <c r="BO60" t="s">
        <v>95</v>
      </c>
      <c r="BP60" t="s">
        <v>69</v>
      </c>
    </row>
    <row r="61" spans="1:68" x14ac:dyDescent="0.15">
      <c r="A61" t="s">
        <v>67</v>
      </c>
      <c r="B61" t="s">
        <v>1321</v>
      </c>
      <c r="C61" t="s">
        <v>69</v>
      </c>
      <c r="D61" t="s">
        <v>69</v>
      </c>
      <c r="E61" t="s">
        <v>69</v>
      </c>
      <c r="F61" t="s">
        <v>1322</v>
      </c>
      <c r="G61" t="s">
        <v>69</v>
      </c>
      <c r="H61" t="s">
        <v>69</v>
      </c>
      <c r="I61" t="s">
        <v>1323</v>
      </c>
      <c r="J61" t="s">
        <v>1324</v>
      </c>
      <c r="K61" t="s">
        <v>69</v>
      </c>
      <c r="L61" t="s">
        <v>69</v>
      </c>
      <c r="M61" t="s">
        <v>73</v>
      </c>
      <c r="N61" t="s">
        <v>318</v>
      </c>
      <c r="O61" t="s">
        <v>69</v>
      </c>
      <c r="P61" t="s">
        <v>69</v>
      </c>
      <c r="Q61" t="s">
        <v>69</v>
      </c>
      <c r="R61" t="s">
        <v>69</v>
      </c>
      <c r="S61" t="s">
        <v>69</v>
      </c>
      <c r="T61" t="s">
        <v>1325</v>
      </c>
      <c r="U61" t="s">
        <v>1326</v>
      </c>
      <c r="V61" t="s">
        <v>1327</v>
      </c>
      <c r="W61" t="s">
        <v>1328</v>
      </c>
      <c r="X61" t="s">
        <v>1329</v>
      </c>
      <c r="Y61" t="s">
        <v>1330</v>
      </c>
      <c r="Z61" t="s">
        <v>69</v>
      </c>
      <c r="AA61" t="s">
        <v>69</v>
      </c>
      <c r="AB61" t="s">
        <v>69</v>
      </c>
      <c r="AC61" t="s">
        <v>69</v>
      </c>
      <c r="AD61" t="s">
        <v>69</v>
      </c>
      <c r="AE61">
        <v>144</v>
      </c>
      <c r="AF61">
        <v>11</v>
      </c>
      <c r="AG61">
        <v>11</v>
      </c>
      <c r="AH61">
        <v>0</v>
      </c>
      <c r="AI61">
        <v>7</v>
      </c>
      <c r="AJ61" t="s">
        <v>701</v>
      </c>
      <c r="AK61" t="s">
        <v>702</v>
      </c>
      <c r="AL61" t="s">
        <v>703</v>
      </c>
      <c r="AM61" t="s">
        <v>1331</v>
      </c>
      <c r="AN61" t="s">
        <v>1332</v>
      </c>
      <c r="AO61" t="s">
        <v>69</v>
      </c>
      <c r="AP61" t="s">
        <v>1333</v>
      </c>
      <c r="AQ61" t="s">
        <v>1334</v>
      </c>
      <c r="AR61" t="s">
        <v>1317</v>
      </c>
      <c r="AS61">
        <v>2018</v>
      </c>
      <c r="AT61">
        <v>32</v>
      </c>
      <c r="AU61">
        <v>8</v>
      </c>
      <c r="AV61" t="s">
        <v>69</v>
      </c>
      <c r="AW61" t="s">
        <v>69</v>
      </c>
      <c r="AX61" t="s">
        <v>69</v>
      </c>
      <c r="AY61" t="s">
        <v>69</v>
      </c>
      <c r="AZ61">
        <v>1356</v>
      </c>
      <c r="BA61">
        <v>1392</v>
      </c>
      <c r="BB61" t="s">
        <v>69</v>
      </c>
      <c r="BC61" t="s">
        <v>1335</v>
      </c>
      <c r="BD61" t="s">
        <v>69</v>
      </c>
      <c r="BE61" t="s">
        <v>69</v>
      </c>
      <c r="BF61">
        <v>37</v>
      </c>
      <c r="BG61" t="s">
        <v>1336</v>
      </c>
      <c r="BH61" t="s">
        <v>1337</v>
      </c>
      <c r="BI61" t="s">
        <v>1338</v>
      </c>
      <c r="BJ61" t="s">
        <v>1339</v>
      </c>
      <c r="BK61">
        <v>29463175</v>
      </c>
      <c r="BL61" t="s">
        <v>69</v>
      </c>
      <c r="BM61" t="s">
        <v>69</v>
      </c>
      <c r="BN61" t="s">
        <v>69</v>
      </c>
      <c r="BO61" t="s">
        <v>95</v>
      </c>
      <c r="BP61" t="s">
        <v>69</v>
      </c>
    </row>
    <row r="62" spans="1:68" x14ac:dyDescent="0.15">
      <c r="A62" t="s">
        <v>67</v>
      </c>
      <c r="B62" t="s">
        <v>1340</v>
      </c>
      <c r="C62" t="s">
        <v>69</v>
      </c>
      <c r="D62" t="s">
        <v>69</v>
      </c>
      <c r="E62" t="s">
        <v>69</v>
      </c>
      <c r="F62" t="s">
        <v>1341</v>
      </c>
      <c r="G62" t="s">
        <v>69</v>
      </c>
      <c r="H62" t="s">
        <v>69</v>
      </c>
      <c r="I62" t="s">
        <v>1342</v>
      </c>
      <c r="J62" t="s">
        <v>1343</v>
      </c>
      <c r="K62" t="s">
        <v>69</v>
      </c>
      <c r="L62" t="s">
        <v>69</v>
      </c>
      <c r="M62" t="s">
        <v>73</v>
      </c>
      <c r="N62" t="s">
        <v>74</v>
      </c>
      <c r="O62" t="s">
        <v>69</v>
      </c>
      <c r="P62" t="s">
        <v>69</v>
      </c>
      <c r="Q62" t="s">
        <v>69</v>
      </c>
      <c r="R62" t="s">
        <v>69</v>
      </c>
      <c r="S62" t="s">
        <v>69</v>
      </c>
      <c r="T62" t="s">
        <v>1344</v>
      </c>
      <c r="U62" t="s">
        <v>1345</v>
      </c>
      <c r="V62" t="s">
        <v>1346</v>
      </c>
      <c r="W62" t="s">
        <v>1347</v>
      </c>
      <c r="X62" t="s">
        <v>1348</v>
      </c>
      <c r="Y62" t="s">
        <v>1349</v>
      </c>
      <c r="Z62" t="s">
        <v>69</v>
      </c>
      <c r="AA62" t="s">
        <v>69</v>
      </c>
      <c r="AB62" t="s">
        <v>1350</v>
      </c>
      <c r="AC62" t="s">
        <v>1351</v>
      </c>
      <c r="AD62" t="s">
        <v>69</v>
      </c>
      <c r="AE62">
        <v>56</v>
      </c>
      <c r="AF62">
        <v>1</v>
      </c>
      <c r="AG62">
        <v>1</v>
      </c>
      <c r="AH62">
        <v>2</v>
      </c>
      <c r="AI62">
        <v>28</v>
      </c>
      <c r="AJ62" t="s">
        <v>771</v>
      </c>
      <c r="AK62" t="s">
        <v>772</v>
      </c>
      <c r="AL62" t="s">
        <v>773</v>
      </c>
      <c r="AM62" t="s">
        <v>1352</v>
      </c>
      <c r="AN62" t="s">
        <v>1353</v>
      </c>
      <c r="AO62" t="s">
        <v>69</v>
      </c>
      <c r="AP62" t="s">
        <v>1354</v>
      </c>
      <c r="AQ62" t="s">
        <v>1355</v>
      </c>
      <c r="AR62" t="s">
        <v>731</v>
      </c>
      <c r="AS62">
        <v>2018</v>
      </c>
      <c r="AT62">
        <v>94</v>
      </c>
      <c r="AU62" t="s">
        <v>69</v>
      </c>
      <c r="AV62" t="s">
        <v>69</v>
      </c>
      <c r="AW62" t="s">
        <v>69</v>
      </c>
      <c r="AX62" t="s">
        <v>69</v>
      </c>
      <c r="AY62" t="s">
        <v>69</v>
      </c>
      <c r="AZ62">
        <v>105</v>
      </c>
      <c r="BA62">
        <v>114</v>
      </c>
      <c r="BB62" t="s">
        <v>69</v>
      </c>
      <c r="BC62" t="s">
        <v>1356</v>
      </c>
      <c r="BD62" t="s">
        <v>69</v>
      </c>
      <c r="BE62" t="s">
        <v>69</v>
      </c>
      <c r="BF62">
        <v>10</v>
      </c>
      <c r="BG62" t="s">
        <v>1357</v>
      </c>
      <c r="BH62" t="s">
        <v>1357</v>
      </c>
      <c r="BI62" t="s">
        <v>1358</v>
      </c>
      <c r="BJ62" t="s">
        <v>1359</v>
      </c>
      <c r="BK62" t="s">
        <v>69</v>
      </c>
      <c r="BL62" t="s">
        <v>69</v>
      </c>
      <c r="BM62" t="s">
        <v>69</v>
      </c>
      <c r="BN62" t="s">
        <v>69</v>
      </c>
      <c r="BO62" t="s">
        <v>95</v>
      </c>
      <c r="BP62" t="s">
        <v>69</v>
      </c>
    </row>
    <row r="63" spans="1:68" x14ac:dyDescent="0.15">
      <c r="A63" t="s">
        <v>67</v>
      </c>
      <c r="B63" t="s">
        <v>1360</v>
      </c>
      <c r="C63" t="s">
        <v>69</v>
      </c>
      <c r="D63" t="s">
        <v>69</v>
      </c>
      <c r="E63" t="s">
        <v>69</v>
      </c>
      <c r="F63" t="s">
        <v>1361</v>
      </c>
      <c r="G63" t="s">
        <v>69</v>
      </c>
      <c r="H63" t="s">
        <v>69</v>
      </c>
      <c r="I63" t="s">
        <v>1362</v>
      </c>
      <c r="J63" t="s">
        <v>1363</v>
      </c>
      <c r="K63" t="s">
        <v>69</v>
      </c>
      <c r="L63" t="s">
        <v>69</v>
      </c>
      <c r="M63" t="s">
        <v>73</v>
      </c>
      <c r="N63" t="s">
        <v>318</v>
      </c>
      <c r="O63" t="s">
        <v>69</v>
      </c>
      <c r="P63" t="s">
        <v>69</v>
      </c>
      <c r="Q63" t="s">
        <v>69</v>
      </c>
      <c r="R63" t="s">
        <v>69</v>
      </c>
      <c r="S63" t="s">
        <v>69</v>
      </c>
      <c r="T63" t="s">
        <v>1364</v>
      </c>
      <c r="U63" t="s">
        <v>1365</v>
      </c>
      <c r="V63" t="s">
        <v>1366</v>
      </c>
      <c r="W63" t="s">
        <v>1367</v>
      </c>
      <c r="X63" t="s">
        <v>1368</v>
      </c>
      <c r="Y63" t="s">
        <v>1369</v>
      </c>
      <c r="Z63" t="s">
        <v>69</v>
      </c>
      <c r="AA63" t="s">
        <v>69</v>
      </c>
      <c r="AB63" t="s">
        <v>69</v>
      </c>
      <c r="AC63" t="s">
        <v>69</v>
      </c>
      <c r="AD63" t="s">
        <v>69</v>
      </c>
      <c r="AE63">
        <v>66</v>
      </c>
      <c r="AF63">
        <v>6</v>
      </c>
      <c r="AG63">
        <v>6</v>
      </c>
      <c r="AH63">
        <v>1</v>
      </c>
      <c r="AI63">
        <v>14</v>
      </c>
      <c r="AJ63" t="s">
        <v>953</v>
      </c>
      <c r="AK63" t="s">
        <v>954</v>
      </c>
      <c r="AL63" t="s">
        <v>955</v>
      </c>
      <c r="AM63" t="s">
        <v>1370</v>
      </c>
      <c r="AN63" t="s">
        <v>1371</v>
      </c>
      <c r="AO63" t="s">
        <v>69</v>
      </c>
      <c r="AP63" t="s">
        <v>1372</v>
      </c>
      <c r="AQ63" t="s">
        <v>1373</v>
      </c>
      <c r="AR63" t="s">
        <v>1374</v>
      </c>
      <c r="AS63">
        <v>2018</v>
      </c>
      <c r="AT63">
        <v>131</v>
      </c>
      <c r="AU63" t="s">
        <v>69</v>
      </c>
      <c r="AV63" t="s">
        <v>69</v>
      </c>
      <c r="AW63" t="s">
        <v>69</v>
      </c>
      <c r="AX63" t="s">
        <v>356</v>
      </c>
      <c r="AY63" t="s">
        <v>69</v>
      </c>
      <c r="AZ63">
        <v>24</v>
      </c>
      <c r="BA63">
        <v>29</v>
      </c>
      <c r="BB63" t="s">
        <v>69</v>
      </c>
      <c r="BC63" t="s">
        <v>1375</v>
      </c>
      <c r="BD63" t="s">
        <v>69</v>
      </c>
      <c r="BE63" t="s">
        <v>69</v>
      </c>
      <c r="BF63">
        <v>6</v>
      </c>
      <c r="BG63" t="s">
        <v>1376</v>
      </c>
      <c r="BH63" t="s">
        <v>1377</v>
      </c>
      <c r="BI63" t="s">
        <v>1378</v>
      </c>
      <c r="BJ63" t="s">
        <v>1379</v>
      </c>
      <c r="BK63">
        <v>29627583</v>
      </c>
      <c r="BL63" t="s">
        <v>69</v>
      </c>
      <c r="BM63" t="s">
        <v>69</v>
      </c>
      <c r="BN63" t="s">
        <v>69</v>
      </c>
      <c r="BO63" t="s">
        <v>95</v>
      </c>
      <c r="BP63" t="s">
        <v>69</v>
      </c>
    </row>
    <row r="64" spans="1:68" x14ac:dyDescent="0.15">
      <c r="A64" t="s">
        <v>67</v>
      </c>
      <c r="B64" t="s">
        <v>1380</v>
      </c>
      <c r="C64" t="s">
        <v>69</v>
      </c>
      <c r="D64" t="s">
        <v>69</v>
      </c>
      <c r="E64" t="s">
        <v>69</v>
      </c>
      <c r="F64" t="s">
        <v>1381</v>
      </c>
      <c r="G64" t="s">
        <v>69</v>
      </c>
      <c r="H64" t="s">
        <v>69</v>
      </c>
      <c r="I64" t="s">
        <v>1382</v>
      </c>
      <c r="J64" t="s">
        <v>1383</v>
      </c>
      <c r="K64" t="s">
        <v>69</v>
      </c>
      <c r="L64" t="s">
        <v>69</v>
      </c>
      <c r="M64" t="s">
        <v>73</v>
      </c>
      <c r="N64" t="s">
        <v>318</v>
      </c>
      <c r="O64" t="s">
        <v>69</v>
      </c>
      <c r="P64" t="s">
        <v>69</v>
      </c>
      <c r="Q64" t="s">
        <v>69</v>
      </c>
      <c r="R64" t="s">
        <v>69</v>
      </c>
      <c r="S64" t="s">
        <v>69</v>
      </c>
      <c r="T64" t="s">
        <v>1384</v>
      </c>
      <c r="U64" t="s">
        <v>1385</v>
      </c>
      <c r="V64" t="s">
        <v>1386</v>
      </c>
      <c r="W64" t="s">
        <v>1387</v>
      </c>
      <c r="X64" t="s">
        <v>1388</v>
      </c>
      <c r="Y64" t="s">
        <v>1389</v>
      </c>
      <c r="Z64" t="s">
        <v>1390</v>
      </c>
      <c r="AA64" t="s">
        <v>1391</v>
      </c>
      <c r="AB64" t="s">
        <v>1392</v>
      </c>
      <c r="AC64" t="s">
        <v>69</v>
      </c>
      <c r="AD64" t="s">
        <v>69</v>
      </c>
      <c r="AE64">
        <v>63</v>
      </c>
      <c r="AF64">
        <v>5</v>
      </c>
      <c r="AG64">
        <v>5</v>
      </c>
      <c r="AH64">
        <v>2</v>
      </c>
      <c r="AI64">
        <v>5</v>
      </c>
      <c r="AJ64" t="s">
        <v>82</v>
      </c>
      <c r="AK64" t="s">
        <v>83</v>
      </c>
      <c r="AL64" t="s">
        <v>84</v>
      </c>
      <c r="AM64" t="s">
        <v>69</v>
      </c>
      <c r="AN64" t="s">
        <v>1393</v>
      </c>
      <c r="AO64" t="s">
        <v>69</v>
      </c>
      <c r="AP64" t="s">
        <v>1383</v>
      </c>
      <c r="AQ64" t="s">
        <v>1394</v>
      </c>
      <c r="AR64" t="s">
        <v>490</v>
      </c>
      <c r="AS64">
        <v>2018</v>
      </c>
      <c r="AT64">
        <v>10</v>
      </c>
      <c r="AU64">
        <v>8</v>
      </c>
      <c r="AV64" t="s">
        <v>69</v>
      </c>
      <c r="AW64" t="s">
        <v>69</v>
      </c>
      <c r="AX64" t="s">
        <v>69</v>
      </c>
      <c r="AY64" t="s">
        <v>69</v>
      </c>
      <c r="AZ64" t="s">
        <v>69</v>
      </c>
      <c r="BA64" t="s">
        <v>69</v>
      </c>
      <c r="BB64">
        <v>1017</v>
      </c>
      <c r="BC64" t="s">
        <v>1395</v>
      </c>
      <c r="BD64" t="s">
        <v>69</v>
      </c>
      <c r="BE64" t="s">
        <v>69</v>
      </c>
      <c r="BF64">
        <v>24</v>
      </c>
      <c r="BG64" t="s">
        <v>1396</v>
      </c>
      <c r="BH64" t="s">
        <v>1396</v>
      </c>
      <c r="BI64" t="s">
        <v>1397</v>
      </c>
      <c r="BJ64" t="s">
        <v>1398</v>
      </c>
      <c r="BK64">
        <v>30081522</v>
      </c>
      <c r="BL64" t="s">
        <v>1399</v>
      </c>
      <c r="BM64" t="s">
        <v>69</v>
      </c>
      <c r="BN64" t="s">
        <v>69</v>
      </c>
      <c r="BO64" t="s">
        <v>95</v>
      </c>
      <c r="BP64" t="s">
        <v>69</v>
      </c>
    </row>
    <row r="65" spans="1:68" x14ac:dyDescent="0.15">
      <c r="A65" t="s">
        <v>67</v>
      </c>
      <c r="B65" t="s">
        <v>1400</v>
      </c>
      <c r="C65" t="s">
        <v>69</v>
      </c>
      <c r="D65" t="s">
        <v>69</v>
      </c>
      <c r="E65" t="s">
        <v>69</v>
      </c>
      <c r="F65" t="s">
        <v>1401</v>
      </c>
      <c r="G65" t="s">
        <v>69</v>
      </c>
      <c r="H65" t="s">
        <v>69</v>
      </c>
      <c r="I65" t="s">
        <v>1402</v>
      </c>
      <c r="J65" t="s">
        <v>1403</v>
      </c>
      <c r="K65" t="s">
        <v>69</v>
      </c>
      <c r="L65" t="s">
        <v>69</v>
      </c>
      <c r="M65" t="s">
        <v>73</v>
      </c>
      <c r="N65" t="s">
        <v>318</v>
      </c>
      <c r="O65" t="s">
        <v>69</v>
      </c>
      <c r="P65" t="s">
        <v>69</v>
      </c>
      <c r="Q65" t="s">
        <v>69</v>
      </c>
      <c r="R65" t="s">
        <v>69</v>
      </c>
      <c r="S65" t="s">
        <v>69</v>
      </c>
      <c r="T65" t="s">
        <v>1404</v>
      </c>
      <c r="U65" t="s">
        <v>1405</v>
      </c>
      <c r="V65" t="s">
        <v>1406</v>
      </c>
      <c r="W65" t="s">
        <v>1407</v>
      </c>
      <c r="X65" t="s">
        <v>1408</v>
      </c>
      <c r="Y65" t="s">
        <v>1409</v>
      </c>
      <c r="Z65" t="s">
        <v>1410</v>
      </c>
      <c r="AA65" t="s">
        <v>1411</v>
      </c>
      <c r="AB65" t="s">
        <v>1412</v>
      </c>
      <c r="AC65" t="s">
        <v>1413</v>
      </c>
      <c r="AD65" t="s">
        <v>69</v>
      </c>
      <c r="AE65">
        <v>60</v>
      </c>
      <c r="AF65">
        <v>8</v>
      </c>
      <c r="AG65">
        <v>8</v>
      </c>
      <c r="AH65">
        <v>0</v>
      </c>
      <c r="AI65">
        <v>17</v>
      </c>
      <c r="AJ65" t="s">
        <v>1414</v>
      </c>
      <c r="AK65" t="s">
        <v>156</v>
      </c>
      <c r="AL65" t="s">
        <v>1415</v>
      </c>
      <c r="AM65" t="s">
        <v>1416</v>
      </c>
      <c r="AN65" t="s">
        <v>69</v>
      </c>
      <c r="AO65" t="s">
        <v>69</v>
      </c>
      <c r="AP65" t="s">
        <v>1417</v>
      </c>
      <c r="AQ65" t="s">
        <v>1418</v>
      </c>
      <c r="AR65" t="s">
        <v>1419</v>
      </c>
      <c r="AS65">
        <v>2018</v>
      </c>
      <c r="AT65">
        <v>16</v>
      </c>
      <c r="AU65" t="s">
        <v>69</v>
      </c>
      <c r="AV65" t="s">
        <v>69</v>
      </c>
      <c r="AW65" t="s">
        <v>69</v>
      </c>
      <c r="AX65" t="s">
        <v>69</v>
      </c>
      <c r="AY65" t="s">
        <v>69</v>
      </c>
      <c r="AZ65" t="s">
        <v>69</v>
      </c>
      <c r="BA65" t="s">
        <v>69</v>
      </c>
      <c r="BB65" t="s">
        <v>69</v>
      </c>
      <c r="BC65" t="s">
        <v>1420</v>
      </c>
      <c r="BD65" t="s">
        <v>69</v>
      </c>
      <c r="BE65" t="s">
        <v>69</v>
      </c>
      <c r="BF65">
        <v>13</v>
      </c>
      <c r="BG65" t="s">
        <v>1421</v>
      </c>
      <c r="BH65" t="s">
        <v>1422</v>
      </c>
      <c r="BI65" t="s">
        <v>1423</v>
      </c>
      <c r="BJ65" t="s">
        <v>1424</v>
      </c>
      <c r="BK65">
        <v>29945616</v>
      </c>
      <c r="BL65" t="s">
        <v>336</v>
      </c>
      <c r="BM65" t="s">
        <v>69</v>
      </c>
      <c r="BN65" t="s">
        <v>69</v>
      </c>
      <c r="BO65" t="s">
        <v>95</v>
      </c>
      <c r="BP65" t="s">
        <v>69</v>
      </c>
    </row>
    <row r="66" spans="1:68" x14ac:dyDescent="0.15">
      <c r="A66" t="s">
        <v>67</v>
      </c>
      <c r="B66" t="s">
        <v>1425</v>
      </c>
      <c r="C66" t="s">
        <v>69</v>
      </c>
      <c r="D66" t="s">
        <v>69</v>
      </c>
      <c r="E66" t="s">
        <v>69</v>
      </c>
      <c r="F66" t="s">
        <v>1426</v>
      </c>
      <c r="G66" t="s">
        <v>69</v>
      </c>
      <c r="H66" t="s">
        <v>69</v>
      </c>
      <c r="I66" t="s">
        <v>1427</v>
      </c>
      <c r="J66" t="s">
        <v>1428</v>
      </c>
      <c r="K66" t="s">
        <v>69</v>
      </c>
      <c r="L66" t="s">
        <v>69</v>
      </c>
      <c r="M66" t="s">
        <v>73</v>
      </c>
      <c r="N66" t="s">
        <v>74</v>
      </c>
      <c r="O66" t="s">
        <v>69</v>
      </c>
      <c r="P66" t="s">
        <v>69</v>
      </c>
      <c r="Q66" t="s">
        <v>69</v>
      </c>
      <c r="R66" t="s">
        <v>69</v>
      </c>
      <c r="S66" t="s">
        <v>69</v>
      </c>
      <c r="T66" t="s">
        <v>1429</v>
      </c>
      <c r="U66" t="s">
        <v>1430</v>
      </c>
      <c r="V66" t="s">
        <v>1431</v>
      </c>
      <c r="W66" t="s">
        <v>1432</v>
      </c>
      <c r="X66" t="s">
        <v>1433</v>
      </c>
      <c r="Y66" t="s">
        <v>1434</v>
      </c>
      <c r="Z66" t="s">
        <v>69</v>
      </c>
      <c r="AA66" t="s">
        <v>1435</v>
      </c>
      <c r="AB66" t="s">
        <v>1436</v>
      </c>
      <c r="AC66" t="s">
        <v>1437</v>
      </c>
      <c r="AD66" t="s">
        <v>69</v>
      </c>
      <c r="AE66">
        <v>66</v>
      </c>
      <c r="AF66">
        <v>4</v>
      </c>
      <c r="AG66">
        <v>4</v>
      </c>
      <c r="AH66">
        <v>1</v>
      </c>
      <c r="AI66">
        <v>15</v>
      </c>
      <c r="AJ66" t="s">
        <v>1438</v>
      </c>
      <c r="AK66" t="s">
        <v>156</v>
      </c>
      <c r="AL66" t="s">
        <v>1439</v>
      </c>
      <c r="AM66" t="s">
        <v>1440</v>
      </c>
      <c r="AN66" t="s">
        <v>1441</v>
      </c>
      <c r="AO66" t="s">
        <v>69</v>
      </c>
      <c r="AP66" t="s">
        <v>1428</v>
      </c>
      <c r="AQ66" t="s">
        <v>1442</v>
      </c>
      <c r="AR66" t="s">
        <v>1443</v>
      </c>
      <c r="AS66">
        <v>2018</v>
      </c>
      <c r="AT66">
        <v>125</v>
      </c>
      <c r="AU66" t="s">
        <v>69</v>
      </c>
      <c r="AV66" t="s">
        <v>69</v>
      </c>
      <c r="AW66" t="s">
        <v>69</v>
      </c>
      <c r="AX66" t="s">
        <v>69</v>
      </c>
      <c r="AY66" t="s">
        <v>69</v>
      </c>
      <c r="AZ66">
        <v>72</v>
      </c>
      <c r="BA66">
        <v>80</v>
      </c>
      <c r="BB66" t="s">
        <v>69</v>
      </c>
      <c r="BC66" t="s">
        <v>1444</v>
      </c>
      <c r="BD66" t="s">
        <v>69</v>
      </c>
      <c r="BE66" t="s">
        <v>69</v>
      </c>
      <c r="BF66">
        <v>9</v>
      </c>
      <c r="BG66" t="s">
        <v>1445</v>
      </c>
      <c r="BH66" t="s">
        <v>1445</v>
      </c>
      <c r="BI66" t="s">
        <v>1446</v>
      </c>
      <c r="BJ66" t="s">
        <v>1447</v>
      </c>
      <c r="BK66">
        <v>29409770</v>
      </c>
      <c r="BL66" t="s">
        <v>69</v>
      </c>
      <c r="BM66" t="s">
        <v>69</v>
      </c>
      <c r="BN66" t="s">
        <v>69</v>
      </c>
      <c r="BO66" t="s">
        <v>95</v>
      </c>
      <c r="BP66" t="s">
        <v>69</v>
      </c>
    </row>
    <row r="67" spans="1:68" x14ac:dyDescent="0.15">
      <c r="A67" t="s">
        <v>67</v>
      </c>
      <c r="B67" t="s">
        <v>1448</v>
      </c>
      <c r="C67" t="s">
        <v>69</v>
      </c>
      <c r="D67" t="s">
        <v>69</v>
      </c>
      <c r="E67" t="s">
        <v>69</v>
      </c>
      <c r="F67" t="s">
        <v>1449</v>
      </c>
      <c r="G67" t="s">
        <v>69</v>
      </c>
      <c r="H67" t="s">
        <v>69</v>
      </c>
      <c r="I67" t="s">
        <v>1450</v>
      </c>
      <c r="J67" t="s">
        <v>1451</v>
      </c>
      <c r="K67" t="s">
        <v>69</v>
      </c>
      <c r="L67" t="s">
        <v>69</v>
      </c>
      <c r="M67" t="s">
        <v>73</v>
      </c>
      <c r="N67" t="s">
        <v>74</v>
      </c>
      <c r="O67" t="s">
        <v>69</v>
      </c>
      <c r="P67" t="s">
        <v>69</v>
      </c>
      <c r="Q67" t="s">
        <v>69</v>
      </c>
      <c r="R67" t="s">
        <v>69</v>
      </c>
      <c r="S67" t="s">
        <v>69</v>
      </c>
      <c r="T67" t="s">
        <v>1452</v>
      </c>
      <c r="U67" t="s">
        <v>1453</v>
      </c>
      <c r="V67" t="s">
        <v>1454</v>
      </c>
      <c r="W67" t="s">
        <v>1455</v>
      </c>
      <c r="X67" t="s">
        <v>1456</v>
      </c>
      <c r="Y67" t="s">
        <v>1457</v>
      </c>
      <c r="Z67" t="s">
        <v>69</v>
      </c>
      <c r="AA67" t="s">
        <v>1458</v>
      </c>
      <c r="AB67" t="s">
        <v>1459</v>
      </c>
      <c r="AC67" t="s">
        <v>1460</v>
      </c>
      <c r="AD67" t="s">
        <v>69</v>
      </c>
      <c r="AE67">
        <v>70</v>
      </c>
      <c r="AF67">
        <v>2</v>
      </c>
      <c r="AG67">
        <v>2</v>
      </c>
      <c r="AH67">
        <v>1</v>
      </c>
      <c r="AI67">
        <v>10</v>
      </c>
      <c r="AJ67" t="s">
        <v>180</v>
      </c>
      <c r="AK67" t="s">
        <v>181</v>
      </c>
      <c r="AL67" t="s">
        <v>182</v>
      </c>
      <c r="AM67" t="s">
        <v>1461</v>
      </c>
      <c r="AN67" t="s">
        <v>1462</v>
      </c>
      <c r="AO67" t="s">
        <v>69</v>
      </c>
      <c r="AP67" t="s">
        <v>1463</v>
      </c>
      <c r="AQ67" t="s">
        <v>1464</v>
      </c>
      <c r="AR67" t="s">
        <v>468</v>
      </c>
      <c r="AS67">
        <v>2018</v>
      </c>
      <c r="AT67">
        <v>40</v>
      </c>
      <c r="AU67">
        <v>2</v>
      </c>
      <c r="AV67" t="s">
        <v>69</v>
      </c>
      <c r="AW67" t="s">
        <v>69</v>
      </c>
      <c r="AX67" t="s">
        <v>69</v>
      </c>
      <c r="AY67" t="s">
        <v>69</v>
      </c>
      <c r="AZ67">
        <v>91</v>
      </c>
      <c r="BA67">
        <v>114</v>
      </c>
      <c r="BB67" t="s">
        <v>69</v>
      </c>
      <c r="BC67" t="s">
        <v>1465</v>
      </c>
      <c r="BD67" t="s">
        <v>69</v>
      </c>
      <c r="BE67" t="s">
        <v>69</v>
      </c>
      <c r="BF67">
        <v>24</v>
      </c>
      <c r="BG67" t="s">
        <v>449</v>
      </c>
      <c r="BH67" t="s">
        <v>288</v>
      </c>
      <c r="BI67" t="s">
        <v>1466</v>
      </c>
      <c r="BJ67" t="s">
        <v>1467</v>
      </c>
      <c r="BK67" t="s">
        <v>69</v>
      </c>
      <c r="BL67" t="s">
        <v>69</v>
      </c>
      <c r="BM67" t="s">
        <v>69</v>
      </c>
      <c r="BN67" t="s">
        <v>69</v>
      </c>
      <c r="BO67" t="s">
        <v>95</v>
      </c>
      <c r="BP67" t="s">
        <v>69</v>
      </c>
    </row>
    <row r="68" spans="1:68" x14ac:dyDescent="0.15">
      <c r="A68" t="s">
        <v>67</v>
      </c>
      <c r="B68" t="s">
        <v>1468</v>
      </c>
      <c r="C68" t="s">
        <v>69</v>
      </c>
      <c r="D68" t="s">
        <v>69</v>
      </c>
      <c r="E68" t="s">
        <v>69</v>
      </c>
      <c r="F68" t="s">
        <v>1469</v>
      </c>
      <c r="G68" t="s">
        <v>69</v>
      </c>
      <c r="H68" t="s">
        <v>69</v>
      </c>
      <c r="I68" t="s">
        <v>1470</v>
      </c>
      <c r="J68" t="s">
        <v>1471</v>
      </c>
      <c r="K68" t="s">
        <v>69</v>
      </c>
      <c r="L68" t="s">
        <v>69</v>
      </c>
      <c r="M68" t="s">
        <v>73</v>
      </c>
      <c r="N68" t="s">
        <v>74</v>
      </c>
      <c r="O68" t="s">
        <v>69</v>
      </c>
      <c r="P68" t="s">
        <v>69</v>
      </c>
      <c r="Q68" t="s">
        <v>69</v>
      </c>
      <c r="R68" t="s">
        <v>69</v>
      </c>
      <c r="S68" t="s">
        <v>69</v>
      </c>
      <c r="T68" t="s">
        <v>1472</v>
      </c>
      <c r="U68" t="s">
        <v>1473</v>
      </c>
      <c r="V68" t="s">
        <v>1474</v>
      </c>
      <c r="W68" t="s">
        <v>1475</v>
      </c>
      <c r="X68" t="s">
        <v>1476</v>
      </c>
      <c r="Y68" t="s">
        <v>1477</v>
      </c>
      <c r="Z68" t="s">
        <v>69</v>
      </c>
      <c r="AA68" t="s">
        <v>69</v>
      </c>
      <c r="AB68" t="s">
        <v>1478</v>
      </c>
      <c r="AC68" t="s">
        <v>1479</v>
      </c>
      <c r="AD68" t="s">
        <v>69</v>
      </c>
      <c r="AE68">
        <v>83</v>
      </c>
      <c r="AF68">
        <v>1</v>
      </c>
      <c r="AG68">
        <v>1</v>
      </c>
      <c r="AH68">
        <v>1</v>
      </c>
      <c r="AI68">
        <v>4</v>
      </c>
      <c r="AJ68" t="s">
        <v>1480</v>
      </c>
      <c r="AK68" t="s">
        <v>1481</v>
      </c>
      <c r="AL68" t="s">
        <v>1482</v>
      </c>
      <c r="AM68" t="s">
        <v>1483</v>
      </c>
      <c r="AN68" t="s">
        <v>1484</v>
      </c>
      <c r="AO68" t="s">
        <v>69</v>
      </c>
      <c r="AP68" t="s">
        <v>1485</v>
      </c>
      <c r="AQ68" t="s">
        <v>1486</v>
      </c>
      <c r="AR68" t="s">
        <v>468</v>
      </c>
      <c r="AS68">
        <v>2018</v>
      </c>
      <c r="AT68">
        <v>19</v>
      </c>
      <c r="AU68">
        <v>2</v>
      </c>
      <c r="AV68" t="s">
        <v>69</v>
      </c>
      <c r="AW68" t="s">
        <v>69</v>
      </c>
      <c r="AX68" t="s">
        <v>69</v>
      </c>
      <c r="AY68" t="s">
        <v>69</v>
      </c>
      <c r="AZ68">
        <v>513</v>
      </c>
      <c r="BA68">
        <v>526</v>
      </c>
      <c r="BB68" t="s">
        <v>69</v>
      </c>
      <c r="BC68" t="s">
        <v>1487</v>
      </c>
      <c r="BD68" t="s">
        <v>69</v>
      </c>
      <c r="BE68" t="s">
        <v>69</v>
      </c>
      <c r="BF68">
        <v>14</v>
      </c>
      <c r="BG68" t="s">
        <v>604</v>
      </c>
      <c r="BH68" t="s">
        <v>604</v>
      </c>
      <c r="BI68" t="s">
        <v>1488</v>
      </c>
      <c r="BJ68" t="s">
        <v>1489</v>
      </c>
      <c r="BK68" t="s">
        <v>69</v>
      </c>
      <c r="BL68" t="s">
        <v>69</v>
      </c>
      <c r="BM68" t="s">
        <v>69</v>
      </c>
      <c r="BN68" t="s">
        <v>69</v>
      </c>
      <c r="BO68" t="s">
        <v>95</v>
      </c>
      <c r="BP68" t="s">
        <v>69</v>
      </c>
    </row>
    <row r="69" spans="1:68" x14ac:dyDescent="0.15">
      <c r="A69" t="s">
        <v>67</v>
      </c>
      <c r="B69" t="s">
        <v>1490</v>
      </c>
      <c r="C69" t="s">
        <v>69</v>
      </c>
      <c r="D69" t="s">
        <v>69</v>
      </c>
      <c r="E69" t="s">
        <v>69</v>
      </c>
      <c r="F69" t="s">
        <v>1491</v>
      </c>
      <c r="G69" t="s">
        <v>69</v>
      </c>
      <c r="H69" t="s">
        <v>69</v>
      </c>
      <c r="I69" t="s">
        <v>1492</v>
      </c>
      <c r="J69" t="s">
        <v>1493</v>
      </c>
      <c r="K69" t="s">
        <v>69</v>
      </c>
      <c r="L69" t="s">
        <v>69</v>
      </c>
      <c r="M69" t="s">
        <v>73</v>
      </c>
      <c r="N69" t="s">
        <v>74</v>
      </c>
      <c r="O69" t="s">
        <v>69</v>
      </c>
      <c r="P69" t="s">
        <v>69</v>
      </c>
      <c r="Q69" t="s">
        <v>69</v>
      </c>
      <c r="R69" t="s">
        <v>69</v>
      </c>
      <c r="S69" t="s">
        <v>69</v>
      </c>
      <c r="T69" t="s">
        <v>1494</v>
      </c>
      <c r="U69" t="s">
        <v>1495</v>
      </c>
      <c r="V69" t="s">
        <v>1496</v>
      </c>
      <c r="W69" t="s">
        <v>1497</v>
      </c>
      <c r="X69" t="s">
        <v>1498</v>
      </c>
      <c r="Y69" t="s">
        <v>1499</v>
      </c>
      <c r="Z69" t="s">
        <v>69</v>
      </c>
      <c r="AA69" t="s">
        <v>69</v>
      </c>
      <c r="AB69" t="s">
        <v>69</v>
      </c>
      <c r="AC69" t="s">
        <v>69</v>
      </c>
      <c r="AD69" t="s">
        <v>69</v>
      </c>
      <c r="AE69">
        <v>89</v>
      </c>
      <c r="AF69">
        <v>2</v>
      </c>
      <c r="AG69">
        <v>2</v>
      </c>
      <c r="AH69">
        <v>0</v>
      </c>
      <c r="AI69">
        <v>8</v>
      </c>
      <c r="AJ69" t="s">
        <v>572</v>
      </c>
      <c r="AK69" t="s">
        <v>573</v>
      </c>
      <c r="AL69" t="s">
        <v>636</v>
      </c>
      <c r="AM69" t="s">
        <v>1500</v>
      </c>
      <c r="AN69" t="s">
        <v>1501</v>
      </c>
      <c r="AO69" t="s">
        <v>69</v>
      </c>
      <c r="AP69" t="s">
        <v>1502</v>
      </c>
      <c r="AQ69" t="s">
        <v>1503</v>
      </c>
      <c r="AR69" t="s">
        <v>88</v>
      </c>
      <c r="AS69">
        <v>2018</v>
      </c>
      <c r="AT69">
        <v>27</v>
      </c>
      <c r="AU69">
        <v>4</v>
      </c>
      <c r="AV69" t="s">
        <v>69</v>
      </c>
      <c r="AW69" t="s">
        <v>69</v>
      </c>
      <c r="AX69" t="s">
        <v>69</v>
      </c>
      <c r="AY69" t="s">
        <v>69</v>
      </c>
      <c r="AZ69">
        <v>1275</v>
      </c>
      <c r="BA69">
        <v>1286</v>
      </c>
      <c r="BB69" t="s">
        <v>69</v>
      </c>
      <c r="BC69" t="s">
        <v>1504</v>
      </c>
      <c r="BD69" t="s">
        <v>69</v>
      </c>
      <c r="BE69" t="s">
        <v>69</v>
      </c>
      <c r="BF69">
        <v>12</v>
      </c>
      <c r="BG69" t="s">
        <v>1505</v>
      </c>
      <c r="BH69" t="s">
        <v>1506</v>
      </c>
      <c r="BI69" t="s">
        <v>1507</v>
      </c>
      <c r="BJ69" t="s">
        <v>1508</v>
      </c>
      <c r="BK69" t="s">
        <v>69</v>
      </c>
      <c r="BL69" t="s">
        <v>69</v>
      </c>
      <c r="BM69" t="s">
        <v>69</v>
      </c>
      <c r="BN69" t="s">
        <v>69</v>
      </c>
      <c r="BO69" t="s">
        <v>95</v>
      </c>
      <c r="BP69" t="s">
        <v>69</v>
      </c>
    </row>
    <row r="70" spans="1:68" x14ac:dyDescent="0.15">
      <c r="A70" t="s">
        <v>67</v>
      </c>
      <c r="B70" t="s">
        <v>1509</v>
      </c>
      <c r="C70" t="s">
        <v>69</v>
      </c>
      <c r="D70" t="s">
        <v>69</v>
      </c>
      <c r="E70" t="s">
        <v>69</v>
      </c>
      <c r="F70" t="s">
        <v>1510</v>
      </c>
      <c r="G70" t="s">
        <v>69</v>
      </c>
      <c r="H70" t="s">
        <v>69</v>
      </c>
      <c r="I70" t="s">
        <v>1511</v>
      </c>
      <c r="J70" t="s">
        <v>1512</v>
      </c>
      <c r="K70" t="s">
        <v>69</v>
      </c>
      <c r="L70" t="s">
        <v>69</v>
      </c>
      <c r="M70" t="s">
        <v>73</v>
      </c>
      <c r="N70" t="s">
        <v>74</v>
      </c>
      <c r="O70" t="s">
        <v>69</v>
      </c>
      <c r="P70" t="s">
        <v>69</v>
      </c>
      <c r="Q70" t="s">
        <v>69</v>
      </c>
      <c r="R70" t="s">
        <v>69</v>
      </c>
      <c r="S70" t="s">
        <v>69</v>
      </c>
      <c r="T70" t="s">
        <v>1513</v>
      </c>
      <c r="U70" t="s">
        <v>1514</v>
      </c>
      <c r="V70" t="s">
        <v>1515</v>
      </c>
      <c r="W70" t="s">
        <v>1516</v>
      </c>
      <c r="X70" t="s">
        <v>1517</v>
      </c>
      <c r="Y70" t="s">
        <v>1518</v>
      </c>
      <c r="Z70" t="s">
        <v>69</v>
      </c>
      <c r="AA70" t="s">
        <v>69</v>
      </c>
      <c r="AB70" t="s">
        <v>1519</v>
      </c>
      <c r="AC70" t="s">
        <v>1520</v>
      </c>
      <c r="AD70" t="s">
        <v>69</v>
      </c>
      <c r="AE70">
        <v>42</v>
      </c>
      <c r="AF70">
        <v>10</v>
      </c>
      <c r="AG70">
        <v>10</v>
      </c>
      <c r="AH70">
        <v>1</v>
      </c>
      <c r="AI70">
        <v>9</v>
      </c>
      <c r="AJ70" t="s">
        <v>572</v>
      </c>
      <c r="AK70" t="s">
        <v>1521</v>
      </c>
      <c r="AL70" t="s">
        <v>1522</v>
      </c>
      <c r="AM70" t="s">
        <v>1523</v>
      </c>
      <c r="AN70" t="s">
        <v>1524</v>
      </c>
      <c r="AO70" t="s">
        <v>69</v>
      </c>
      <c r="AP70" t="s">
        <v>1525</v>
      </c>
      <c r="AQ70" t="s">
        <v>1526</v>
      </c>
      <c r="AR70" t="s">
        <v>511</v>
      </c>
      <c r="AS70">
        <v>2018</v>
      </c>
      <c r="AT70">
        <v>42</v>
      </c>
      <c r="AU70">
        <v>1</v>
      </c>
      <c r="AV70" t="s">
        <v>69</v>
      </c>
      <c r="AW70" t="s">
        <v>69</v>
      </c>
      <c r="AX70" t="s">
        <v>69</v>
      </c>
      <c r="AY70" t="s">
        <v>69</v>
      </c>
      <c r="AZ70">
        <v>69</v>
      </c>
      <c r="BA70">
        <v>91</v>
      </c>
      <c r="BB70" t="s">
        <v>69</v>
      </c>
      <c r="BC70" t="s">
        <v>1527</v>
      </c>
      <c r="BD70" t="s">
        <v>69</v>
      </c>
      <c r="BE70" t="s">
        <v>69</v>
      </c>
      <c r="BF70">
        <v>23</v>
      </c>
      <c r="BG70" t="s">
        <v>1528</v>
      </c>
      <c r="BH70" t="s">
        <v>1529</v>
      </c>
      <c r="BI70" t="s">
        <v>1530</v>
      </c>
      <c r="BJ70" t="s">
        <v>1531</v>
      </c>
      <c r="BK70">
        <v>28108844</v>
      </c>
      <c r="BL70" t="s">
        <v>1532</v>
      </c>
      <c r="BM70" t="s">
        <v>69</v>
      </c>
      <c r="BN70" t="s">
        <v>69</v>
      </c>
      <c r="BO70" t="s">
        <v>95</v>
      </c>
      <c r="BP70" t="s">
        <v>69</v>
      </c>
    </row>
    <row r="71" spans="1:68" x14ac:dyDescent="0.15">
      <c r="A71" t="s">
        <v>67</v>
      </c>
      <c r="B71" t="s">
        <v>1533</v>
      </c>
      <c r="C71" t="s">
        <v>69</v>
      </c>
      <c r="D71" t="s">
        <v>69</v>
      </c>
      <c r="E71" t="s">
        <v>69</v>
      </c>
      <c r="F71" t="s">
        <v>1534</v>
      </c>
      <c r="G71" t="s">
        <v>69</v>
      </c>
      <c r="H71" t="s">
        <v>69</v>
      </c>
      <c r="I71" t="s">
        <v>1535</v>
      </c>
      <c r="J71" t="s">
        <v>1536</v>
      </c>
      <c r="K71" t="s">
        <v>69</v>
      </c>
      <c r="L71" t="s">
        <v>69</v>
      </c>
      <c r="M71" t="s">
        <v>544</v>
      </c>
      <c r="N71" t="s">
        <v>74</v>
      </c>
      <c r="O71" t="s">
        <v>69</v>
      </c>
      <c r="P71" t="s">
        <v>69</v>
      </c>
      <c r="Q71" t="s">
        <v>69</v>
      </c>
      <c r="R71" t="s">
        <v>69</v>
      </c>
      <c r="S71" t="s">
        <v>69</v>
      </c>
      <c r="T71" t="s">
        <v>1537</v>
      </c>
      <c r="U71" t="s">
        <v>1538</v>
      </c>
      <c r="V71" t="s">
        <v>1539</v>
      </c>
      <c r="W71" t="s">
        <v>1540</v>
      </c>
      <c r="X71" t="s">
        <v>1541</v>
      </c>
      <c r="Y71" t="s">
        <v>1542</v>
      </c>
      <c r="Z71" t="s">
        <v>69</v>
      </c>
      <c r="AA71" t="s">
        <v>69</v>
      </c>
      <c r="AB71" t="s">
        <v>69</v>
      </c>
      <c r="AC71" t="s">
        <v>69</v>
      </c>
      <c r="AD71" t="s">
        <v>69</v>
      </c>
      <c r="AE71">
        <v>32</v>
      </c>
      <c r="AF71">
        <v>0</v>
      </c>
      <c r="AG71">
        <v>0</v>
      </c>
      <c r="AH71">
        <v>0</v>
      </c>
      <c r="AI71">
        <v>2</v>
      </c>
      <c r="AJ71" t="s">
        <v>1480</v>
      </c>
      <c r="AK71" t="s">
        <v>1481</v>
      </c>
      <c r="AL71" t="s">
        <v>1482</v>
      </c>
      <c r="AM71" t="s">
        <v>1543</v>
      </c>
      <c r="AN71" t="s">
        <v>1544</v>
      </c>
      <c r="AO71" t="s">
        <v>69</v>
      </c>
      <c r="AP71" t="s">
        <v>1545</v>
      </c>
      <c r="AQ71" t="s">
        <v>1546</v>
      </c>
      <c r="AR71" t="s">
        <v>535</v>
      </c>
      <c r="AS71">
        <v>2018</v>
      </c>
      <c r="AT71">
        <v>16</v>
      </c>
      <c r="AU71">
        <v>1</v>
      </c>
      <c r="AV71" t="s">
        <v>69</v>
      </c>
      <c r="AW71" t="s">
        <v>69</v>
      </c>
      <c r="AX71" t="s">
        <v>69</v>
      </c>
      <c r="AY71" t="s">
        <v>69</v>
      </c>
      <c r="AZ71">
        <v>10</v>
      </c>
      <c r="BA71">
        <v>15</v>
      </c>
      <c r="BB71" t="s">
        <v>69</v>
      </c>
      <c r="BC71" t="s">
        <v>1547</v>
      </c>
      <c r="BD71" t="s">
        <v>69</v>
      </c>
      <c r="BE71" t="s">
        <v>69</v>
      </c>
      <c r="BF71">
        <v>6</v>
      </c>
      <c r="BG71" t="s">
        <v>1548</v>
      </c>
      <c r="BH71" t="s">
        <v>1548</v>
      </c>
      <c r="BI71" t="s">
        <v>1549</v>
      </c>
      <c r="BJ71" t="s">
        <v>1550</v>
      </c>
      <c r="BK71" t="s">
        <v>69</v>
      </c>
      <c r="BL71" t="s">
        <v>69</v>
      </c>
      <c r="BM71" t="s">
        <v>69</v>
      </c>
      <c r="BN71" t="s">
        <v>69</v>
      </c>
      <c r="BO71" t="s">
        <v>95</v>
      </c>
      <c r="BP71" t="s">
        <v>69</v>
      </c>
    </row>
    <row r="72" spans="1:68" x14ac:dyDescent="0.15">
      <c r="A72" t="s">
        <v>67</v>
      </c>
      <c r="B72" t="s">
        <v>1551</v>
      </c>
      <c r="C72" t="s">
        <v>69</v>
      </c>
      <c r="D72" t="s">
        <v>69</v>
      </c>
      <c r="E72" t="s">
        <v>69</v>
      </c>
      <c r="F72" t="s">
        <v>1552</v>
      </c>
      <c r="G72" t="s">
        <v>69</v>
      </c>
      <c r="H72" t="s">
        <v>69</v>
      </c>
      <c r="I72" t="s">
        <v>1553</v>
      </c>
      <c r="J72" t="s">
        <v>1554</v>
      </c>
      <c r="K72" t="s">
        <v>69</v>
      </c>
      <c r="L72" t="s">
        <v>69</v>
      </c>
      <c r="M72" t="s">
        <v>73</v>
      </c>
      <c r="N72" t="s">
        <v>318</v>
      </c>
      <c r="O72" t="s">
        <v>69</v>
      </c>
      <c r="P72" t="s">
        <v>69</v>
      </c>
      <c r="Q72" t="s">
        <v>69</v>
      </c>
      <c r="R72" t="s">
        <v>69</v>
      </c>
      <c r="S72" t="s">
        <v>69</v>
      </c>
      <c r="T72" t="s">
        <v>1555</v>
      </c>
      <c r="U72" t="s">
        <v>1556</v>
      </c>
      <c r="V72" t="s">
        <v>1557</v>
      </c>
      <c r="W72" t="s">
        <v>1558</v>
      </c>
      <c r="X72" t="s">
        <v>1559</v>
      </c>
      <c r="Y72" t="s">
        <v>1560</v>
      </c>
      <c r="Z72" t="s">
        <v>69</v>
      </c>
      <c r="AA72" t="s">
        <v>69</v>
      </c>
      <c r="AB72" t="s">
        <v>69</v>
      </c>
      <c r="AC72" t="s">
        <v>69</v>
      </c>
      <c r="AD72" t="s">
        <v>69</v>
      </c>
      <c r="AE72">
        <v>148</v>
      </c>
      <c r="AF72">
        <v>2</v>
      </c>
      <c r="AG72">
        <v>2</v>
      </c>
      <c r="AH72">
        <v>0</v>
      </c>
      <c r="AI72">
        <v>15</v>
      </c>
      <c r="AJ72" t="s">
        <v>131</v>
      </c>
      <c r="AK72" t="s">
        <v>132</v>
      </c>
      <c r="AL72" t="s">
        <v>133</v>
      </c>
      <c r="AM72" t="s">
        <v>1561</v>
      </c>
      <c r="AN72" t="s">
        <v>1562</v>
      </c>
      <c r="AO72" t="s">
        <v>69</v>
      </c>
      <c r="AP72" t="s">
        <v>1563</v>
      </c>
      <c r="AQ72" t="s">
        <v>1564</v>
      </c>
      <c r="AR72" t="s">
        <v>69</v>
      </c>
      <c r="AS72">
        <v>2018</v>
      </c>
      <c r="AT72">
        <v>6</v>
      </c>
      <c r="AU72">
        <v>2</v>
      </c>
      <c r="AV72" t="s">
        <v>69</v>
      </c>
      <c r="AW72" t="s">
        <v>69</v>
      </c>
      <c r="AX72" t="s">
        <v>69</v>
      </c>
      <c r="AY72" t="s">
        <v>69</v>
      </c>
      <c r="AZ72">
        <v>129</v>
      </c>
      <c r="BA72">
        <v>157</v>
      </c>
      <c r="BB72" t="s">
        <v>69</v>
      </c>
      <c r="BC72" t="s">
        <v>1565</v>
      </c>
      <c r="BD72" t="s">
        <v>69</v>
      </c>
      <c r="BE72" t="s">
        <v>69</v>
      </c>
      <c r="BF72">
        <v>29</v>
      </c>
      <c r="BG72" t="s">
        <v>268</v>
      </c>
      <c r="BH72" t="s">
        <v>232</v>
      </c>
      <c r="BI72" t="s">
        <v>1566</v>
      </c>
      <c r="BJ72" t="s">
        <v>1567</v>
      </c>
      <c r="BK72" t="s">
        <v>69</v>
      </c>
      <c r="BL72" t="s">
        <v>69</v>
      </c>
      <c r="BM72" t="s">
        <v>69</v>
      </c>
      <c r="BN72" t="s">
        <v>69</v>
      </c>
      <c r="BO72" t="s">
        <v>95</v>
      </c>
      <c r="BP72" t="s">
        <v>69</v>
      </c>
    </row>
    <row r="73" spans="1:68" x14ac:dyDescent="0.15">
      <c r="A73" t="s">
        <v>67</v>
      </c>
      <c r="B73" t="s">
        <v>1568</v>
      </c>
      <c r="C73" t="s">
        <v>69</v>
      </c>
      <c r="D73" t="s">
        <v>69</v>
      </c>
      <c r="E73" t="s">
        <v>69</v>
      </c>
      <c r="F73" t="s">
        <v>1569</v>
      </c>
      <c r="G73" t="s">
        <v>69</v>
      </c>
      <c r="H73" t="s">
        <v>69</v>
      </c>
      <c r="I73" t="s">
        <v>1570</v>
      </c>
      <c r="J73" t="s">
        <v>1571</v>
      </c>
      <c r="K73" t="s">
        <v>69</v>
      </c>
      <c r="L73" t="s">
        <v>69</v>
      </c>
      <c r="M73" t="s">
        <v>73</v>
      </c>
      <c r="N73" t="s">
        <v>74</v>
      </c>
      <c r="O73" t="s">
        <v>69</v>
      </c>
      <c r="P73" t="s">
        <v>69</v>
      </c>
      <c r="Q73" t="s">
        <v>69</v>
      </c>
      <c r="R73" t="s">
        <v>69</v>
      </c>
      <c r="S73" t="s">
        <v>69</v>
      </c>
      <c r="T73" t="s">
        <v>1572</v>
      </c>
      <c r="U73" t="s">
        <v>1573</v>
      </c>
      <c r="V73" t="s">
        <v>1574</v>
      </c>
      <c r="W73" t="s">
        <v>1575</v>
      </c>
      <c r="X73" t="s">
        <v>1576</v>
      </c>
      <c r="Y73" t="s">
        <v>1577</v>
      </c>
      <c r="Z73" t="s">
        <v>1578</v>
      </c>
      <c r="AA73" t="s">
        <v>1579</v>
      </c>
      <c r="AB73" t="s">
        <v>69</v>
      </c>
      <c r="AC73" t="s">
        <v>69</v>
      </c>
      <c r="AD73" t="s">
        <v>69</v>
      </c>
      <c r="AE73">
        <v>31</v>
      </c>
      <c r="AF73">
        <v>1</v>
      </c>
      <c r="AG73">
        <v>1</v>
      </c>
      <c r="AH73">
        <v>0</v>
      </c>
      <c r="AI73">
        <v>0</v>
      </c>
      <c r="AJ73" t="s">
        <v>108</v>
      </c>
      <c r="AK73" t="s">
        <v>109</v>
      </c>
      <c r="AL73" t="s">
        <v>110</v>
      </c>
      <c r="AM73" t="s">
        <v>1580</v>
      </c>
      <c r="AN73" t="s">
        <v>1581</v>
      </c>
      <c r="AO73" t="s">
        <v>69</v>
      </c>
      <c r="AP73" t="s">
        <v>1582</v>
      </c>
      <c r="AQ73" t="s">
        <v>1583</v>
      </c>
      <c r="AR73" t="s">
        <v>69</v>
      </c>
      <c r="AS73">
        <v>2018</v>
      </c>
      <c r="AT73">
        <v>16</v>
      </c>
      <c r="AU73">
        <v>3</v>
      </c>
      <c r="AV73" t="s">
        <v>69</v>
      </c>
      <c r="AW73" t="s">
        <v>69</v>
      </c>
      <c r="AX73" t="s">
        <v>69</v>
      </c>
      <c r="AY73" t="s">
        <v>69</v>
      </c>
      <c r="AZ73">
        <v>255</v>
      </c>
      <c r="BA73">
        <v>274</v>
      </c>
      <c r="BB73" t="s">
        <v>69</v>
      </c>
      <c r="BC73" t="s">
        <v>1584</v>
      </c>
      <c r="BD73" t="s">
        <v>69</v>
      </c>
      <c r="BE73" t="s">
        <v>69</v>
      </c>
      <c r="BF73">
        <v>20</v>
      </c>
      <c r="BG73" t="s">
        <v>1585</v>
      </c>
      <c r="BH73" t="s">
        <v>1585</v>
      </c>
      <c r="BI73" t="s">
        <v>1586</v>
      </c>
      <c r="BJ73" t="s">
        <v>1587</v>
      </c>
      <c r="BK73" t="s">
        <v>69</v>
      </c>
      <c r="BL73" t="s">
        <v>69</v>
      </c>
      <c r="BM73" t="s">
        <v>69</v>
      </c>
      <c r="BN73" t="s">
        <v>69</v>
      </c>
      <c r="BO73" t="s">
        <v>95</v>
      </c>
      <c r="BP73" t="s">
        <v>69</v>
      </c>
    </row>
    <row r="74" spans="1:68" x14ac:dyDescent="0.15">
      <c r="A74" t="s">
        <v>67</v>
      </c>
      <c r="B74" t="s">
        <v>1588</v>
      </c>
      <c r="C74" t="s">
        <v>69</v>
      </c>
      <c r="D74" t="s">
        <v>69</v>
      </c>
      <c r="E74" t="s">
        <v>69</v>
      </c>
      <c r="F74" t="s">
        <v>1589</v>
      </c>
      <c r="G74" t="s">
        <v>69</v>
      </c>
      <c r="H74" t="s">
        <v>69</v>
      </c>
      <c r="I74" t="s">
        <v>1590</v>
      </c>
      <c r="J74" t="s">
        <v>1591</v>
      </c>
      <c r="K74" t="s">
        <v>69</v>
      </c>
      <c r="L74" t="s">
        <v>69</v>
      </c>
      <c r="M74" t="s">
        <v>73</v>
      </c>
      <c r="N74" t="s">
        <v>74</v>
      </c>
      <c r="O74" t="s">
        <v>69</v>
      </c>
      <c r="P74" t="s">
        <v>69</v>
      </c>
      <c r="Q74" t="s">
        <v>69</v>
      </c>
      <c r="R74" t="s">
        <v>69</v>
      </c>
      <c r="S74" t="s">
        <v>69</v>
      </c>
      <c r="T74" t="s">
        <v>1592</v>
      </c>
      <c r="U74" t="s">
        <v>69</v>
      </c>
      <c r="V74" t="s">
        <v>1593</v>
      </c>
      <c r="W74" t="s">
        <v>1594</v>
      </c>
      <c r="X74" t="s">
        <v>1595</v>
      </c>
      <c r="Y74" t="s">
        <v>1596</v>
      </c>
      <c r="Z74" t="s">
        <v>69</v>
      </c>
      <c r="AA74" t="s">
        <v>69</v>
      </c>
      <c r="AB74" t="s">
        <v>69</v>
      </c>
      <c r="AC74" t="s">
        <v>69</v>
      </c>
      <c r="AD74" t="s">
        <v>69</v>
      </c>
      <c r="AE74">
        <v>6</v>
      </c>
      <c r="AF74">
        <v>0</v>
      </c>
      <c r="AG74">
        <v>0</v>
      </c>
      <c r="AH74">
        <v>1</v>
      </c>
      <c r="AI74">
        <v>7</v>
      </c>
      <c r="AJ74" t="s">
        <v>1597</v>
      </c>
      <c r="AK74" t="s">
        <v>1598</v>
      </c>
      <c r="AL74" t="s">
        <v>1599</v>
      </c>
      <c r="AM74" t="s">
        <v>1600</v>
      </c>
      <c r="AN74" t="s">
        <v>69</v>
      </c>
      <c r="AO74" t="s">
        <v>69</v>
      </c>
      <c r="AP74" t="s">
        <v>1601</v>
      </c>
      <c r="AQ74" t="s">
        <v>1602</v>
      </c>
      <c r="AR74" t="s">
        <v>69</v>
      </c>
      <c r="AS74">
        <v>2018</v>
      </c>
      <c r="AT74">
        <v>15</v>
      </c>
      <c r="AU74">
        <v>58</v>
      </c>
      <c r="AV74" t="s">
        <v>69</v>
      </c>
      <c r="AW74" t="s">
        <v>69</v>
      </c>
      <c r="AX74" t="s">
        <v>69</v>
      </c>
      <c r="AY74" t="s">
        <v>69</v>
      </c>
      <c r="AZ74">
        <v>81</v>
      </c>
      <c r="BA74">
        <v>91</v>
      </c>
      <c r="BB74" t="s">
        <v>69</v>
      </c>
      <c r="BC74" t="s">
        <v>69</v>
      </c>
      <c r="BD74" t="s">
        <v>69</v>
      </c>
      <c r="BE74" t="s">
        <v>69</v>
      </c>
      <c r="BF74">
        <v>11</v>
      </c>
      <c r="BG74" t="s">
        <v>1603</v>
      </c>
      <c r="BH74" t="s">
        <v>1603</v>
      </c>
      <c r="BI74" t="s">
        <v>1604</v>
      </c>
      <c r="BJ74" t="s">
        <v>1605</v>
      </c>
      <c r="BK74" t="s">
        <v>69</v>
      </c>
      <c r="BL74" t="s">
        <v>69</v>
      </c>
      <c r="BM74" t="s">
        <v>69</v>
      </c>
      <c r="BN74" t="s">
        <v>69</v>
      </c>
      <c r="BO74" t="s">
        <v>95</v>
      </c>
      <c r="BP74" t="s">
        <v>69</v>
      </c>
    </row>
    <row r="75" spans="1:68" x14ac:dyDescent="0.15">
      <c r="A75" t="s">
        <v>67</v>
      </c>
      <c r="B75" t="s">
        <v>1606</v>
      </c>
      <c r="C75" t="s">
        <v>69</v>
      </c>
      <c r="D75" t="s">
        <v>69</v>
      </c>
      <c r="E75" t="s">
        <v>69</v>
      </c>
      <c r="F75" t="s">
        <v>1607</v>
      </c>
      <c r="G75" t="s">
        <v>69</v>
      </c>
      <c r="H75" t="s">
        <v>69</v>
      </c>
      <c r="I75" t="s">
        <v>1608</v>
      </c>
      <c r="J75" t="s">
        <v>1609</v>
      </c>
      <c r="K75" t="s">
        <v>69</v>
      </c>
      <c r="L75" t="s">
        <v>69</v>
      </c>
      <c r="M75" t="s">
        <v>1610</v>
      </c>
      <c r="N75" t="s">
        <v>74</v>
      </c>
      <c r="O75" t="s">
        <v>69</v>
      </c>
      <c r="P75" t="s">
        <v>69</v>
      </c>
      <c r="Q75" t="s">
        <v>69</v>
      </c>
      <c r="R75" t="s">
        <v>69</v>
      </c>
      <c r="S75" t="s">
        <v>69</v>
      </c>
      <c r="T75" t="s">
        <v>1611</v>
      </c>
      <c r="U75" t="s">
        <v>1612</v>
      </c>
      <c r="V75" t="s">
        <v>1613</v>
      </c>
      <c r="W75" t="s">
        <v>1614</v>
      </c>
      <c r="X75" t="s">
        <v>1615</v>
      </c>
      <c r="Y75" t="s">
        <v>1616</v>
      </c>
      <c r="Z75" t="s">
        <v>1617</v>
      </c>
      <c r="AA75" t="s">
        <v>1618</v>
      </c>
      <c r="AB75" t="s">
        <v>69</v>
      </c>
      <c r="AC75" t="s">
        <v>69</v>
      </c>
      <c r="AD75" t="s">
        <v>69</v>
      </c>
      <c r="AE75">
        <v>114</v>
      </c>
      <c r="AF75">
        <v>1</v>
      </c>
      <c r="AG75">
        <v>1</v>
      </c>
      <c r="AH75">
        <v>0</v>
      </c>
      <c r="AI75">
        <v>9</v>
      </c>
      <c r="AJ75" t="s">
        <v>1619</v>
      </c>
      <c r="AK75" t="s">
        <v>1620</v>
      </c>
      <c r="AL75" t="s">
        <v>1621</v>
      </c>
      <c r="AM75" t="s">
        <v>1622</v>
      </c>
      <c r="AN75" t="s">
        <v>1623</v>
      </c>
      <c r="AO75" t="s">
        <v>69</v>
      </c>
      <c r="AP75" t="s">
        <v>1624</v>
      </c>
      <c r="AQ75" t="s">
        <v>1625</v>
      </c>
      <c r="AR75" t="s">
        <v>69</v>
      </c>
      <c r="AS75">
        <v>2018</v>
      </c>
      <c r="AT75">
        <v>62</v>
      </c>
      <c r="AU75">
        <v>2</v>
      </c>
      <c r="AV75" t="s">
        <v>69</v>
      </c>
      <c r="AW75" t="s">
        <v>69</v>
      </c>
      <c r="AX75" t="s">
        <v>69</v>
      </c>
      <c r="AY75" t="s">
        <v>69</v>
      </c>
      <c r="AZ75">
        <v>153</v>
      </c>
      <c r="BA75">
        <v>172</v>
      </c>
      <c r="BB75" t="s">
        <v>69</v>
      </c>
      <c r="BC75" t="s">
        <v>69</v>
      </c>
      <c r="BD75" t="s">
        <v>69</v>
      </c>
      <c r="BE75" t="s">
        <v>69</v>
      </c>
      <c r="BF75">
        <v>20</v>
      </c>
      <c r="BG75" t="s">
        <v>449</v>
      </c>
      <c r="BH75" t="s">
        <v>288</v>
      </c>
      <c r="BI75" t="s">
        <v>1626</v>
      </c>
      <c r="BJ75" t="s">
        <v>1627</v>
      </c>
      <c r="BK75" t="s">
        <v>69</v>
      </c>
      <c r="BL75" t="s">
        <v>69</v>
      </c>
      <c r="BM75" t="s">
        <v>69</v>
      </c>
      <c r="BN75" t="s">
        <v>69</v>
      </c>
      <c r="BO75" t="s">
        <v>95</v>
      </c>
      <c r="BP75" t="s">
        <v>69</v>
      </c>
    </row>
    <row r="76" spans="1:68" x14ac:dyDescent="0.15">
      <c r="A76" t="s">
        <v>67</v>
      </c>
      <c r="B76" t="s">
        <v>1628</v>
      </c>
      <c r="C76" t="s">
        <v>69</v>
      </c>
      <c r="D76" t="s">
        <v>69</v>
      </c>
      <c r="E76" t="s">
        <v>69</v>
      </c>
      <c r="F76" t="s">
        <v>1629</v>
      </c>
      <c r="G76" t="s">
        <v>69</v>
      </c>
      <c r="H76" t="s">
        <v>69</v>
      </c>
      <c r="I76" t="s">
        <v>1630</v>
      </c>
      <c r="J76" t="s">
        <v>1631</v>
      </c>
      <c r="K76" t="s">
        <v>69</v>
      </c>
      <c r="L76" t="s">
        <v>69</v>
      </c>
      <c r="M76" t="s">
        <v>73</v>
      </c>
      <c r="N76" t="s">
        <v>74</v>
      </c>
      <c r="O76" t="s">
        <v>69</v>
      </c>
      <c r="P76" t="s">
        <v>69</v>
      </c>
      <c r="Q76" t="s">
        <v>69</v>
      </c>
      <c r="R76" t="s">
        <v>69</v>
      </c>
      <c r="S76" t="s">
        <v>69</v>
      </c>
      <c r="T76" t="s">
        <v>1632</v>
      </c>
      <c r="U76" t="s">
        <v>1633</v>
      </c>
      <c r="V76" t="s">
        <v>1634</v>
      </c>
      <c r="W76" t="s">
        <v>1635</v>
      </c>
      <c r="X76" t="s">
        <v>1636</v>
      </c>
      <c r="Y76" t="s">
        <v>1637</v>
      </c>
      <c r="Z76" t="s">
        <v>69</v>
      </c>
      <c r="AA76" t="s">
        <v>1638</v>
      </c>
      <c r="AB76" t="s">
        <v>1639</v>
      </c>
      <c r="AC76" t="s">
        <v>1640</v>
      </c>
      <c r="AD76" t="s">
        <v>69</v>
      </c>
      <c r="AE76">
        <v>59</v>
      </c>
      <c r="AF76">
        <v>7</v>
      </c>
      <c r="AG76">
        <v>8</v>
      </c>
      <c r="AH76">
        <v>0</v>
      </c>
      <c r="AI76">
        <v>10</v>
      </c>
      <c r="AJ76" t="s">
        <v>701</v>
      </c>
      <c r="AK76" t="s">
        <v>702</v>
      </c>
      <c r="AL76" t="s">
        <v>703</v>
      </c>
      <c r="AM76" t="s">
        <v>1641</v>
      </c>
      <c r="AN76" t="s">
        <v>1642</v>
      </c>
      <c r="AO76" t="s">
        <v>69</v>
      </c>
      <c r="AP76" t="s">
        <v>1643</v>
      </c>
      <c r="AQ76" t="s">
        <v>1644</v>
      </c>
      <c r="AR76" t="s">
        <v>69</v>
      </c>
      <c r="AS76">
        <v>2018</v>
      </c>
      <c r="AT76">
        <v>53</v>
      </c>
      <c r="AU76">
        <v>14</v>
      </c>
      <c r="AV76" t="s">
        <v>69</v>
      </c>
      <c r="AW76" t="s">
        <v>69</v>
      </c>
      <c r="AX76" t="s">
        <v>69</v>
      </c>
      <c r="AY76" t="s">
        <v>69</v>
      </c>
      <c r="AZ76">
        <v>2339</v>
      </c>
      <c r="BA76">
        <v>2349</v>
      </c>
      <c r="BB76" t="s">
        <v>69</v>
      </c>
      <c r="BC76" t="s">
        <v>1645</v>
      </c>
      <c r="BD76" t="s">
        <v>69</v>
      </c>
      <c r="BE76" t="s">
        <v>69</v>
      </c>
      <c r="BF76">
        <v>11</v>
      </c>
      <c r="BG76" t="s">
        <v>1646</v>
      </c>
      <c r="BH76" t="s">
        <v>1646</v>
      </c>
      <c r="BI76" t="s">
        <v>1647</v>
      </c>
      <c r="BJ76" t="s">
        <v>1648</v>
      </c>
      <c r="BK76">
        <v>29944057</v>
      </c>
      <c r="BL76" t="s">
        <v>69</v>
      </c>
      <c r="BM76" t="s">
        <v>69</v>
      </c>
      <c r="BN76" t="s">
        <v>69</v>
      </c>
      <c r="BO76" t="s">
        <v>95</v>
      </c>
      <c r="BP76" t="s">
        <v>69</v>
      </c>
    </row>
    <row r="77" spans="1:68" x14ac:dyDescent="0.15">
      <c r="A77" t="s">
        <v>67</v>
      </c>
      <c r="B77" t="s">
        <v>1649</v>
      </c>
      <c r="C77" t="s">
        <v>69</v>
      </c>
      <c r="D77" t="s">
        <v>69</v>
      </c>
      <c r="E77" t="s">
        <v>69</v>
      </c>
      <c r="F77" t="s">
        <v>1650</v>
      </c>
      <c r="G77" t="s">
        <v>69</v>
      </c>
      <c r="H77" t="s">
        <v>69</v>
      </c>
      <c r="I77" t="s">
        <v>1651</v>
      </c>
      <c r="J77" t="s">
        <v>1652</v>
      </c>
      <c r="K77" t="s">
        <v>69</v>
      </c>
      <c r="L77" t="s">
        <v>69</v>
      </c>
      <c r="M77" t="s">
        <v>73</v>
      </c>
      <c r="N77" t="s">
        <v>74</v>
      </c>
      <c r="O77" t="s">
        <v>69</v>
      </c>
      <c r="P77" t="s">
        <v>69</v>
      </c>
      <c r="Q77" t="s">
        <v>69</v>
      </c>
      <c r="R77" t="s">
        <v>69</v>
      </c>
      <c r="S77" t="s">
        <v>69</v>
      </c>
      <c r="T77" t="s">
        <v>1653</v>
      </c>
      <c r="U77" t="s">
        <v>1654</v>
      </c>
      <c r="V77" t="s">
        <v>1655</v>
      </c>
      <c r="W77" t="s">
        <v>1656</v>
      </c>
      <c r="X77" t="s">
        <v>1657</v>
      </c>
      <c r="Y77" t="s">
        <v>1658</v>
      </c>
      <c r="Z77" t="s">
        <v>69</v>
      </c>
      <c r="AA77" t="s">
        <v>69</v>
      </c>
      <c r="AB77" t="s">
        <v>69</v>
      </c>
      <c r="AC77" t="s">
        <v>69</v>
      </c>
      <c r="AD77" t="s">
        <v>69</v>
      </c>
      <c r="AE77">
        <v>43</v>
      </c>
      <c r="AF77">
        <v>2</v>
      </c>
      <c r="AG77">
        <v>2</v>
      </c>
      <c r="AH77">
        <v>0</v>
      </c>
      <c r="AI77">
        <v>6</v>
      </c>
      <c r="AJ77" t="s">
        <v>108</v>
      </c>
      <c r="AK77" t="s">
        <v>109</v>
      </c>
      <c r="AL77" t="s">
        <v>110</v>
      </c>
      <c r="AM77" t="s">
        <v>1659</v>
      </c>
      <c r="AN77" t="s">
        <v>1660</v>
      </c>
      <c r="AO77" t="s">
        <v>69</v>
      </c>
      <c r="AP77" t="s">
        <v>1661</v>
      </c>
      <c r="AQ77" t="s">
        <v>1662</v>
      </c>
      <c r="AR77" t="s">
        <v>69</v>
      </c>
      <c r="AS77">
        <v>2018</v>
      </c>
      <c r="AT77">
        <v>30</v>
      </c>
      <c r="AU77">
        <v>3</v>
      </c>
      <c r="AV77" t="s">
        <v>69</v>
      </c>
      <c r="AW77" t="s">
        <v>69</v>
      </c>
      <c r="AX77" t="s">
        <v>69</v>
      </c>
      <c r="AY77" t="s">
        <v>69</v>
      </c>
      <c r="AZ77">
        <v>155</v>
      </c>
      <c r="BA77">
        <v>169</v>
      </c>
      <c r="BB77" t="s">
        <v>69</v>
      </c>
      <c r="BC77" t="s">
        <v>1663</v>
      </c>
      <c r="BD77" t="s">
        <v>69</v>
      </c>
      <c r="BE77" t="s">
        <v>69</v>
      </c>
      <c r="BF77">
        <v>15</v>
      </c>
      <c r="BG77" t="s">
        <v>251</v>
      </c>
      <c r="BH77" t="s">
        <v>251</v>
      </c>
      <c r="BI77" t="s">
        <v>1664</v>
      </c>
      <c r="BJ77" t="s">
        <v>1665</v>
      </c>
      <c r="BK77" t="s">
        <v>69</v>
      </c>
      <c r="BL77" t="s">
        <v>69</v>
      </c>
      <c r="BM77" t="s">
        <v>69</v>
      </c>
      <c r="BN77" t="s">
        <v>69</v>
      </c>
      <c r="BO77" t="s">
        <v>95</v>
      </c>
      <c r="BP77" t="s">
        <v>69</v>
      </c>
    </row>
    <row r="78" spans="1:68" x14ac:dyDescent="0.15">
      <c r="A78" t="s">
        <v>67</v>
      </c>
      <c r="B78" t="s">
        <v>1666</v>
      </c>
      <c r="C78" t="s">
        <v>69</v>
      </c>
      <c r="D78" t="s">
        <v>69</v>
      </c>
      <c r="E78" t="s">
        <v>69</v>
      </c>
      <c r="F78" t="s">
        <v>1667</v>
      </c>
      <c r="G78" t="s">
        <v>69</v>
      </c>
      <c r="H78" t="s">
        <v>69</v>
      </c>
      <c r="I78" t="s">
        <v>1668</v>
      </c>
      <c r="J78" t="s">
        <v>1669</v>
      </c>
      <c r="K78" t="s">
        <v>69</v>
      </c>
      <c r="L78" t="s">
        <v>69</v>
      </c>
      <c r="M78" t="s">
        <v>73</v>
      </c>
      <c r="N78" t="s">
        <v>74</v>
      </c>
      <c r="O78" t="s">
        <v>69</v>
      </c>
      <c r="P78" t="s">
        <v>69</v>
      </c>
      <c r="Q78" t="s">
        <v>69</v>
      </c>
      <c r="R78" t="s">
        <v>69</v>
      </c>
      <c r="S78" t="s">
        <v>69</v>
      </c>
      <c r="T78" t="s">
        <v>1670</v>
      </c>
      <c r="U78" t="s">
        <v>1671</v>
      </c>
      <c r="V78" t="s">
        <v>1672</v>
      </c>
      <c r="W78" t="s">
        <v>1673</v>
      </c>
      <c r="X78" t="s">
        <v>1674</v>
      </c>
      <c r="Y78" t="s">
        <v>1675</v>
      </c>
      <c r="Z78" t="s">
        <v>69</v>
      </c>
      <c r="AA78" t="s">
        <v>69</v>
      </c>
      <c r="AB78" t="s">
        <v>1676</v>
      </c>
      <c r="AC78" t="s">
        <v>1677</v>
      </c>
      <c r="AD78" t="s">
        <v>69</v>
      </c>
      <c r="AE78">
        <v>41</v>
      </c>
      <c r="AF78">
        <v>2</v>
      </c>
      <c r="AG78">
        <v>2</v>
      </c>
      <c r="AH78">
        <v>1</v>
      </c>
      <c r="AI78">
        <v>7</v>
      </c>
      <c r="AJ78" t="s">
        <v>108</v>
      </c>
      <c r="AK78" t="s">
        <v>109</v>
      </c>
      <c r="AL78" t="s">
        <v>110</v>
      </c>
      <c r="AM78" t="s">
        <v>1678</v>
      </c>
      <c r="AN78" t="s">
        <v>1679</v>
      </c>
      <c r="AO78" t="s">
        <v>69</v>
      </c>
      <c r="AP78" t="s">
        <v>1680</v>
      </c>
      <c r="AQ78" t="s">
        <v>1681</v>
      </c>
      <c r="AR78" t="s">
        <v>69</v>
      </c>
      <c r="AS78">
        <v>2018</v>
      </c>
      <c r="AT78">
        <v>85</v>
      </c>
      <c r="AU78">
        <v>2</v>
      </c>
      <c r="AV78" t="s">
        <v>69</v>
      </c>
      <c r="AW78" t="s">
        <v>69</v>
      </c>
      <c r="AX78" t="s">
        <v>69</v>
      </c>
      <c r="AY78" t="s">
        <v>69</v>
      </c>
      <c r="AZ78">
        <v>263</v>
      </c>
      <c r="BA78">
        <v>283</v>
      </c>
      <c r="BB78" t="s">
        <v>69</v>
      </c>
      <c r="BC78" t="s">
        <v>1682</v>
      </c>
      <c r="BD78" t="s">
        <v>69</v>
      </c>
      <c r="BE78" t="s">
        <v>69</v>
      </c>
      <c r="BF78">
        <v>21</v>
      </c>
      <c r="BG78" t="s">
        <v>117</v>
      </c>
      <c r="BH78" t="s">
        <v>117</v>
      </c>
      <c r="BI78" t="s">
        <v>1683</v>
      </c>
      <c r="BJ78" t="s">
        <v>1684</v>
      </c>
      <c r="BK78" t="s">
        <v>69</v>
      </c>
      <c r="BL78" t="s">
        <v>69</v>
      </c>
      <c r="BM78" t="s">
        <v>69</v>
      </c>
      <c r="BN78" t="s">
        <v>69</v>
      </c>
      <c r="BO78" t="s">
        <v>95</v>
      </c>
      <c r="BP78" t="s">
        <v>69</v>
      </c>
    </row>
    <row r="79" spans="1:68" x14ac:dyDescent="0.15">
      <c r="A79" t="s">
        <v>67</v>
      </c>
      <c r="B79" t="s">
        <v>1685</v>
      </c>
      <c r="C79" t="s">
        <v>69</v>
      </c>
      <c r="D79" t="s">
        <v>69</v>
      </c>
      <c r="E79" t="s">
        <v>69</v>
      </c>
      <c r="F79" t="s">
        <v>1686</v>
      </c>
      <c r="G79" t="s">
        <v>69</v>
      </c>
      <c r="H79" t="s">
        <v>69</v>
      </c>
      <c r="I79" t="s">
        <v>1687</v>
      </c>
      <c r="J79" t="s">
        <v>1688</v>
      </c>
      <c r="K79" t="s">
        <v>69</v>
      </c>
      <c r="L79" t="s">
        <v>69</v>
      </c>
      <c r="M79" t="s">
        <v>73</v>
      </c>
      <c r="N79" t="s">
        <v>74</v>
      </c>
      <c r="O79" t="s">
        <v>69</v>
      </c>
      <c r="P79" t="s">
        <v>69</v>
      </c>
      <c r="Q79" t="s">
        <v>69</v>
      </c>
      <c r="R79" t="s">
        <v>69</v>
      </c>
      <c r="S79" t="s">
        <v>69</v>
      </c>
      <c r="T79" t="s">
        <v>1689</v>
      </c>
      <c r="U79" t="s">
        <v>1690</v>
      </c>
      <c r="V79" t="s">
        <v>1691</v>
      </c>
      <c r="W79" t="s">
        <v>1692</v>
      </c>
      <c r="X79" t="s">
        <v>1693</v>
      </c>
      <c r="Y79" t="s">
        <v>1694</v>
      </c>
      <c r="Z79" t="s">
        <v>1695</v>
      </c>
      <c r="AA79" t="s">
        <v>1696</v>
      </c>
      <c r="AB79" t="s">
        <v>69</v>
      </c>
      <c r="AC79" t="s">
        <v>69</v>
      </c>
      <c r="AD79" t="s">
        <v>69</v>
      </c>
      <c r="AE79">
        <v>48</v>
      </c>
      <c r="AF79">
        <v>1</v>
      </c>
      <c r="AG79">
        <v>1</v>
      </c>
      <c r="AH79">
        <v>2</v>
      </c>
      <c r="AI79">
        <v>17</v>
      </c>
      <c r="AJ79" t="s">
        <v>108</v>
      </c>
      <c r="AK79" t="s">
        <v>109</v>
      </c>
      <c r="AL79" t="s">
        <v>110</v>
      </c>
      <c r="AM79" t="s">
        <v>1697</v>
      </c>
      <c r="AN79" t="s">
        <v>1698</v>
      </c>
      <c r="AO79" t="s">
        <v>69</v>
      </c>
      <c r="AP79" t="s">
        <v>1699</v>
      </c>
      <c r="AQ79" t="s">
        <v>1700</v>
      </c>
      <c r="AR79" t="s">
        <v>69</v>
      </c>
      <c r="AS79">
        <v>2018</v>
      </c>
      <c r="AT79">
        <v>28</v>
      </c>
      <c r="AU79">
        <v>3</v>
      </c>
      <c r="AV79" t="s">
        <v>69</v>
      </c>
      <c r="AW79" t="s">
        <v>69</v>
      </c>
      <c r="AX79" t="s">
        <v>69</v>
      </c>
      <c r="AY79" t="s">
        <v>69</v>
      </c>
      <c r="AZ79">
        <v>315</v>
      </c>
      <c r="BA79">
        <v>334</v>
      </c>
      <c r="BB79" t="s">
        <v>69</v>
      </c>
      <c r="BC79" t="s">
        <v>1701</v>
      </c>
      <c r="BD79" t="s">
        <v>69</v>
      </c>
      <c r="BE79" t="s">
        <v>69</v>
      </c>
      <c r="BF79">
        <v>20</v>
      </c>
      <c r="BG79" t="s">
        <v>117</v>
      </c>
      <c r="BH79" t="s">
        <v>117</v>
      </c>
      <c r="BI79" t="s">
        <v>1702</v>
      </c>
      <c r="BJ79" t="s">
        <v>1703</v>
      </c>
      <c r="BK79" t="s">
        <v>69</v>
      </c>
      <c r="BL79" t="s">
        <v>69</v>
      </c>
      <c r="BM79" t="s">
        <v>69</v>
      </c>
      <c r="BN79" t="s">
        <v>69</v>
      </c>
      <c r="BO79" t="s">
        <v>95</v>
      </c>
      <c r="BP79" t="s">
        <v>69</v>
      </c>
    </row>
    <row r="80" spans="1:68" x14ac:dyDescent="0.15">
      <c r="A80" t="s">
        <v>67</v>
      </c>
      <c r="B80" t="s">
        <v>1704</v>
      </c>
      <c r="C80" t="s">
        <v>69</v>
      </c>
      <c r="D80" t="s">
        <v>69</v>
      </c>
      <c r="E80" t="s">
        <v>69</v>
      </c>
      <c r="F80" t="s">
        <v>1705</v>
      </c>
      <c r="G80" t="s">
        <v>69</v>
      </c>
      <c r="H80" t="s">
        <v>69</v>
      </c>
      <c r="I80" t="s">
        <v>1706</v>
      </c>
      <c r="J80" t="s">
        <v>1707</v>
      </c>
      <c r="K80" t="s">
        <v>69</v>
      </c>
      <c r="L80" t="s">
        <v>69</v>
      </c>
      <c r="M80" t="s">
        <v>73</v>
      </c>
      <c r="N80" t="s">
        <v>74</v>
      </c>
      <c r="O80" t="s">
        <v>69</v>
      </c>
      <c r="P80" t="s">
        <v>69</v>
      </c>
      <c r="Q80" t="s">
        <v>69</v>
      </c>
      <c r="R80" t="s">
        <v>69</v>
      </c>
      <c r="S80" t="s">
        <v>69</v>
      </c>
      <c r="T80" t="s">
        <v>1708</v>
      </c>
      <c r="U80" t="s">
        <v>1709</v>
      </c>
      <c r="V80" t="s">
        <v>1710</v>
      </c>
      <c r="W80" t="s">
        <v>1711</v>
      </c>
      <c r="X80" t="s">
        <v>1712</v>
      </c>
      <c r="Y80" t="s">
        <v>1713</v>
      </c>
      <c r="Z80" t="s">
        <v>69</v>
      </c>
      <c r="AA80" t="s">
        <v>69</v>
      </c>
      <c r="AB80" t="s">
        <v>1714</v>
      </c>
      <c r="AC80" t="s">
        <v>1715</v>
      </c>
      <c r="AD80" t="s">
        <v>69</v>
      </c>
      <c r="AE80">
        <v>49</v>
      </c>
      <c r="AF80">
        <v>2</v>
      </c>
      <c r="AG80">
        <v>2</v>
      </c>
      <c r="AH80">
        <v>0</v>
      </c>
      <c r="AI80">
        <v>2</v>
      </c>
      <c r="AJ80" t="s">
        <v>131</v>
      </c>
      <c r="AK80" t="s">
        <v>132</v>
      </c>
      <c r="AL80" t="s">
        <v>133</v>
      </c>
      <c r="AM80" t="s">
        <v>1716</v>
      </c>
      <c r="AN80" t="s">
        <v>1717</v>
      </c>
      <c r="AO80" t="s">
        <v>69</v>
      </c>
      <c r="AP80" t="s">
        <v>1718</v>
      </c>
      <c r="AQ80" t="s">
        <v>1719</v>
      </c>
      <c r="AR80" t="s">
        <v>69</v>
      </c>
      <c r="AS80">
        <v>2018</v>
      </c>
      <c r="AT80">
        <v>14</v>
      </c>
      <c r="AU80">
        <v>1</v>
      </c>
      <c r="AV80" t="s">
        <v>69</v>
      </c>
      <c r="AW80" t="s">
        <v>69</v>
      </c>
      <c r="AX80" t="s">
        <v>69</v>
      </c>
      <c r="AY80" t="s">
        <v>69</v>
      </c>
      <c r="AZ80">
        <v>117</v>
      </c>
      <c r="BA80">
        <v>130</v>
      </c>
      <c r="BB80" t="s">
        <v>69</v>
      </c>
      <c r="BC80" t="s">
        <v>1720</v>
      </c>
      <c r="BD80" t="s">
        <v>69</v>
      </c>
      <c r="BE80" t="s">
        <v>69</v>
      </c>
      <c r="BF80">
        <v>14</v>
      </c>
      <c r="BG80" t="s">
        <v>424</v>
      </c>
      <c r="BH80" t="s">
        <v>424</v>
      </c>
      <c r="BI80" t="s">
        <v>1721</v>
      </c>
      <c r="BJ80" t="s">
        <v>1722</v>
      </c>
      <c r="BK80" t="s">
        <v>69</v>
      </c>
      <c r="BL80" t="s">
        <v>69</v>
      </c>
      <c r="BM80" t="s">
        <v>69</v>
      </c>
      <c r="BN80" t="s">
        <v>69</v>
      </c>
      <c r="BO80" t="s">
        <v>95</v>
      </c>
      <c r="BP80" t="s">
        <v>69</v>
      </c>
    </row>
    <row r="81" spans="1:68" x14ac:dyDescent="0.15">
      <c r="A81" t="s">
        <v>67</v>
      </c>
      <c r="B81" t="s">
        <v>1723</v>
      </c>
      <c r="C81" t="s">
        <v>69</v>
      </c>
      <c r="D81" t="s">
        <v>69</v>
      </c>
      <c r="E81" t="s">
        <v>69</v>
      </c>
      <c r="F81" t="s">
        <v>1724</v>
      </c>
      <c r="G81" t="s">
        <v>69</v>
      </c>
      <c r="H81" t="s">
        <v>69</v>
      </c>
      <c r="I81" t="s">
        <v>1725</v>
      </c>
      <c r="J81" t="s">
        <v>1726</v>
      </c>
      <c r="K81" t="s">
        <v>69</v>
      </c>
      <c r="L81" t="s">
        <v>69</v>
      </c>
      <c r="M81" t="s">
        <v>73</v>
      </c>
      <c r="N81" t="s">
        <v>74</v>
      </c>
      <c r="O81" t="s">
        <v>69</v>
      </c>
      <c r="P81" t="s">
        <v>69</v>
      </c>
      <c r="Q81" t="s">
        <v>69</v>
      </c>
      <c r="R81" t="s">
        <v>69</v>
      </c>
      <c r="S81" t="s">
        <v>69</v>
      </c>
      <c r="T81" t="s">
        <v>1727</v>
      </c>
      <c r="U81" t="s">
        <v>1728</v>
      </c>
      <c r="V81" t="s">
        <v>1729</v>
      </c>
      <c r="W81" t="s">
        <v>1730</v>
      </c>
      <c r="X81" t="s">
        <v>1731</v>
      </c>
      <c r="Y81" t="s">
        <v>1732</v>
      </c>
      <c r="Z81" t="s">
        <v>69</v>
      </c>
      <c r="AA81" t="s">
        <v>1733</v>
      </c>
      <c r="AB81" t="s">
        <v>69</v>
      </c>
      <c r="AC81" t="s">
        <v>69</v>
      </c>
      <c r="AD81" t="s">
        <v>69</v>
      </c>
      <c r="AE81">
        <v>90</v>
      </c>
      <c r="AF81">
        <v>27</v>
      </c>
      <c r="AG81">
        <v>27</v>
      </c>
      <c r="AH81">
        <v>0</v>
      </c>
      <c r="AI81">
        <v>13</v>
      </c>
      <c r="AJ81" t="s">
        <v>108</v>
      </c>
      <c r="AK81" t="s">
        <v>109</v>
      </c>
      <c r="AL81" t="s">
        <v>110</v>
      </c>
      <c r="AM81" t="s">
        <v>1734</v>
      </c>
      <c r="AN81" t="s">
        <v>1735</v>
      </c>
      <c r="AO81" t="s">
        <v>69</v>
      </c>
      <c r="AP81" t="s">
        <v>1736</v>
      </c>
      <c r="AQ81" t="s">
        <v>1737</v>
      </c>
      <c r="AR81" t="s">
        <v>69</v>
      </c>
      <c r="AS81">
        <v>2018</v>
      </c>
      <c r="AT81">
        <v>44</v>
      </c>
      <c r="AU81">
        <v>1</v>
      </c>
      <c r="AV81" t="s">
        <v>69</v>
      </c>
      <c r="AW81" t="s">
        <v>69</v>
      </c>
      <c r="AX81" t="s">
        <v>69</v>
      </c>
      <c r="AY81" t="s">
        <v>69</v>
      </c>
      <c r="AZ81">
        <v>4</v>
      </c>
      <c r="BA81">
        <v>26</v>
      </c>
      <c r="BB81" t="s">
        <v>69</v>
      </c>
      <c r="BC81" t="s">
        <v>1738</v>
      </c>
      <c r="BD81" t="s">
        <v>69</v>
      </c>
      <c r="BE81" t="s">
        <v>69</v>
      </c>
      <c r="BF81">
        <v>23</v>
      </c>
      <c r="BG81" t="s">
        <v>1739</v>
      </c>
      <c r="BH81" t="s">
        <v>1739</v>
      </c>
      <c r="BI81" t="s">
        <v>1740</v>
      </c>
      <c r="BJ81" t="s">
        <v>1741</v>
      </c>
      <c r="BK81" t="s">
        <v>69</v>
      </c>
      <c r="BL81" t="s">
        <v>69</v>
      </c>
      <c r="BM81" t="s">
        <v>69</v>
      </c>
      <c r="BN81" t="s">
        <v>69</v>
      </c>
      <c r="BO81" t="s">
        <v>95</v>
      </c>
      <c r="BP81" t="s">
        <v>69</v>
      </c>
    </row>
    <row r="82" spans="1:68" x14ac:dyDescent="0.15">
      <c r="A82" t="s">
        <v>67</v>
      </c>
      <c r="B82" t="s">
        <v>1742</v>
      </c>
      <c r="C82" t="s">
        <v>69</v>
      </c>
      <c r="D82" t="s">
        <v>69</v>
      </c>
      <c r="E82" t="s">
        <v>69</v>
      </c>
      <c r="F82" t="s">
        <v>1743</v>
      </c>
      <c r="G82" t="s">
        <v>69</v>
      </c>
      <c r="H82" t="s">
        <v>69</v>
      </c>
      <c r="I82" t="s">
        <v>1744</v>
      </c>
      <c r="J82" t="s">
        <v>1745</v>
      </c>
      <c r="K82" t="s">
        <v>69</v>
      </c>
      <c r="L82" t="s">
        <v>69</v>
      </c>
      <c r="M82" t="s">
        <v>73</v>
      </c>
      <c r="N82" t="s">
        <v>74</v>
      </c>
      <c r="O82" t="s">
        <v>69</v>
      </c>
      <c r="P82" t="s">
        <v>69</v>
      </c>
      <c r="Q82" t="s">
        <v>69</v>
      </c>
      <c r="R82" t="s">
        <v>69</v>
      </c>
      <c r="S82" t="s">
        <v>69</v>
      </c>
      <c r="T82" t="s">
        <v>1746</v>
      </c>
      <c r="U82" t="s">
        <v>69</v>
      </c>
      <c r="V82" t="s">
        <v>1747</v>
      </c>
      <c r="W82" t="s">
        <v>1748</v>
      </c>
      <c r="X82" t="s">
        <v>1749</v>
      </c>
      <c r="Y82" t="s">
        <v>1750</v>
      </c>
      <c r="Z82" t="s">
        <v>1751</v>
      </c>
      <c r="AA82" t="s">
        <v>69</v>
      </c>
      <c r="AB82" t="s">
        <v>69</v>
      </c>
      <c r="AC82" t="s">
        <v>69</v>
      </c>
      <c r="AD82" t="s">
        <v>69</v>
      </c>
      <c r="AE82">
        <v>123</v>
      </c>
      <c r="AF82">
        <v>0</v>
      </c>
      <c r="AG82">
        <v>0</v>
      </c>
      <c r="AH82">
        <v>0</v>
      </c>
      <c r="AI82">
        <v>6</v>
      </c>
      <c r="AJ82" t="s">
        <v>1752</v>
      </c>
      <c r="AK82" t="s">
        <v>1753</v>
      </c>
      <c r="AL82" t="s">
        <v>1754</v>
      </c>
      <c r="AM82" t="s">
        <v>1755</v>
      </c>
      <c r="AN82" t="s">
        <v>69</v>
      </c>
      <c r="AO82" t="s">
        <v>69</v>
      </c>
      <c r="AP82" t="s">
        <v>1745</v>
      </c>
      <c r="AQ82" t="s">
        <v>1756</v>
      </c>
      <c r="AR82" t="s">
        <v>355</v>
      </c>
      <c r="AS82">
        <v>2017</v>
      </c>
      <c r="AT82">
        <v>81</v>
      </c>
      <c r="AU82">
        <v>292</v>
      </c>
      <c r="AV82" t="s">
        <v>69</v>
      </c>
      <c r="AW82" t="s">
        <v>69</v>
      </c>
      <c r="AX82" t="s">
        <v>69</v>
      </c>
      <c r="AY82" t="s">
        <v>69</v>
      </c>
      <c r="AZ82">
        <v>677</v>
      </c>
      <c r="BA82" t="s">
        <v>1757</v>
      </c>
      <c r="BB82" t="s">
        <v>69</v>
      </c>
      <c r="BC82" t="s">
        <v>69</v>
      </c>
      <c r="BD82" t="s">
        <v>69</v>
      </c>
      <c r="BE82" t="s">
        <v>69</v>
      </c>
      <c r="BF82">
        <v>27</v>
      </c>
      <c r="BG82" t="s">
        <v>1758</v>
      </c>
      <c r="BH82" t="s">
        <v>1758</v>
      </c>
      <c r="BI82" t="s">
        <v>1759</v>
      </c>
      <c r="BJ82" t="s">
        <v>1760</v>
      </c>
      <c r="BK82" t="s">
        <v>69</v>
      </c>
      <c r="BL82" t="s">
        <v>69</v>
      </c>
      <c r="BM82" t="s">
        <v>69</v>
      </c>
      <c r="BN82" t="s">
        <v>69</v>
      </c>
      <c r="BO82" t="s">
        <v>95</v>
      </c>
      <c r="BP82" t="s">
        <v>69</v>
      </c>
    </row>
    <row r="83" spans="1:68" x14ac:dyDescent="0.15">
      <c r="A83" t="s">
        <v>67</v>
      </c>
      <c r="B83" t="s">
        <v>1761</v>
      </c>
      <c r="C83" t="s">
        <v>69</v>
      </c>
      <c r="D83" t="s">
        <v>69</v>
      </c>
      <c r="E83" t="s">
        <v>69</v>
      </c>
      <c r="F83" t="s">
        <v>1762</v>
      </c>
      <c r="G83" t="s">
        <v>69</v>
      </c>
      <c r="H83" t="s">
        <v>69</v>
      </c>
      <c r="I83" t="s">
        <v>1763</v>
      </c>
      <c r="J83" t="s">
        <v>1764</v>
      </c>
      <c r="K83" t="s">
        <v>69</v>
      </c>
      <c r="L83" t="s">
        <v>69</v>
      </c>
      <c r="M83" t="s">
        <v>544</v>
      </c>
      <c r="N83" t="s">
        <v>74</v>
      </c>
      <c r="O83" t="s">
        <v>69</v>
      </c>
      <c r="P83" t="s">
        <v>69</v>
      </c>
      <c r="Q83" t="s">
        <v>69</v>
      </c>
      <c r="R83" t="s">
        <v>69</v>
      </c>
      <c r="S83" t="s">
        <v>69</v>
      </c>
      <c r="T83" t="s">
        <v>1765</v>
      </c>
      <c r="U83" t="s">
        <v>1766</v>
      </c>
      <c r="V83" t="s">
        <v>1767</v>
      </c>
      <c r="W83" t="s">
        <v>1768</v>
      </c>
      <c r="X83" t="s">
        <v>1769</v>
      </c>
      <c r="Y83" t="s">
        <v>1770</v>
      </c>
      <c r="Z83" t="s">
        <v>69</v>
      </c>
      <c r="AA83" t="s">
        <v>69</v>
      </c>
      <c r="AB83" t="s">
        <v>69</v>
      </c>
      <c r="AC83" t="s">
        <v>69</v>
      </c>
      <c r="AD83" t="s">
        <v>69</v>
      </c>
      <c r="AE83">
        <v>98</v>
      </c>
      <c r="AF83">
        <v>6</v>
      </c>
      <c r="AG83">
        <v>6</v>
      </c>
      <c r="AH83">
        <v>2</v>
      </c>
      <c r="AI83">
        <v>23</v>
      </c>
      <c r="AJ83" t="s">
        <v>1771</v>
      </c>
      <c r="AK83" t="s">
        <v>1772</v>
      </c>
      <c r="AL83" t="s">
        <v>1773</v>
      </c>
      <c r="AM83" t="s">
        <v>1774</v>
      </c>
      <c r="AN83" t="s">
        <v>1775</v>
      </c>
      <c r="AO83" t="s">
        <v>69</v>
      </c>
      <c r="AP83" t="s">
        <v>1776</v>
      </c>
      <c r="AQ83" t="s">
        <v>1777</v>
      </c>
      <c r="AR83" t="s">
        <v>355</v>
      </c>
      <c r="AS83">
        <v>2017</v>
      </c>
      <c r="AT83">
        <v>69</v>
      </c>
      <c r="AU83">
        <v>4</v>
      </c>
      <c r="AV83" t="s">
        <v>69</v>
      </c>
      <c r="AW83" t="s">
        <v>69</v>
      </c>
      <c r="AX83" t="s">
        <v>69</v>
      </c>
      <c r="AY83" t="s">
        <v>69</v>
      </c>
      <c r="AZ83">
        <v>561</v>
      </c>
      <c r="BA83">
        <v>591</v>
      </c>
      <c r="BB83" t="s">
        <v>69</v>
      </c>
      <c r="BC83" t="s">
        <v>1778</v>
      </c>
      <c r="BD83" t="s">
        <v>69</v>
      </c>
      <c r="BE83" t="s">
        <v>69</v>
      </c>
      <c r="BF83">
        <v>31</v>
      </c>
      <c r="BG83" t="s">
        <v>1779</v>
      </c>
      <c r="BH83" t="s">
        <v>1780</v>
      </c>
      <c r="BI83" t="s">
        <v>1781</v>
      </c>
      <c r="BJ83" t="s">
        <v>1782</v>
      </c>
      <c r="BK83" t="s">
        <v>69</v>
      </c>
      <c r="BL83" t="s">
        <v>69</v>
      </c>
      <c r="BM83" t="s">
        <v>69</v>
      </c>
      <c r="BN83" t="s">
        <v>69</v>
      </c>
      <c r="BO83" t="s">
        <v>95</v>
      </c>
      <c r="BP83" t="s">
        <v>69</v>
      </c>
    </row>
    <row r="84" spans="1:68" x14ac:dyDescent="0.15">
      <c r="A84" t="s">
        <v>67</v>
      </c>
      <c r="B84" t="s">
        <v>1783</v>
      </c>
      <c r="C84" t="s">
        <v>69</v>
      </c>
      <c r="D84" t="s">
        <v>69</v>
      </c>
      <c r="E84" t="s">
        <v>69</v>
      </c>
      <c r="F84" t="s">
        <v>1784</v>
      </c>
      <c r="G84" t="s">
        <v>69</v>
      </c>
      <c r="H84" t="s">
        <v>69</v>
      </c>
      <c r="I84" t="s">
        <v>1785</v>
      </c>
      <c r="J84" t="s">
        <v>1786</v>
      </c>
      <c r="K84" t="s">
        <v>69</v>
      </c>
      <c r="L84" t="s">
        <v>69</v>
      </c>
      <c r="M84" t="s">
        <v>73</v>
      </c>
      <c r="N84" t="s">
        <v>74</v>
      </c>
      <c r="O84" t="s">
        <v>69</v>
      </c>
      <c r="P84" t="s">
        <v>69</v>
      </c>
      <c r="Q84" t="s">
        <v>69</v>
      </c>
      <c r="R84" t="s">
        <v>69</v>
      </c>
      <c r="S84" t="s">
        <v>69</v>
      </c>
      <c r="T84" t="s">
        <v>1787</v>
      </c>
      <c r="U84" t="s">
        <v>1788</v>
      </c>
      <c r="V84" t="s">
        <v>1789</v>
      </c>
      <c r="W84" t="s">
        <v>1790</v>
      </c>
      <c r="X84" t="s">
        <v>1791</v>
      </c>
      <c r="Y84" t="s">
        <v>1792</v>
      </c>
      <c r="Z84" t="s">
        <v>1793</v>
      </c>
      <c r="AA84" t="s">
        <v>1794</v>
      </c>
      <c r="AB84" t="s">
        <v>1795</v>
      </c>
      <c r="AC84" t="s">
        <v>1796</v>
      </c>
      <c r="AD84" t="s">
        <v>69</v>
      </c>
      <c r="AE84">
        <v>49</v>
      </c>
      <c r="AF84">
        <v>10</v>
      </c>
      <c r="AG84">
        <v>10</v>
      </c>
      <c r="AH84">
        <v>1</v>
      </c>
      <c r="AI84">
        <v>11</v>
      </c>
      <c r="AJ84" t="s">
        <v>1414</v>
      </c>
      <c r="AK84" t="s">
        <v>156</v>
      </c>
      <c r="AL84" t="s">
        <v>1415</v>
      </c>
      <c r="AM84" t="s">
        <v>1797</v>
      </c>
      <c r="AN84" t="s">
        <v>69</v>
      </c>
      <c r="AO84" t="s">
        <v>69</v>
      </c>
      <c r="AP84" t="s">
        <v>1798</v>
      </c>
      <c r="AQ84" t="s">
        <v>1799</v>
      </c>
      <c r="AR84" t="s">
        <v>1800</v>
      </c>
      <c r="AS84">
        <v>2017</v>
      </c>
      <c r="AT84">
        <v>14</v>
      </c>
      <c r="AU84" t="s">
        <v>69</v>
      </c>
      <c r="AV84" t="s">
        <v>69</v>
      </c>
      <c r="AW84" t="s">
        <v>69</v>
      </c>
      <c r="AX84" t="s">
        <v>69</v>
      </c>
      <c r="AY84" t="s">
        <v>69</v>
      </c>
      <c r="AZ84" t="s">
        <v>69</v>
      </c>
      <c r="BA84" t="s">
        <v>69</v>
      </c>
      <c r="BB84">
        <v>154</v>
      </c>
      <c r="BC84" t="s">
        <v>1801</v>
      </c>
      <c r="BD84" t="s">
        <v>69</v>
      </c>
      <c r="BE84" t="s">
        <v>69</v>
      </c>
      <c r="BF84">
        <v>15</v>
      </c>
      <c r="BG84" t="s">
        <v>1802</v>
      </c>
      <c r="BH84" t="s">
        <v>1802</v>
      </c>
      <c r="BI84" t="s">
        <v>1803</v>
      </c>
      <c r="BJ84" t="s">
        <v>1804</v>
      </c>
      <c r="BK84">
        <v>29115995</v>
      </c>
      <c r="BL84" t="s">
        <v>1399</v>
      </c>
      <c r="BM84" t="s">
        <v>69</v>
      </c>
      <c r="BN84" t="s">
        <v>69</v>
      </c>
      <c r="BO84" t="s">
        <v>95</v>
      </c>
      <c r="BP84" t="s">
        <v>69</v>
      </c>
    </row>
    <row r="85" spans="1:68" x14ac:dyDescent="0.15">
      <c r="A85" t="s">
        <v>67</v>
      </c>
      <c r="B85" t="s">
        <v>1805</v>
      </c>
      <c r="C85" t="s">
        <v>69</v>
      </c>
      <c r="D85" t="s">
        <v>69</v>
      </c>
      <c r="E85" t="s">
        <v>69</v>
      </c>
      <c r="F85" t="s">
        <v>1806</v>
      </c>
      <c r="G85" t="s">
        <v>69</v>
      </c>
      <c r="H85" t="s">
        <v>69</v>
      </c>
      <c r="I85" t="s">
        <v>1807</v>
      </c>
      <c r="J85" t="s">
        <v>1808</v>
      </c>
      <c r="K85" t="s">
        <v>69</v>
      </c>
      <c r="L85" t="s">
        <v>69</v>
      </c>
      <c r="M85" t="s">
        <v>73</v>
      </c>
      <c r="N85" t="s">
        <v>74</v>
      </c>
      <c r="O85" t="s">
        <v>69</v>
      </c>
      <c r="P85" t="s">
        <v>69</v>
      </c>
      <c r="Q85" t="s">
        <v>69</v>
      </c>
      <c r="R85" t="s">
        <v>69</v>
      </c>
      <c r="S85" t="s">
        <v>69</v>
      </c>
      <c r="T85" t="s">
        <v>1809</v>
      </c>
      <c r="U85" t="s">
        <v>1810</v>
      </c>
      <c r="V85" t="s">
        <v>1811</v>
      </c>
      <c r="W85" t="s">
        <v>1812</v>
      </c>
      <c r="X85" t="s">
        <v>1813</v>
      </c>
      <c r="Y85" t="s">
        <v>69</v>
      </c>
      <c r="Z85" t="s">
        <v>1814</v>
      </c>
      <c r="AA85" t="s">
        <v>1815</v>
      </c>
      <c r="AB85" t="s">
        <v>69</v>
      </c>
      <c r="AC85" t="s">
        <v>69</v>
      </c>
      <c r="AD85" t="s">
        <v>69</v>
      </c>
      <c r="AE85">
        <v>50</v>
      </c>
      <c r="AF85">
        <v>1</v>
      </c>
      <c r="AG85">
        <v>1</v>
      </c>
      <c r="AH85">
        <v>1</v>
      </c>
      <c r="AI85">
        <v>6</v>
      </c>
      <c r="AJ85" t="s">
        <v>1816</v>
      </c>
      <c r="AK85" t="s">
        <v>615</v>
      </c>
      <c r="AL85" t="s">
        <v>1817</v>
      </c>
      <c r="AM85" t="s">
        <v>1818</v>
      </c>
      <c r="AN85" t="s">
        <v>1819</v>
      </c>
      <c r="AO85" t="s">
        <v>69</v>
      </c>
      <c r="AP85" t="s">
        <v>1808</v>
      </c>
      <c r="AQ85" t="s">
        <v>1820</v>
      </c>
      <c r="AR85" t="s">
        <v>731</v>
      </c>
      <c r="AS85">
        <v>2017</v>
      </c>
      <c r="AT85">
        <v>42</v>
      </c>
      <c r="AU85" t="s">
        <v>69</v>
      </c>
      <c r="AV85" t="s">
        <v>69</v>
      </c>
      <c r="AW85" t="s">
        <v>69</v>
      </c>
      <c r="AX85" t="s">
        <v>69</v>
      </c>
      <c r="AY85" t="s">
        <v>69</v>
      </c>
      <c r="AZ85">
        <v>19</v>
      </c>
      <c r="BA85">
        <v>41</v>
      </c>
      <c r="BB85" t="s">
        <v>69</v>
      </c>
      <c r="BC85" t="s">
        <v>69</v>
      </c>
      <c r="BD85" t="s">
        <v>69</v>
      </c>
      <c r="BE85" t="s">
        <v>69</v>
      </c>
      <c r="BF85">
        <v>23</v>
      </c>
      <c r="BG85" t="s">
        <v>604</v>
      </c>
      <c r="BH85" t="s">
        <v>604</v>
      </c>
      <c r="BI85" t="s">
        <v>1821</v>
      </c>
      <c r="BJ85" t="s">
        <v>1822</v>
      </c>
      <c r="BK85" t="s">
        <v>69</v>
      </c>
      <c r="BL85" t="s">
        <v>94</v>
      </c>
      <c r="BM85" t="s">
        <v>69</v>
      </c>
      <c r="BN85" t="s">
        <v>69</v>
      </c>
      <c r="BO85" t="s">
        <v>95</v>
      </c>
      <c r="BP85" t="s">
        <v>69</v>
      </c>
    </row>
    <row r="86" spans="1:68" x14ac:dyDescent="0.15">
      <c r="A86" t="s">
        <v>67</v>
      </c>
      <c r="B86" t="s">
        <v>1823</v>
      </c>
      <c r="C86" t="s">
        <v>69</v>
      </c>
      <c r="D86" t="s">
        <v>69</v>
      </c>
      <c r="E86" t="s">
        <v>69</v>
      </c>
      <c r="F86" t="s">
        <v>1824</v>
      </c>
      <c r="G86" t="s">
        <v>69</v>
      </c>
      <c r="H86" t="s">
        <v>69</v>
      </c>
      <c r="I86" t="s">
        <v>1825</v>
      </c>
      <c r="J86" t="s">
        <v>1826</v>
      </c>
      <c r="K86" t="s">
        <v>69</v>
      </c>
      <c r="L86" t="s">
        <v>69</v>
      </c>
      <c r="M86" t="s">
        <v>73</v>
      </c>
      <c r="N86" t="s">
        <v>74</v>
      </c>
      <c r="O86" t="s">
        <v>69</v>
      </c>
      <c r="P86" t="s">
        <v>69</v>
      </c>
      <c r="Q86" t="s">
        <v>69</v>
      </c>
      <c r="R86" t="s">
        <v>69</v>
      </c>
      <c r="S86" t="s">
        <v>69</v>
      </c>
      <c r="T86" t="s">
        <v>1827</v>
      </c>
      <c r="U86" t="s">
        <v>1828</v>
      </c>
      <c r="V86" t="s">
        <v>1829</v>
      </c>
      <c r="W86" t="s">
        <v>1830</v>
      </c>
      <c r="X86" t="s">
        <v>1831</v>
      </c>
      <c r="Y86" t="s">
        <v>1832</v>
      </c>
      <c r="Z86" t="s">
        <v>69</v>
      </c>
      <c r="AA86" t="s">
        <v>69</v>
      </c>
      <c r="AB86" t="s">
        <v>69</v>
      </c>
      <c r="AC86" t="s">
        <v>69</v>
      </c>
      <c r="AD86" t="s">
        <v>69</v>
      </c>
      <c r="AE86">
        <v>23</v>
      </c>
      <c r="AF86">
        <v>0</v>
      </c>
      <c r="AG86">
        <v>0</v>
      </c>
      <c r="AH86">
        <v>0</v>
      </c>
      <c r="AI86">
        <v>2</v>
      </c>
      <c r="AJ86" t="s">
        <v>1833</v>
      </c>
      <c r="AK86" t="s">
        <v>573</v>
      </c>
      <c r="AL86" t="s">
        <v>1834</v>
      </c>
      <c r="AM86" t="s">
        <v>1835</v>
      </c>
      <c r="AN86" t="s">
        <v>1836</v>
      </c>
      <c r="AO86" t="s">
        <v>69</v>
      </c>
      <c r="AP86" t="s">
        <v>1837</v>
      </c>
      <c r="AQ86" t="s">
        <v>1838</v>
      </c>
      <c r="AR86" t="s">
        <v>731</v>
      </c>
      <c r="AS86">
        <v>2017</v>
      </c>
      <c r="AT86">
        <v>50</v>
      </c>
      <c r="AU86">
        <v>3</v>
      </c>
      <c r="AV86" t="s">
        <v>69</v>
      </c>
      <c r="AW86" t="s">
        <v>69</v>
      </c>
      <c r="AX86" t="s">
        <v>69</v>
      </c>
      <c r="AY86" t="s">
        <v>69</v>
      </c>
      <c r="AZ86">
        <v>447</v>
      </c>
      <c r="BA86">
        <v>462</v>
      </c>
      <c r="BB86" t="s">
        <v>69</v>
      </c>
      <c r="BC86" t="s">
        <v>69</v>
      </c>
      <c r="BD86" t="s">
        <v>69</v>
      </c>
      <c r="BE86" t="s">
        <v>69</v>
      </c>
      <c r="BF86">
        <v>16</v>
      </c>
      <c r="BG86" t="s">
        <v>1115</v>
      </c>
      <c r="BH86" t="s">
        <v>1116</v>
      </c>
      <c r="BI86" t="s">
        <v>1839</v>
      </c>
      <c r="BJ86" t="s">
        <v>1840</v>
      </c>
      <c r="BK86" t="s">
        <v>69</v>
      </c>
      <c r="BL86" t="s">
        <v>69</v>
      </c>
      <c r="BM86" t="s">
        <v>69</v>
      </c>
      <c r="BN86" t="s">
        <v>69</v>
      </c>
      <c r="BO86" t="s">
        <v>95</v>
      </c>
      <c r="BP86" t="s">
        <v>69</v>
      </c>
    </row>
    <row r="87" spans="1:68" x14ac:dyDescent="0.15">
      <c r="A87" t="s">
        <v>67</v>
      </c>
      <c r="B87" t="s">
        <v>1841</v>
      </c>
      <c r="C87" t="s">
        <v>69</v>
      </c>
      <c r="D87" t="s">
        <v>69</v>
      </c>
      <c r="E87" t="s">
        <v>69</v>
      </c>
      <c r="F87" t="s">
        <v>1842</v>
      </c>
      <c r="G87" t="s">
        <v>69</v>
      </c>
      <c r="H87" t="s">
        <v>69</v>
      </c>
      <c r="I87" t="s">
        <v>1843</v>
      </c>
      <c r="J87" t="s">
        <v>1844</v>
      </c>
      <c r="K87" t="s">
        <v>69</v>
      </c>
      <c r="L87" t="s">
        <v>69</v>
      </c>
      <c r="M87" t="s">
        <v>73</v>
      </c>
      <c r="N87" t="s">
        <v>74</v>
      </c>
      <c r="O87" t="s">
        <v>69</v>
      </c>
      <c r="P87" t="s">
        <v>69</v>
      </c>
      <c r="Q87" t="s">
        <v>69</v>
      </c>
      <c r="R87" t="s">
        <v>69</v>
      </c>
      <c r="S87" t="s">
        <v>69</v>
      </c>
      <c r="T87" t="s">
        <v>69</v>
      </c>
      <c r="U87" t="s">
        <v>1845</v>
      </c>
      <c r="V87" t="s">
        <v>1846</v>
      </c>
      <c r="W87" t="s">
        <v>1847</v>
      </c>
      <c r="X87" t="s">
        <v>1848</v>
      </c>
      <c r="Y87" t="s">
        <v>69</v>
      </c>
      <c r="Z87" t="s">
        <v>69</v>
      </c>
      <c r="AA87" t="s">
        <v>69</v>
      </c>
      <c r="AB87" t="s">
        <v>69</v>
      </c>
      <c r="AC87" t="s">
        <v>69</v>
      </c>
      <c r="AD87" t="s">
        <v>69</v>
      </c>
      <c r="AE87">
        <v>40</v>
      </c>
      <c r="AF87">
        <v>0</v>
      </c>
      <c r="AG87">
        <v>0</v>
      </c>
      <c r="AH87">
        <v>0</v>
      </c>
      <c r="AI87">
        <v>4</v>
      </c>
      <c r="AJ87" t="s">
        <v>1480</v>
      </c>
      <c r="AK87" t="s">
        <v>1481</v>
      </c>
      <c r="AL87" t="s">
        <v>1482</v>
      </c>
      <c r="AM87" t="s">
        <v>1849</v>
      </c>
      <c r="AN87" t="s">
        <v>1850</v>
      </c>
      <c r="AO87" t="s">
        <v>69</v>
      </c>
      <c r="AP87" t="s">
        <v>1851</v>
      </c>
      <c r="AQ87" t="s">
        <v>1852</v>
      </c>
      <c r="AR87" t="s">
        <v>1374</v>
      </c>
      <c r="AS87">
        <v>2017</v>
      </c>
      <c r="AT87">
        <v>68</v>
      </c>
      <c r="AU87">
        <v>3</v>
      </c>
      <c r="AV87" t="s">
        <v>69</v>
      </c>
      <c r="AW87" t="s">
        <v>69</v>
      </c>
      <c r="AX87" t="s">
        <v>69</v>
      </c>
      <c r="AY87" t="s">
        <v>69</v>
      </c>
      <c r="AZ87">
        <v>333</v>
      </c>
      <c r="BA87">
        <v>351</v>
      </c>
      <c r="BB87" t="s">
        <v>69</v>
      </c>
      <c r="BC87" t="s">
        <v>1853</v>
      </c>
      <c r="BD87" t="s">
        <v>69</v>
      </c>
      <c r="BE87" t="s">
        <v>69</v>
      </c>
      <c r="BF87">
        <v>19</v>
      </c>
      <c r="BG87" t="s">
        <v>1854</v>
      </c>
      <c r="BH87" t="s">
        <v>232</v>
      </c>
      <c r="BI87" t="s">
        <v>1855</v>
      </c>
      <c r="BJ87" t="s">
        <v>1856</v>
      </c>
      <c r="BK87" t="s">
        <v>69</v>
      </c>
      <c r="BL87" t="s">
        <v>69</v>
      </c>
      <c r="BM87" t="s">
        <v>69</v>
      </c>
      <c r="BN87" t="s">
        <v>69</v>
      </c>
      <c r="BO87" t="s">
        <v>95</v>
      </c>
      <c r="BP87" t="s">
        <v>69</v>
      </c>
    </row>
    <row r="88" spans="1:68" x14ac:dyDescent="0.15">
      <c r="A88" t="s">
        <v>67</v>
      </c>
      <c r="B88" t="s">
        <v>1857</v>
      </c>
      <c r="C88" t="s">
        <v>69</v>
      </c>
      <c r="D88" t="s">
        <v>69</v>
      </c>
      <c r="E88" t="s">
        <v>69</v>
      </c>
      <c r="F88" t="s">
        <v>1858</v>
      </c>
      <c r="G88" t="s">
        <v>69</v>
      </c>
      <c r="H88" t="s">
        <v>69</v>
      </c>
      <c r="I88" t="s">
        <v>1859</v>
      </c>
      <c r="J88" t="s">
        <v>1860</v>
      </c>
      <c r="K88" t="s">
        <v>69</v>
      </c>
      <c r="L88" t="s">
        <v>69</v>
      </c>
      <c r="M88" t="s">
        <v>73</v>
      </c>
      <c r="N88" t="s">
        <v>74</v>
      </c>
      <c r="O88" t="s">
        <v>69</v>
      </c>
      <c r="P88" t="s">
        <v>69</v>
      </c>
      <c r="Q88" t="s">
        <v>69</v>
      </c>
      <c r="R88" t="s">
        <v>69</v>
      </c>
      <c r="S88" t="s">
        <v>69</v>
      </c>
      <c r="T88" t="s">
        <v>1861</v>
      </c>
      <c r="U88" t="s">
        <v>1862</v>
      </c>
      <c r="V88" t="s">
        <v>1863</v>
      </c>
      <c r="W88" t="s">
        <v>1864</v>
      </c>
      <c r="X88" t="s">
        <v>1865</v>
      </c>
      <c r="Y88" t="s">
        <v>1866</v>
      </c>
      <c r="Z88" t="s">
        <v>69</v>
      </c>
      <c r="AA88" t="s">
        <v>1867</v>
      </c>
      <c r="AB88" t="s">
        <v>1868</v>
      </c>
      <c r="AC88" t="s">
        <v>1869</v>
      </c>
      <c r="AD88" t="s">
        <v>69</v>
      </c>
      <c r="AE88">
        <v>59</v>
      </c>
      <c r="AF88">
        <v>17</v>
      </c>
      <c r="AG88">
        <v>17</v>
      </c>
      <c r="AH88">
        <v>2</v>
      </c>
      <c r="AI88">
        <v>26</v>
      </c>
      <c r="AJ88" t="s">
        <v>180</v>
      </c>
      <c r="AK88" t="s">
        <v>181</v>
      </c>
      <c r="AL88" t="s">
        <v>182</v>
      </c>
      <c r="AM88" t="s">
        <v>1870</v>
      </c>
      <c r="AN88" t="s">
        <v>1871</v>
      </c>
      <c r="AO88" t="s">
        <v>69</v>
      </c>
      <c r="AP88" t="s">
        <v>1872</v>
      </c>
      <c r="AQ88" t="s">
        <v>1873</v>
      </c>
      <c r="AR88" t="s">
        <v>1374</v>
      </c>
      <c r="AS88">
        <v>2017</v>
      </c>
      <c r="AT88">
        <v>53</v>
      </c>
      <c r="AU88">
        <v>5</v>
      </c>
      <c r="AV88" t="s">
        <v>69</v>
      </c>
      <c r="AW88" t="s">
        <v>69</v>
      </c>
      <c r="AX88" t="s">
        <v>69</v>
      </c>
      <c r="AY88" t="s">
        <v>69</v>
      </c>
      <c r="AZ88">
        <v>812</v>
      </c>
      <c r="BA88">
        <v>842</v>
      </c>
      <c r="BB88" t="s">
        <v>69</v>
      </c>
      <c r="BC88" t="s">
        <v>1874</v>
      </c>
      <c r="BD88" t="s">
        <v>69</v>
      </c>
      <c r="BE88" t="s">
        <v>69</v>
      </c>
      <c r="BF88">
        <v>31</v>
      </c>
      <c r="BG88" t="s">
        <v>1875</v>
      </c>
      <c r="BH88" t="s">
        <v>1875</v>
      </c>
      <c r="BI88" t="s">
        <v>1876</v>
      </c>
      <c r="BJ88" t="s">
        <v>1877</v>
      </c>
      <c r="BK88" t="s">
        <v>69</v>
      </c>
      <c r="BL88" t="s">
        <v>69</v>
      </c>
      <c r="BM88" t="s">
        <v>69</v>
      </c>
      <c r="BN88" t="s">
        <v>69</v>
      </c>
      <c r="BO88" t="s">
        <v>95</v>
      </c>
      <c r="BP88" t="s">
        <v>69</v>
      </c>
    </row>
    <row r="89" spans="1:68" x14ac:dyDescent="0.15">
      <c r="A89" t="s">
        <v>67</v>
      </c>
      <c r="B89" t="s">
        <v>1878</v>
      </c>
      <c r="C89" t="s">
        <v>69</v>
      </c>
      <c r="D89" t="s">
        <v>69</v>
      </c>
      <c r="E89" t="s">
        <v>69</v>
      </c>
      <c r="F89" t="s">
        <v>1879</v>
      </c>
      <c r="G89" t="s">
        <v>69</v>
      </c>
      <c r="H89" t="s">
        <v>69</v>
      </c>
      <c r="I89" t="s">
        <v>1880</v>
      </c>
      <c r="J89" t="s">
        <v>1881</v>
      </c>
      <c r="K89" t="s">
        <v>69</v>
      </c>
      <c r="L89" t="s">
        <v>69</v>
      </c>
      <c r="M89" t="s">
        <v>73</v>
      </c>
      <c r="N89" t="s">
        <v>318</v>
      </c>
      <c r="O89" t="s">
        <v>69</v>
      </c>
      <c r="P89" t="s">
        <v>69</v>
      </c>
      <c r="Q89" t="s">
        <v>69</v>
      </c>
      <c r="R89" t="s">
        <v>69</v>
      </c>
      <c r="S89" t="s">
        <v>69</v>
      </c>
      <c r="T89" t="s">
        <v>69</v>
      </c>
      <c r="U89" t="s">
        <v>1882</v>
      </c>
      <c r="V89" t="s">
        <v>1883</v>
      </c>
      <c r="W89" t="s">
        <v>69</v>
      </c>
      <c r="X89" t="s">
        <v>69</v>
      </c>
      <c r="Y89" t="s">
        <v>69</v>
      </c>
      <c r="Z89" t="s">
        <v>69</v>
      </c>
      <c r="AA89" t="s">
        <v>69</v>
      </c>
      <c r="AB89" t="s">
        <v>69</v>
      </c>
      <c r="AC89" t="s">
        <v>69</v>
      </c>
      <c r="AD89" t="s">
        <v>69</v>
      </c>
      <c r="AE89">
        <v>130</v>
      </c>
      <c r="AF89">
        <v>7</v>
      </c>
      <c r="AG89">
        <v>7</v>
      </c>
      <c r="AH89">
        <v>1</v>
      </c>
      <c r="AI89">
        <v>8</v>
      </c>
      <c r="AJ89" t="s">
        <v>1833</v>
      </c>
      <c r="AK89" t="s">
        <v>573</v>
      </c>
      <c r="AL89" t="s">
        <v>1834</v>
      </c>
      <c r="AM89" t="s">
        <v>1884</v>
      </c>
      <c r="AN89" t="s">
        <v>1885</v>
      </c>
      <c r="AO89" t="s">
        <v>69</v>
      </c>
      <c r="AP89" t="s">
        <v>1886</v>
      </c>
      <c r="AQ89" t="s">
        <v>1887</v>
      </c>
      <c r="AR89" t="s">
        <v>1888</v>
      </c>
      <c r="AS89">
        <v>2017</v>
      </c>
      <c r="AT89">
        <v>41</v>
      </c>
      <c r="AU89">
        <v>3</v>
      </c>
      <c r="AV89" t="s">
        <v>69</v>
      </c>
      <c r="AW89" t="s">
        <v>69</v>
      </c>
      <c r="AX89" t="s">
        <v>69</v>
      </c>
      <c r="AY89" t="s">
        <v>69</v>
      </c>
      <c r="AZ89">
        <v>445</v>
      </c>
      <c r="BA89">
        <v>475</v>
      </c>
      <c r="BB89" t="s">
        <v>69</v>
      </c>
      <c r="BC89" t="s">
        <v>1889</v>
      </c>
      <c r="BD89" t="s">
        <v>69</v>
      </c>
      <c r="BE89" t="s">
        <v>69</v>
      </c>
      <c r="BF89">
        <v>31</v>
      </c>
      <c r="BG89" t="s">
        <v>1890</v>
      </c>
      <c r="BH89" t="s">
        <v>1891</v>
      </c>
      <c r="BI89" t="s">
        <v>1892</v>
      </c>
      <c r="BJ89" t="s">
        <v>1893</v>
      </c>
      <c r="BK89" t="s">
        <v>69</v>
      </c>
      <c r="BL89" t="s">
        <v>69</v>
      </c>
      <c r="BM89" t="s">
        <v>69</v>
      </c>
      <c r="BN89" t="s">
        <v>69</v>
      </c>
      <c r="BO89" t="s">
        <v>95</v>
      </c>
      <c r="BP89" t="s">
        <v>69</v>
      </c>
    </row>
    <row r="90" spans="1:68" x14ac:dyDescent="0.15">
      <c r="A90" t="s">
        <v>67</v>
      </c>
      <c r="B90" t="s">
        <v>1894</v>
      </c>
      <c r="C90" t="s">
        <v>69</v>
      </c>
      <c r="D90" t="s">
        <v>69</v>
      </c>
      <c r="E90" t="s">
        <v>69</v>
      </c>
      <c r="F90" t="s">
        <v>1895</v>
      </c>
      <c r="G90" t="s">
        <v>69</v>
      </c>
      <c r="H90" t="s">
        <v>69</v>
      </c>
      <c r="I90" t="s">
        <v>1896</v>
      </c>
      <c r="J90" t="s">
        <v>1471</v>
      </c>
      <c r="K90" t="s">
        <v>69</v>
      </c>
      <c r="L90" t="s">
        <v>69</v>
      </c>
      <c r="M90" t="s">
        <v>73</v>
      </c>
      <c r="N90" t="s">
        <v>74</v>
      </c>
      <c r="O90" t="s">
        <v>69</v>
      </c>
      <c r="P90" t="s">
        <v>69</v>
      </c>
      <c r="Q90" t="s">
        <v>69</v>
      </c>
      <c r="R90" t="s">
        <v>69</v>
      </c>
      <c r="S90" t="s">
        <v>69</v>
      </c>
      <c r="T90" t="s">
        <v>1897</v>
      </c>
      <c r="U90" t="s">
        <v>69</v>
      </c>
      <c r="V90" t="s">
        <v>1898</v>
      </c>
      <c r="W90" t="s">
        <v>1899</v>
      </c>
      <c r="X90" t="s">
        <v>1900</v>
      </c>
      <c r="Y90" t="s">
        <v>1901</v>
      </c>
      <c r="Z90" t="s">
        <v>69</v>
      </c>
      <c r="AA90" t="s">
        <v>69</v>
      </c>
      <c r="AB90" t="s">
        <v>1902</v>
      </c>
      <c r="AC90" t="s">
        <v>1903</v>
      </c>
      <c r="AD90" t="s">
        <v>69</v>
      </c>
      <c r="AE90">
        <v>41</v>
      </c>
      <c r="AF90">
        <v>3</v>
      </c>
      <c r="AG90">
        <v>3</v>
      </c>
      <c r="AH90">
        <v>2</v>
      </c>
      <c r="AI90">
        <v>15</v>
      </c>
      <c r="AJ90" t="s">
        <v>1480</v>
      </c>
      <c r="AK90" t="s">
        <v>1481</v>
      </c>
      <c r="AL90" t="s">
        <v>1482</v>
      </c>
      <c r="AM90" t="s">
        <v>1483</v>
      </c>
      <c r="AN90" t="s">
        <v>1484</v>
      </c>
      <c r="AO90" t="s">
        <v>69</v>
      </c>
      <c r="AP90" t="s">
        <v>1485</v>
      </c>
      <c r="AQ90" t="s">
        <v>1486</v>
      </c>
      <c r="AR90" t="s">
        <v>490</v>
      </c>
      <c r="AS90">
        <v>2017</v>
      </c>
      <c r="AT90">
        <v>18</v>
      </c>
      <c r="AU90">
        <v>3</v>
      </c>
      <c r="AV90" t="s">
        <v>69</v>
      </c>
      <c r="AW90" t="s">
        <v>69</v>
      </c>
      <c r="AX90" t="s">
        <v>69</v>
      </c>
      <c r="AY90" t="s">
        <v>69</v>
      </c>
      <c r="AZ90">
        <v>771</v>
      </c>
      <c r="BA90">
        <v>789</v>
      </c>
      <c r="BB90" t="s">
        <v>69</v>
      </c>
      <c r="BC90" t="s">
        <v>1904</v>
      </c>
      <c r="BD90" t="s">
        <v>69</v>
      </c>
      <c r="BE90" t="s">
        <v>69</v>
      </c>
      <c r="BF90">
        <v>19</v>
      </c>
      <c r="BG90" t="s">
        <v>604</v>
      </c>
      <c r="BH90" t="s">
        <v>604</v>
      </c>
      <c r="BI90" t="s">
        <v>1905</v>
      </c>
      <c r="BJ90" t="s">
        <v>1906</v>
      </c>
      <c r="BK90" t="s">
        <v>69</v>
      </c>
      <c r="BL90" t="s">
        <v>69</v>
      </c>
      <c r="BM90" t="s">
        <v>69</v>
      </c>
      <c r="BN90" t="s">
        <v>69</v>
      </c>
      <c r="BO90" t="s">
        <v>95</v>
      </c>
      <c r="BP90" t="s">
        <v>69</v>
      </c>
    </row>
    <row r="91" spans="1:68" x14ac:dyDescent="0.15">
      <c r="A91" t="s">
        <v>67</v>
      </c>
      <c r="B91" t="s">
        <v>1907</v>
      </c>
      <c r="C91" t="s">
        <v>69</v>
      </c>
      <c r="D91" t="s">
        <v>69</v>
      </c>
      <c r="E91" t="s">
        <v>69</v>
      </c>
      <c r="F91" t="s">
        <v>1908</v>
      </c>
      <c r="G91" t="s">
        <v>69</v>
      </c>
      <c r="H91" t="s">
        <v>69</v>
      </c>
      <c r="I91" t="s">
        <v>1909</v>
      </c>
      <c r="J91" t="s">
        <v>1910</v>
      </c>
      <c r="K91" t="s">
        <v>69</v>
      </c>
      <c r="L91" t="s">
        <v>69</v>
      </c>
      <c r="M91" t="s">
        <v>456</v>
      </c>
      <c r="N91" t="s">
        <v>74</v>
      </c>
      <c r="O91" t="s">
        <v>69</v>
      </c>
      <c r="P91" t="s">
        <v>69</v>
      </c>
      <c r="Q91" t="s">
        <v>69</v>
      </c>
      <c r="R91" t="s">
        <v>69</v>
      </c>
      <c r="S91" t="s">
        <v>69</v>
      </c>
      <c r="T91" t="s">
        <v>1911</v>
      </c>
      <c r="U91" t="s">
        <v>1912</v>
      </c>
      <c r="V91" t="s">
        <v>1913</v>
      </c>
      <c r="W91" t="s">
        <v>1914</v>
      </c>
      <c r="X91" t="s">
        <v>1915</v>
      </c>
      <c r="Y91" t="s">
        <v>1916</v>
      </c>
      <c r="Z91" t="s">
        <v>69</v>
      </c>
      <c r="AA91" t="s">
        <v>69</v>
      </c>
      <c r="AB91" t="s">
        <v>69</v>
      </c>
      <c r="AC91" t="s">
        <v>69</v>
      </c>
      <c r="AD91" t="s">
        <v>69</v>
      </c>
      <c r="AE91">
        <v>41</v>
      </c>
      <c r="AF91">
        <v>0</v>
      </c>
      <c r="AG91">
        <v>0</v>
      </c>
      <c r="AH91">
        <v>0</v>
      </c>
      <c r="AI91">
        <v>0</v>
      </c>
      <c r="AJ91" t="s">
        <v>1917</v>
      </c>
      <c r="AK91" t="s">
        <v>1918</v>
      </c>
      <c r="AL91" t="s">
        <v>1919</v>
      </c>
      <c r="AM91" t="s">
        <v>1920</v>
      </c>
      <c r="AN91" t="s">
        <v>69</v>
      </c>
      <c r="AO91" t="s">
        <v>69</v>
      </c>
      <c r="AP91" t="s">
        <v>1921</v>
      </c>
      <c r="AQ91" t="s">
        <v>1922</v>
      </c>
      <c r="AR91" t="s">
        <v>1923</v>
      </c>
      <c r="AS91">
        <v>2017</v>
      </c>
      <c r="AT91">
        <v>13</v>
      </c>
      <c r="AU91">
        <v>26</v>
      </c>
      <c r="AV91" t="s">
        <v>69</v>
      </c>
      <c r="AW91" t="s">
        <v>69</v>
      </c>
      <c r="AX91" t="s">
        <v>69</v>
      </c>
      <c r="AY91" t="s">
        <v>69</v>
      </c>
      <c r="AZ91">
        <v>10</v>
      </c>
      <c r="BA91">
        <v>23</v>
      </c>
      <c r="BB91" t="s">
        <v>69</v>
      </c>
      <c r="BC91" t="s">
        <v>69</v>
      </c>
      <c r="BD91" t="s">
        <v>69</v>
      </c>
      <c r="BE91" t="s">
        <v>69</v>
      </c>
      <c r="BF91">
        <v>14</v>
      </c>
      <c r="BG91" t="s">
        <v>604</v>
      </c>
      <c r="BH91" t="s">
        <v>604</v>
      </c>
      <c r="BI91" t="s">
        <v>1924</v>
      </c>
      <c r="BJ91" t="s">
        <v>1925</v>
      </c>
      <c r="BK91" t="s">
        <v>69</v>
      </c>
      <c r="BL91" t="s">
        <v>94</v>
      </c>
      <c r="BM91" t="s">
        <v>69</v>
      </c>
      <c r="BN91" t="s">
        <v>69</v>
      </c>
      <c r="BO91" t="s">
        <v>95</v>
      </c>
      <c r="BP91" t="s">
        <v>69</v>
      </c>
    </row>
    <row r="92" spans="1:68" x14ac:dyDescent="0.15">
      <c r="A92" t="s">
        <v>67</v>
      </c>
      <c r="B92" t="s">
        <v>1926</v>
      </c>
      <c r="C92" t="s">
        <v>69</v>
      </c>
      <c r="D92" t="s">
        <v>69</v>
      </c>
      <c r="E92" t="s">
        <v>69</v>
      </c>
      <c r="F92" t="s">
        <v>1927</v>
      </c>
      <c r="G92" t="s">
        <v>69</v>
      </c>
      <c r="H92" t="s">
        <v>69</v>
      </c>
      <c r="I92" t="s">
        <v>1928</v>
      </c>
      <c r="J92" t="s">
        <v>1929</v>
      </c>
      <c r="K92" t="s">
        <v>69</v>
      </c>
      <c r="L92" t="s">
        <v>69</v>
      </c>
      <c r="M92" t="s">
        <v>73</v>
      </c>
      <c r="N92" t="s">
        <v>74</v>
      </c>
      <c r="O92" t="s">
        <v>69</v>
      </c>
      <c r="P92" t="s">
        <v>69</v>
      </c>
      <c r="Q92" t="s">
        <v>69</v>
      </c>
      <c r="R92" t="s">
        <v>69</v>
      </c>
      <c r="S92" t="s">
        <v>69</v>
      </c>
      <c r="T92" t="s">
        <v>1930</v>
      </c>
      <c r="U92" t="s">
        <v>1931</v>
      </c>
      <c r="V92" t="s">
        <v>1932</v>
      </c>
      <c r="W92" t="s">
        <v>1933</v>
      </c>
      <c r="X92" t="s">
        <v>1934</v>
      </c>
      <c r="Y92" t="s">
        <v>1935</v>
      </c>
      <c r="Z92" t="s">
        <v>69</v>
      </c>
      <c r="AA92" t="s">
        <v>69</v>
      </c>
      <c r="AB92" t="s">
        <v>69</v>
      </c>
      <c r="AC92" t="s">
        <v>69</v>
      </c>
      <c r="AD92" t="s">
        <v>69</v>
      </c>
      <c r="AE92">
        <v>63</v>
      </c>
      <c r="AF92">
        <v>11</v>
      </c>
      <c r="AG92">
        <v>11</v>
      </c>
      <c r="AH92">
        <v>0</v>
      </c>
      <c r="AI92">
        <v>19</v>
      </c>
      <c r="AJ92" t="s">
        <v>180</v>
      </c>
      <c r="AK92" t="s">
        <v>181</v>
      </c>
      <c r="AL92" t="s">
        <v>182</v>
      </c>
      <c r="AM92" t="s">
        <v>1936</v>
      </c>
      <c r="AN92" t="s">
        <v>1937</v>
      </c>
      <c r="AO92" t="s">
        <v>69</v>
      </c>
      <c r="AP92" t="s">
        <v>1938</v>
      </c>
      <c r="AQ92" t="s">
        <v>1939</v>
      </c>
      <c r="AR92" t="s">
        <v>934</v>
      </c>
      <c r="AS92">
        <v>2017</v>
      </c>
      <c r="AT92">
        <v>672</v>
      </c>
      <c r="AU92">
        <v>1</v>
      </c>
      <c r="AV92" t="s">
        <v>69</v>
      </c>
      <c r="AW92" t="s">
        <v>69</v>
      </c>
      <c r="AX92" t="s">
        <v>69</v>
      </c>
      <c r="AY92" t="s">
        <v>69</v>
      </c>
      <c r="AZ92">
        <v>64</v>
      </c>
      <c r="BA92">
        <v>82</v>
      </c>
      <c r="BB92" t="s">
        <v>69</v>
      </c>
      <c r="BC92" t="s">
        <v>1940</v>
      </c>
      <c r="BD92" t="s">
        <v>69</v>
      </c>
      <c r="BE92" t="s">
        <v>69</v>
      </c>
      <c r="BF92">
        <v>19</v>
      </c>
      <c r="BG92" t="s">
        <v>1941</v>
      </c>
      <c r="BH92" t="s">
        <v>1942</v>
      </c>
      <c r="BI92" t="s">
        <v>1943</v>
      </c>
      <c r="BJ92" t="s">
        <v>1944</v>
      </c>
      <c r="BK92" t="s">
        <v>69</v>
      </c>
      <c r="BL92" t="s">
        <v>69</v>
      </c>
      <c r="BM92" t="s">
        <v>69</v>
      </c>
      <c r="BN92" t="s">
        <v>69</v>
      </c>
      <c r="BO92" t="s">
        <v>95</v>
      </c>
      <c r="BP92" t="s">
        <v>69</v>
      </c>
    </row>
    <row r="93" spans="1:68" x14ac:dyDescent="0.15">
      <c r="A93" t="s">
        <v>67</v>
      </c>
      <c r="B93" t="s">
        <v>1945</v>
      </c>
      <c r="C93" t="s">
        <v>69</v>
      </c>
      <c r="D93" t="s">
        <v>69</v>
      </c>
      <c r="E93" t="s">
        <v>69</v>
      </c>
      <c r="F93" t="s">
        <v>1946</v>
      </c>
      <c r="G93" t="s">
        <v>69</v>
      </c>
      <c r="H93" t="s">
        <v>69</v>
      </c>
      <c r="I93" t="s">
        <v>1947</v>
      </c>
      <c r="J93" t="s">
        <v>1948</v>
      </c>
      <c r="K93" t="s">
        <v>69</v>
      </c>
      <c r="L93" t="s">
        <v>69</v>
      </c>
      <c r="M93" t="s">
        <v>73</v>
      </c>
      <c r="N93" t="s">
        <v>74</v>
      </c>
      <c r="O93" t="s">
        <v>69</v>
      </c>
      <c r="P93" t="s">
        <v>69</v>
      </c>
      <c r="Q93" t="s">
        <v>69</v>
      </c>
      <c r="R93" t="s">
        <v>69</v>
      </c>
      <c r="S93" t="s">
        <v>69</v>
      </c>
      <c r="T93" t="s">
        <v>69</v>
      </c>
      <c r="U93" t="s">
        <v>1949</v>
      </c>
      <c r="V93" t="s">
        <v>1950</v>
      </c>
      <c r="W93" t="s">
        <v>1951</v>
      </c>
      <c r="X93" t="s">
        <v>1952</v>
      </c>
      <c r="Y93" t="s">
        <v>1953</v>
      </c>
      <c r="Z93" t="s">
        <v>69</v>
      </c>
      <c r="AA93" t="s">
        <v>69</v>
      </c>
      <c r="AB93" t="s">
        <v>1954</v>
      </c>
      <c r="AC93" t="s">
        <v>1955</v>
      </c>
      <c r="AD93" t="s">
        <v>69</v>
      </c>
      <c r="AE93">
        <v>58</v>
      </c>
      <c r="AF93">
        <v>4</v>
      </c>
      <c r="AG93">
        <v>4</v>
      </c>
      <c r="AH93">
        <v>1</v>
      </c>
      <c r="AI93">
        <v>14</v>
      </c>
      <c r="AJ93" t="s">
        <v>223</v>
      </c>
      <c r="AK93" t="s">
        <v>224</v>
      </c>
      <c r="AL93" t="s">
        <v>225</v>
      </c>
      <c r="AM93" t="s">
        <v>1956</v>
      </c>
      <c r="AN93" t="s">
        <v>69</v>
      </c>
      <c r="AO93" t="s">
        <v>69</v>
      </c>
      <c r="AP93" t="s">
        <v>1957</v>
      </c>
      <c r="AQ93" t="s">
        <v>1958</v>
      </c>
      <c r="AR93" t="s">
        <v>579</v>
      </c>
      <c r="AS93">
        <v>2017</v>
      </c>
      <c r="AT93">
        <v>11</v>
      </c>
      <c r="AU93">
        <v>6</v>
      </c>
      <c r="AV93" t="s">
        <v>69</v>
      </c>
      <c r="AW93" t="s">
        <v>69</v>
      </c>
      <c r="AX93" t="s">
        <v>69</v>
      </c>
      <c r="AY93" t="s">
        <v>69</v>
      </c>
      <c r="AZ93" t="s">
        <v>69</v>
      </c>
      <c r="BA93" t="s">
        <v>69</v>
      </c>
      <c r="BB93" t="s">
        <v>1959</v>
      </c>
      <c r="BC93" t="s">
        <v>1960</v>
      </c>
      <c r="BD93" t="s">
        <v>69</v>
      </c>
      <c r="BE93" t="s">
        <v>69</v>
      </c>
      <c r="BF93">
        <v>10</v>
      </c>
      <c r="BG93" t="s">
        <v>493</v>
      </c>
      <c r="BH93" t="s">
        <v>493</v>
      </c>
      <c r="BI93" t="s">
        <v>1961</v>
      </c>
      <c r="BJ93" t="s">
        <v>1962</v>
      </c>
      <c r="BK93" t="s">
        <v>69</v>
      </c>
      <c r="BL93" t="s">
        <v>69</v>
      </c>
      <c r="BM93" t="s">
        <v>69</v>
      </c>
      <c r="BN93" t="s">
        <v>69</v>
      </c>
      <c r="BO93" t="s">
        <v>95</v>
      </c>
      <c r="BP93" t="s">
        <v>69</v>
      </c>
    </row>
    <row r="94" spans="1:68" x14ac:dyDescent="0.15">
      <c r="A94" t="s">
        <v>67</v>
      </c>
      <c r="B94" t="s">
        <v>1963</v>
      </c>
      <c r="C94" t="s">
        <v>69</v>
      </c>
      <c r="D94" t="s">
        <v>69</v>
      </c>
      <c r="E94" t="s">
        <v>69</v>
      </c>
      <c r="F94" t="s">
        <v>1964</v>
      </c>
      <c r="G94" t="s">
        <v>69</v>
      </c>
      <c r="H94" t="s">
        <v>69</v>
      </c>
      <c r="I94" t="s">
        <v>1965</v>
      </c>
      <c r="J94" t="s">
        <v>1966</v>
      </c>
      <c r="K94" t="s">
        <v>69</v>
      </c>
      <c r="L94" t="s">
        <v>69</v>
      </c>
      <c r="M94" t="s">
        <v>73</v>
      </c>
      <c r="N94" t="s">
        <v>74</v>
      </c>
      <c r="O94" t="s">
        <v>69</v>
      </c>
      <c r="P94" t="s">
        <v>69</v>
      </c>
      <c r="Q94" t="s">
        <v>69</v>
      </c>
      <c r="R94" t="s">
        <v>69</v>
      </c>
      <c r="S94" t="s">
        <v>69</v>
      </c>
      <c r="T94" t="s">
        <v>1967</v>
      </c>
      <c r="U94" t="s">
        <v>1968</v>
      </c>
      <c r="V94" t="s">
        <v>1969</v>
      </c>
      <c r="W94" t="s">
        <v>1970</v>
      </c>
      <c r="X94" t="s">
        <v>1971</v>
      </c>
      <c r="Y94" t="s">
        <v>1972</v>
      </c>
      <c r="Z94" t="s">
        <v>69</v>
      </c>
      <c r="AA94" t="s">
        <v>1973</v>
      </c>
      <c r="AB94" t="s">
        <v>69</v>
      </c>
      <c r="AC94" t="s">
        <v>69</v>
      </c>
      <c r="AD94" t="s">
        <v>69</v>
      </c>
      <c r="AE94">
        <v>27</v>
      </c>
      <c r="AF94">
        <v>0</v>
      </c>
      <c r="AG94">
        <v>0</v>
      </c>
      <c r="AH94">
        <v>0</v>
      </c>
      <c r="AI94">
        <v>8</v>
      </c>
      <c r="AJ94" t="s">
        <v>180</v>
      </c>
      <c r="AK94" t="s">
        <v>181</v>
      </c>
      <c r="AL94" t="s">
        <v>182</v>
      </c>
      <c r="AM94" t="s">
        <v>1974</v>
      </c>
      <c r="AN94" t="s">
        <v>1975</v>
      </c>
      <c r="AO94" t="s">
        <v>69</v>
      </c>
      <c r="AP94" t="s">
        <v>1976</v>
      </c>
      <c r="AQ94" t="s">
        <v>1977</v>
      </c>
      <c r="AR94" t="s">
        <v>468</v>
      </c>
      <c r="AS94">
        <v>2017</v>
      </c>
      <c r="AT94">
        <v>28</v>
      </c>
      <c r="AU94">
        <v>3</v>
      </c>
      <c r="AV94" t="s">
        <v>69</v>
      </c>
      <c r="AW94" t="s">
        <v>69</v>
      </c>
      <c r="AX94" t="s">
        <v>69</v>
      </c>
      <c r="AY94" t="s">
        <v>69</v>
      </c>
      <c r="AZ94">
        <v>230</v>
      </c>
      <c r="BA94">
        <v>235</v>
      </c>
      <c r="BB94" t="s">
        <v>69</v>
      </c>
      <c r="BC94" t="s">
        <v>1978</v>
      </c>
      <c r="BD94" t="s">
        <v>69</v>
      </c>
      <c r="BE94" t="s">
        <v>69</v>
      </c>
      <c r="BF94">
        <v>6</v>
      </c>
      <c r="BG94" t="s">
        <v>1979</v>
      </c>
      <c r="BH94" t="s">
        <v>1979</v>
      </c>
      <c r="BI94" t="s">
        <v>1980</v>
      </c>
      <c r="BJ94" t="s">
        <v>1981</v>
      </c>
      <c r="BK94">
        <v>27444930</v>
      </c>
      <c r="BL94" t="s">
        <v>69</v>
      </c>
      <c r="BM94" t="s">
        <v>69</v>
      </c>
      <c r="BN94" t="s">
        <v>69</v>
      </c>
      <c r="BO94" t="s">
        <v>95</v>
      </c>
      <c r="BP94" t="s">
        <v>69</v>
      </c>
    </row>
    <row r="95" spans="1:68" x14ac:dyDescent="0.15">
      <c r="A95" t="s">
        <v>67</v>
      </c>
      <c r="B95" t="s">
        <v>1982</v>
      </c>
      <c r="C95" t="s">
        <v>69</v>
      </c>
      <c r="D95" t="s">
        <v>69</v>
      </c>
      <c r="E95" t="s">
        <v>69</v>
      </c>
      <c r="F95" t="s">
        <v>1983</v>
      </c>
      <c r="G95" t="s">
        <v>69</v>
      </c>
      <c r="H95" t="s">
        <v>69</v>
      </c>
      <c r="I95" t="s">
        <v>1984</v>
      </c>
      <c r="J95" t="s">
        <v>1985</v>
      </c>
      <c r="K95" t="s">
        <v>69</v>
      </c>
      <c r="L95" t="s">
        <v>69</v>
      </c>
      <c r="M95" t="s">
        <v>73</v>
      </c>
      <c r="N95" t="s">
        <v>74</v>
      </c>
      <c r="O95" t="s">
        <v>69</v>
      </c>
      <c r="P95" t="s">
        <v>69</v>
      </c>
      <c r="Q95" t="s">
        <v>69</v>
      </c>
      <c r="R95" t="s">
        <v>69</v>
      </c>
      <c r="S95" t="s">
        <v>69</v>
      </c>
      <c r="T95" t="s">
        <v>1986</v>
      </c>
      <c r="U95" t="s">
        <v>1987</v>
      </c>
      <c r="V95" t="s">
        <v>1988</v>
      </c>
      <c r="W95" t="s">
        <v>1989</v>
      </c>
      <c r="X95" t="s">
        <v>1990</v>
      </c>
      <c r="Y95" t="s">
        <v>1991</v>
      </c>
      <c r="Z95" t="s">
        <v>1992</v>
      </c>
      <c r="AA95" t="s">
        <v>1993</v>
      </c>
      <c r="AB95" t="s">
        <v>69</v>
      </c>
      <c r="AC95" t="s">
        <v>69</v>
      </c>
      <c r="AD95" t="s">
        <v>69</v>
      </c>
      <c r="AE95">
        <v>91</v>
      </c>
      <c r="AF95">
        <v>16</v>
      </c>
      <c r="AG95">
        <v>16</v>
      </c>
      <c r="AH95">
        <v>3</v>
      </c>
      <c r="AI95">
        <v>29</v>
      </c>
      <c r="AJ95" t="s">
        <v>1994</v>
      </c>
      <c r="AK95" t="s">
        <v>772</v>
      </c>
      <c r="AL95" t="s">
        <v>1995</v>
      </c>
      <c r="AM95" t="s">
        <v>1996</v>
      </c>
      <c r="AN95" t="s">
        <v>1997</v>
      </c>
      <c r="AO95" t="s">
        <v>69</v>
      </c>
      <c r="AP95" t="s">
        <v>1998</v>
      </c>
      <c r="AQ95" t="s">
        <v>1999</v>
      </c>
      <c r="AR95" t="s">
        <v>88</v>
      </c>
      <c r="AS95">
        <v>2017</v>
      </c>
      <c r="AT95">
        <v>62</v>
      </c>
      <c r="AU95" t="s">
        <v>69</v>
      </c>
      <c r="AV95" t="s">
        <v>69</v>
      </c>
      <c r="AW95" t="s">
        <v>69</v>
      </c>
      <c r="AX95" t="s">
        <v>69</v>
      </c>
      <c r="AY95" t="s">
        <v>69</v>
      </c>
      <c r="AZ95">
        <v>53</v>
      </c>
      <c r="BA95">
        <v>66</v>
      </c>
      <c r="BB95" t="s">
        <v>69</v>
      </c>
      <c r="BC95" t="s">
        <v>2000</v>
      </c>
      <c r="BD95" t="s">
        <v>69</v>
      </c>
      <c r="BE95" t="s">
        <v>69</v>
      </c>
      <c r="BF95">
        <v>14</v>
      </c>
      <c r="BG95" t="s">
        <v>921</v>
      </c>
      <c r="BH95" t="s">
        <v>922</v>
      </c>
      <c r="BI95" t="s">
        <v>2001</v>
      </c>
      <c r="BJ95" t="s">
        <v>2002</v>
      </c>
      <c r="BK95" t="s">
        <v>69</v>
      </c>
      <c r="BL95" t="s">
        <v>69</v>
      </c>
      <c r="BM95" t="s">
        <v>69</v>
      </c>
      <c r="BN95" t="s">
        <v>69</v>
      </c>
      <c r="BO95" t="s">
        <v>95</v>
      </c>
      <c r="BP95" t="s">
        <v>69</v>
      </c>
    </row>
    <row r="96" spans="1:68" x14ac:dyDescent="0.15">
      <c r="A96" t="s">
        <v>67</v>
      </c>
      <c r="B96" t="s">
        <v>2003</v>
      </c>
      <c r="C96" t="s">
        <v>69</v>
      </c>
      <c r="D96" t="s">
        <v>69</v>
      </c>
      <c r="E96" t="s">
        <v>69</v>
      </c>
      <c r="F96" t="s">
        <v>2004</v>
      </c>
      <c r="G96" t="s">
        <v>69</v>
      </c>
      <c r="H96" t="s">
        <v>69</v>
      </c>
      <c r="I96" t="s">
        <v>2005</v>
      </c>
      <c r="J96" t="s">
        <v>431</v>
      </c>
      <c r="K96" t="s">
        <v>69</v>
      </c>
      <c r="L96" t="s">
        <v>69</v>
      </c>
      <c r="M96" t="s">
        <v>73</v>
      </c>
      <c r="N96" t="s">
        <v>74</v>
      </c>
      <c r="O96" t="s">
        <v>69</v>
      </c>
      <c r="P96" t="s">
        <v>69</v>
      </c>
      <c r="Q96" t="s">
        <v>69</v>
      </c>
      <c r="R96" t="s">
        <v>69</v>
      </c>
      <c r="S96" t="s">
        <v>69</v>
      </c>
      <c r="T96" t="s">
        <v>2006</v>
      </c>
      <c r="U96" t="s">
        <v>2007</v>
      </c>
      <c r="V96" t="s">
        <v>2008</v>
      </c>
      <c r="W96" t="s">
        <v>2009</v>
      </c>
      <c r="X96" t="s">
        <v>2010</v>
      </c>
      <c r="Y96" t="s">
        <v>2011</v>
      </c>
      <c r="Z96" t="s">
        <v>2012</v>
      </c>
      <c r="AA96" t="s">
        <v>2013</v>
      </c>
      <c r="AB96" t="s">
        <v>2014</v>
      </c>
      <c r="AC96" t="s">
        <v>2015</v>
      </c>
      <c r="AD96" t="s">
        <v>69</v>
      </c>
      <c r="AE96">
        <v>66</v>
      </c>
      <c r="AF96">
        <v>10</v>
      </c>
      <c r="AG96">
        <v>10</v>
      </c>
      <c r="AH96">
        <v>0</v>
      </c>
      <c r="AI96">
        <v>18</v>
      </c>
      <c r="AJ96" t="s">
        <v>441</v>
      </c>
      <c r="AK96" t="s">
        <v>442</v>
      </c>
      <c r="AL96" t="s">
        <v>443</v>
      </c>
      <c r="AM96" t="s">
        <v>444</v>
      </c>
      <c r="AN96" t="s">
        <v>69</v>
      </c>
      <c r="AO96" t="s">
        <v>69</v>
      </c>
      <c r="AP96" t="s">
        <v>445</v>
      </c>
      <c r="AQ96" t="s">
        <v>446</v>
      </c>
      <c r="AR96" t="s">
        <v>2016</v>
      </c>
      <c r="AS96">
        <v>2017</v>
      </c>
      <c r="AT96">
        <v>8</v>
      </c>
      <c r="AU96" t="s">
        <v>69</v>
      </c>
      <c r="AV96" t="s">
        <v>69</v>
      </c>
      <c r="AW96" t="s">
        <v>69</v>
      </c>
      <c r="AX96" t="s">
        <v>69</v>
      </c>
      <c r="AY96" t="s">
        <v>69</v>
      </c>
      <c r="AZ96" t="s">
        <v>69</v>
      </c>
      <c r="BA96" t="s">
        <v>69</v>
      </c>
      <c r="BB96">
        <v>469</v>
      </c>
      <c r="BC96" t="s">
        <v>2017</v>
      </c>
      <c r="BD96" t="s">
        <v>69</v>
      </c>
      <c r="BE96" t="s">
        <v>69</v>
      </c>
      <c r="BF96">
        <v>19</v>
      </c>
      <c r="BG96" t="s">
        <v>449</v>
      </c>
      <c r="BH96" t="s">
        <v>288</v>
      </c>
      <c r="BI96" t="s">
        <v>2018</v>
      </c>
      <c r="BJ96" t="s">
        <v>2019</v>
      </c>
      <c r="BK96">
        <v>28408892</v>
      </c>
      <c r="BL96" t="s">
        <v>336</v>
      </c>
      <c r="BM96" t="s">
        <v>69</v>
      </c>
      <c r="BN96" t="s">
        <v>69</v>
      </c>
      <c r="BO96" t="s">
        <v>95</v>
      </c>
      <c r="BP96" t="s">
        <v>69</v>
      </c>
    </row>
    <row r="97" spans="1:68" x14ac:dyDescent="0.15">
      <c r="A97" t="s">
        <v>67</v>
      </c>
      <c r="B97" t="s">
        <v>2020</v>
      </c>
      <c r="C97" t="s">
        <v>69</v>
      </c>
      <c r="D97" t="s">
        <v>69</v>
      </c>
      <c r="E97" t="s">
        <v>69</v>
      </c>
      <c r="F97" t="s">
        <v>2021</v>
      </c>
      <c r="G97" t="s">
        <v>69</v>
      </c>
      <c r="H97" t="s">
        <v>69</v>
      </c>
      <c r="I97" t="s">
        <v>2022</v>
      </c>
      <c r="J97" t="s">
        <v>2023</v>
      </c>
      <c r="K97" t="s">
        <v>69</v>
      </c>
      <c r="L97" t="s">
        <v>69</v>
      </c>
      <c r="M97" t="s">
        <v>73</v>
      </c>
      <c r="N97" t="s">
        <v>74</v>
      </c>
      <c r="O97" t="s">
        <v>69</v>
      </c>
      <c r="P97" t="s">
        <v>69</v>
      </c>
      <c r="Q97" t="s">
        <v>69</v>
      </c>
      <c r="R97" t="s">
        <v>69</v>
      </c>
      <c r="S97" t="s">
        <v>69</v>
      </c>
      <c r="T97" t="s">
        <v>2024</v>
      </c>
      <c r="U97" t="s">
        <v>2025</v>
      </c>
      <c r="V97" t="s">
        <v>2026</v>
      </c>
      <c r="W97" t="s">
        <v>2027</v>
      </c>
      <c r="X97" t="s">
        <v>2028</v>
      </c>
      <c r="Y97" t="s">
        <v>2029</v>
      </c>
      <c r="Z97" t="s">
        <v>69</v>
      </c>
      <c r="AA97" t="s">
        <v>69</v>
      </c>
      <c r="AB97" t="s">
        <v>2030</v>
      </c>
      <c r="AC97" t="s">
        <v>2031</v>
      </c>
      <c r="AD97" t="s">
        <v>69</v>
      </c>
      <c r="AE97">
        <v>52</v>
      </c>
      <c r="AF97">
        <v>9</v>
      </c>
      <c r="AG97">
        <v>9</v>
      </c>
      <c r="AH97">
        <v>2</v>
      </c>
      <c r="AI97">
        <v>7</v>
      </c>
      <c r="AJ97" t="s">
        <v>2032</v>
      </c>
      <c r="AK97" t="s">
        <v>772</v>
      </c>
      <c r="AL97" t="s">
        <v>2033</v>
      </c>
      <c r="AM97" t="s">
        <v>2034</v>
      </c>
      <c r="AN97" t="s">
        <v>2035</v>
      </c>
      <c r="AO97" t="s">
        <v>69</v>
      </c>
      <c r="AP97" t="s">
        <v>2036</v>
      </c>
      <c r="AQ97" t="s">
        <v>2037</v>
      </c>
      <c r="AR97" t="s">
        <v>511</v>
      </c>
      <c r="AS97">
        <v>2017</v>
      </c>
      <c r="AT97">
        <v>7</v>
      </c>
      <c r="AU97">
        <v>1</v>
      </c>
      <c r="AV97" t="s">
        <v>69</v>
      </c>
      <c r="AW97" t="s">
        <v>69</v>
      </c>
      <c r="AX97" t="s">
        <v>69</v>
      </c>
      <c r="AY97" t="s">
        <v>69</v>
      </c>
      <c r="AZ97" t="s">
        <v>69</v>
      </c>
      <c r="BA97" t="s">
        <v>69</v>
      </c>
      <c r="BB97" t="s">
        <v>69</v>
      </c>
      <c r="BC97" t="s">
        <v>2038</v>
      </c>
      <c r="BD97" t="s">
        <v>69</v>
      </c>
      <c r="BE97" t="s">
        <v>69</v>
      </c>
      <c r="BF97">
        <v>10</v>
      </c>
      <c r="BG97" t="s">
        <v>424</v>
      </c>
      <c r="BH97" t="s">
        <v>424</v>
      </c>
      <c r="BI97" t="s">
        <v>2039</v>
      </c>
      <c r="BJ97" t="s">
        <v>2040</v>
      </c>
      <c r="BK97">
        <v>27558245</v>
      </c>
      <c r="BL97" t="s">
        <v>1532</v>
      </c>
      <c r="BM97" t="s">
        <v>69</v>
      </c>
      <c r="BN97" t="s">
        <v>69</v>
      </c>
      <c r="BO97" t="s">
        <v>95</v>
      </c>
      <c r="BP97" t="s">
        <v>69</v>
      </c>
    </row>
    <row r="98" spans="1:68" x14ac:dyDescent="0.15">
      <c r="A98" t="s">
        <v>67</v>
      </c>
      <c r="B98" t="s">
        <v>2041</v>
      </c>
      <c r="C98" t="s">
        <v>69</v>
      </c>
      <c r="D98" t="s">
        <v>69</v>
      </c>
      <c r="E98" t="s">
        <v>69</v>
      </c>
      <c r="F98" t="s">
        <v>2042</v>
      </c>
      <c r="G98" t="s">
        <v>69</v>
      </c>
      <c r="H98" t="s">
        <v>69</v>
      </c>
      <c r="I98" t="s">
        <v>2043</v>
      </c>
      <c r="J98" t="s">
        <v>2044</v>
      </c>
      <c r="K98" t="s">
        <v>69</v>
      </c>
      <c r="L98" t="s">
        <v>69</v>
      </c>
      <c r="M98" t="s">
        <v>544</v>
      </c>
      <c r="N98" t="s">
        <v>74</v>
      </c>
      <c r="O98" t="s">
        <v>69</v>
      </c>
      <c r="P98" t="s">
        <v>69</v>
      </c>
      <c r="Q98" t="s">
        <v>69</v>
      </c>
      <c r="R98" t="s">
        <v>69</v>
      </c>
      <c r="S98" t="s">
        <v>69</v>
      </c>
      <c r="T98" t="s">
        <v>2045</v>
      </c>
      <c r="U98" t="s">
        <v>2046</v>
      </c>
      <c r="V98" t="s">
        <v>2047</v>
      </c>
      <c r="W98" t="s">
        <v>2048</v>
      </c>
      <c r="X98" t="s">
        <v>2049</v>
      </c>
      <c r="Y98" t="s">
        <v>2050</v>
      </c>
      <c r="Z98" t="s">
        <v>655</v>
      </c>
      <c r="AA98" t="s">
        <v>656</v>
      </c>
      <c r="AB98" t="s">
        <v>69</v>
      </c>
      <c r="AC98" t="s">
        <v>69</v>
      </c>
      <c r="AD98" t="s">
        <v>69</v>
      </c>
      <c r="AE98">
        <v>53</v>
      </c>
      <c r="AF98">
        <v>0</v>
      </c>
      <c r="AG98">
        <v>0</v>
      </c>
      <c r="AH98">
        <v>0</v>
      </c>
      <c r="AI98">
        <v>5</v>
      </c>
      <c r="AJ98" t="s">
        <v>2051</v>
      </c>
      <c r="AK98" t="s">
        <v>1772</v>
      </c>
      <c r="AL98" t="s">
        <v>2052</v>
      </c>
      <c r="AM98" t="s">
        <v>2053</v>
      </c>
      <c r="AN98" t="s">
        <v>2054</v>
      </c>
      <c r="AO98" t="s">
        <v>69</v>
      </c>
      <c r="AP98" t="s">
        <v>2055</v>
      </c>
      <c r="AQ98" t="s">
        <v>2056</v>
      </c>
      <c r="AR98" t="s">
        <v>511</v>
      </c>
      <c r="AS98">
        <v>2017</v>
      </c>
      <c r="AT98">
        <v>48</v>
      </c>
      <c r="AU98">
        <v>1</v>
      </c>
      <c r="AV98" t="s">
        <v>69</v>
      </c>
      <c r="AW98" t="s">
        <v>69</v>
      </c>
      <c r="AX98" t="s">
        <v>69</v>
      </c>
      <c r="AY98" t="s">
        <v>69</v>
      </c>
      <c r="AZ98">
        <v>61</v>
      </c>
      <c r="BA98">
        <v>68</v>
      </c>
      <c r="BB98" t="s">
        <v>69</v>
      </c>
      <c r="BC98" t="s">
        <v>2057</v>
      </c>
      <c r="BD98" t="s">
        <v>69</v>
      </c>
      <c r="BE98" t="s">
        <v>69</v>
      </c>
      <c r="BF98">
        <v>8</v>
      </c>
      <c r="BG98" t="s">
        <v>2058</v>
      </c>
      <c r="BH98" t="s">
        <v>288</v>
      </c>
      <c r="BI98" t="s">
        <v>2059</v>
      </c>
      <c r="BJ98" t="s">
        <v>2060</v>
      </c>
      <c r="BK98" t="s">
        <v>69</v>
      </c>
      <c r="BL98" t="s">
        <v>833</v>
      </c>
      <c r="BM98" t="s">
        <v>69</v>
      </c>
      <c r="BN98" t="s">
        <v>69</v>
      </c>
      <c r="BO98" t="s">
        <v>95</v>
      </c>
      <c r="BP98" t="s">
        <v>69</v>
      </c>
    </row>
    <row r="99" spans="1:68" x14ac:dyDescent="0.15">
      <c r="A99" t="s">
        <v>67</v>
      </c>
      <c r="B99" t="s">
        <v>2061</v>
      </c>
      <c r="C99" t="s">
        <v>69</v>
      </c>
      <c r="D99" t="s">
        <v>69</v>
      </c>
      <c r="E99" t="s">
        <v>69</v>
      </c>
      <c r="F99" t="s">
        <v>2062</v>
      </c>
      <c r="G99" t="s">
        <v>69</v>
      </c>
      <c r="H99" t="s">
        <v>69</v>
      </c>
      <c r="I99" t="s">
        <v>2063</v>
      </c>
      <c r="J99" t="s">
        <v>197</v>
      </c>
      <c r="K99" t="s">
        <v>69</v>
      </c>
      <c r="L99" t="s">
        <v>69</v>
      </c>
      <c r="M99" t="s">
        <v>73</v>
      </c>
      <c r="N99" t="s">
        <v>74</v>
      </c>
      <c r="O99" t="s">
        <v>69</v>
      </c>
      <c r="P99" t="s">
        <v>69</v>
      </c>
      <c r="Q99" t="s">
        <v>69</v>
      </c>
      <c r="R99" t="s">
        <v>69</v>
      </c>
      <c r="S99" t="s">
        <v>69</v>
      </c>
      <c r="T99" t="s">
        <v>2064</v>
      </c>
      <c r="U99" t="s">
        <v>69</v>
      </c>
      <c r="V99" t="s">
        <v>2065</v>
      </c>
      <c r="W99" t="s">
        <v>2066</v>
      </c>
      <c r="X99" t="s">
        <v>2067</v>
      </c>
      <c r="Y99" t="s">
        <v>2068</v>
      </c>
      <c r="Z99" t="s">
        <v>2069</v>
      </c>
      <c r="AA99" t="s">
        <v>2070</v>
      </c>
      <c r="AB99" t="s">
        <v>2071</v>
      </c>
      <c r="AC99" t="s">
        <v>2072</v>
      </c>
      <c r="AD99" t="s">
        <v>69</v>
      </c>
      <c r="AE99">
        <v>4</v>
      </c>
      <c r="AF99">
        <v>1</v>
      </c>
      <c r="AG99">
        <v>1</v>
      </c>
      <c r="AH99">
        <v>0</v>
      </c>
      <c r="AI99">
        <v>9</v>
      </c>
      <c r="AJ99" t="s">
        <v>108</v>
      </c>
      <c r="AK99" t="s">
        <v>109</v>
      </c>
      <c r="AL99" t="s">
        <v>110</v>
      </c>
      <c r="AM99" t="s">
        <v>205</v>
      </c>
      <c r="AN99" t="s">
        <v>206</v>
      </c>
      <c r="AO99" t="s">
        <v>69</v>
      </c>
      <c r="AP99" t="s">
        <v>207</v>
      </c>
      <c r="AQ99" t="s">
        <v>208</v>
      </c>
      <c r="AR99" t="s">
        <v>535</v>
      </c>
      <c r="AS99">
        <v>2017</v>
      </c>
      <c r="AT99">
        <v>40</v>
      </c>
      <c r="AU99">
        <v>3</v>
      </c>
      <c r="AV99" t="s">
        <v>69</v>
      </c>
      <c r="AW99" t="s">
        <v>69</v>
      </c>
      <c r="AX99" t="s">
        <v>69</v>
      </c>
      <c r="AY99" t="s">
        <v>69</v>
      </c>
      <c r="AZ99">
        <v>407</v>
      </c>
      <c r="BA99">
        <v>412</v>
      </c>
      <c r="BB99" t="s">
        <v>69</v>
      </c>
      <c r="BC99" t="s">
        <v>2073</v>
      </c>
      <c r="BD99" t="s">
        <v>69</v>
      </c>
      <c r="BE99" t="s">
        <v>69</v>
      </c>
      <c r="BF99">
        <v>6</v>
      </c>
      <c r="BG99" t="s">
        <v>210</v>
      </c>
      <c r="BH99" t="s">
        <v>210</v>
      </c>
      <c r="BI99" t="s">
        <v>2074</v>
      </c>
      <c r="BJ99" t="s">
        <v>2075</v>
      </c>
      <c r="BK99" t="s">
        <v>69</v>
      </c>
      <c r="BL99" t="s">
        <v>833</v>
      </c>
      <c r="BM99" t="s">
        <v>69</v>
      </c>
      <c r="BN99" t="s">
        <v>69</v>
      </c>
      <c r="BO99" t="s">
        <v>95</v>
      </c>
      <c r="BP99" t="s">
        <v>69</v>
      </c>
    </row>
    <row r="100" spans="1:68" x14ac:dyDescent="0.15">
      <c r="A100" t="s">
        <v>67</v>
      </c>
      <c r="B100" t="s">
        <v>2076</v>
      </c>
      <c r="C100" t="s">
        <v>69</v>
      </c>
      <c r="D100" t="s">
        <v>69</v>
      </c>
      <c r="E100" t="s">
        <v>69</v>
      </c>
      <c r="F100" t="s">
        <v>2077</v>
      </c>
      <c r="G100" t="s">
        <v>69</v>
      </c>
      <c r="H100" t="s">
        <v>69</v>
      </c>
      <c r="I100" t="s">
        <v>2078</v>
      </c>
      <c r="J100" t="s">
        <v>2079</v>
      </c>
      <c r="K100" t="s">
        <v>69</v>
      </c>
      <c r="L100" t="s">
        <v>69</v>
      </c>
      <c r="M100" t="s">
        <v>456</v>
      </c>
      <c r="N100" t="s">
        <v>74</v>
      </c>
      <c r="O100" t="s">
        <v>69</v>
      </c>
      <c r="P100" t="s">
        <v>69</v>
      </c>
      <c r="Q100" t="s">
        <v>69</v>
      </c>
      <c r="R100" t="s">
        <v>69</v>
      </c>
      <c r="S100" t="s">
        <v>69</v>
      </c>
      <c r="T100" t="s">
        <v>2080</v>
      </c>
      <c r="U100" t="s">
        <v>69</v>
      </c>
      <c r="V100" t="s">
        <v>2081</v>
      </c>
      <c r="W100" t="s">
        <v>2082</v>
      </c>
      <c r="X100" t="s">
        <v>2083</v>
      </c>
      <c r="Y100" t="s">
        <v>2084</v>
      </c>
      <c r="Z100" t="s">
        <v>2085</v>
      </c>
      <c r="AA100" t="s">
        <v>2086</v>
      </c>
      <c r="AB100" t="s">
        <v>69</v>
      </c>
      <c r="AC100" t="s">
        <v>69</v>
      </c>
      <c r="AD100" t="s">
        <v>69</v>
      </c>
      <c r="AE100">
        <v>23</v>
      </c>
      <c r="AF100">
        <v>0</v>
      </c>
      <c r="AG100">
        <v>0</v>
      </c>
      <c r="AH100">
        <v>2</v>
      </c>
      <c r="AI100">
        <v>7</v>
      </c>
      <c r="AJ100" t="s">
        <v>2087</v>
      </c>
      <c r="AK100" t="s">
        <v>2088</v>
      </c>
      <c r="AL100" t="s">
        <v>2089</v>
      </c>
      <c r="AM100" t="s">
        <v>2090</v>
      </c>
      <c r="AN100" t="s">
        <v>69</v>
      </c>
      <c r="AO100" t="s">
        <v>69</v>
      </c>
      <c r="AP100" t="s">
        <v>2091</v>
      </c>
      <c r="AQ100" t="s">
        <v>2092</v>
      </c>
      <c r="AR100" t="s">
        <v>69</v>
      </c>
      <c r="AS100">
        <v>2017</v>
      </c>
      <c r="AT100">
        <v>16</v>
      </c>
      <c r="AU100">
        <v>2</v>
      </c>
      <c r="AV100" t="s">
        <v>69</v>
      </c>
      <c r="AW100" t="s">
        <v>69</v>
      </c>
      <c r="AX100" t="s">
        <v>356</v>
      </c>
      <c r="AY100" t="s">
        <v>69</v>
      </c>
      <c r="AZ100">
        <v>205</v>
      </c>
      <c r="BA100">
        <v>222</v>
      </c>
      <c r="BB100" t="s">
        <v>69</v>
      </c>
      <c r="BC100" t="s">
        <v>2093</v>
      </c>
      <c r="BD100" t="s">
        <v>69</v>
      </c>
      <c r="BE100" t="s">
        <v>69</v>
      </c>
      <c r="BF100">
        <v>18</v>
      </c>
      <c r="BG100" t="s">
        <v>140</v>
      </c>
      <c r="BH100" t="s">
        <v>140</v>
      </c>
      <c r="BI100" t="s">
        <v>2094</v>
      </c>
      <c r="BJ100" t="s">
        <v>2095</v>
      </c>
      <c r="BK100" t="s">
        <v>69</v>
      </c>
      <c r="BL100" t="s">
        <v>94</v>
      </c>
      <c r="BM100" t="s">
        <v>69</v>
      </c>
      <c r="BN100" t="s">
        <v>69</v>
      </c>
      <c r="BO100" t="s">
        <v>95</v>
      </c>
      <c r="BP100" t="s">
        <v>69</v>
      </c>
    </row>
    <row r="101" spans="1:68" x14ac:dyDescent="0.15">
      <c r="A101" t="s">
        <v>67</v>
      </c>
      <c r="B101" t="s">
        <v>2096</v>
      </c>
      <c r="C101" t="s">
        <v>69</v>
      </c>
      <c r="D101" t="s">
        <v>69</v>
      </c>
      <c r="E101" t="s">
        <v>69</v>
      </c>
      <c r="F101" t="s">
        <v>2097</v>
      </c>
      <c r="G101" t="s">
        <v>69</v>
      </c>
      <c r="H101" t="s">
        <v>69</v>
      </c>
      <c r="I101" t="s">
        <v>2098</v>
      </c>
      <c r="J101" t="s">
        <v>2099</v>
      </c>
      <c r="K101" t="s">
        <v>69</v>
      </c>
      <c r="L101" t="s">
        <v>69</v>
      </c>
      <c r="M101" t="s">
        <v>73</v>
      </c>
      <c r="N101" t="s">
        <v>74</v>
      </c>
      <c r="O101" t="s">
        <v>69</v>
      </c>
      <c r="P101" t="s">
        <v>69</v>
      </c>
      <c r="Q101" t="s">
        <v>69</v>
      </c>
      <c r="R101" t="s">
        <v>69</v>
      </c>
      <c r="S101" t="s">
        <v>69</v>
      </c>
      <c r="T101" t="s">
        <v>69</v>
      </c>
      <c r="U101" t="s">
        <v>2100</v>
      </c>
      <c r="V101" t="s">
        <v>2101</v>
      </c>
      <c r="W101" t="s">
        <v>2102</v>
      </c>
      <c r="X101" t="s">
        <v>2103</v>
      </c>
      <c r="Y101" t="s">
        <v>2104</v>
      </c>
      <c r="Z101" t="s">
        <v>2105</v>
      </c>
      <c r="AA101" t="s">
        <v>69</v>
      </c>
      <c r="AB101" t="s">
        <v>2106</v>
      </c>
      <c r="AC101" t="s">
        <v>2107</v>
      </c>
      <c r="AD101" t="s">
        <v>69</v>
      </c>
      <c r="AE101">
        <v>36</v>
      </c>
      <c r="AF101">
        <v>0</v>
      </c>
      <c r="AG101">
        <v>0</v>
      </c>
      <c r="AH101">
        <v>2</v>
      </c>
      <c r="AI101">
        <v>5</v>
      </c>
      <c r="AJ101" t="s">
        <v>2108</v>
      </c>
      <c r="AK101" t="s">
        <v>2109</v>
      </c>
      <c r="AL101" t="s">
        <v>2110</v>
      </c>
      <c r="AM101" t="s">
        <v>2111</v>
      </c>
      <c r="AN101" t="s">
        <v>69</v>
      </c>
      <c r="AO101" t="s">
        <v>69</v>
      </c>
      <c r="AP101" t="s">
        <v>2112</v>
      </c>
      <c r="AQ101" t="s">
        <v>2113</v>
      </c>
      <c r="AR101" t="s">
        <v>69</v>
      </c>
      <c r="AS101">
        <v>2017</v>
      </c>
      <c r="AT101">
        <v>54</v>
      </c>
      <c r="AU101">
        <v>1</v>
      </c>
      <c r="AV101" t="s">
        <v>69</v>
      </c>
      <c r="AW101" t="s">
        <v>69</v>
      </c>
      <c r="AX101" t="s">
        <v>69</v>
      </c>
      <c r="AY101" t="s">
        <v>69</v>
      </c>
      <c r="AZ101">
        <v>39</v>
      </c>
      <c r="BA101">
        <v>49</v>
      </c>
      <c r="BB101" t="s">
        <v>69</v>
      </c>
      <c r="BC101" t="s">
        <v>69</v>
      </c>
      <c r="BD101" t="s">
        <v>69</v>
      </c>
      <c r="BE101" t="s">
        <v>69</v>
      </c>
      <c r="BF101">
        <v>11</v>
      </c>
      <c r="BG101" t="s">
        <v>1213</v>
      </c>
      <c r="BH101" t="s">
        <v>1213</v>
      </c>
      <c r="BI101" t="s">
        <v>2114</v>
      </c>
      <c r="BJ101" t="s">
        <v>2115</v>
      </c>
      <c r="BK101">
        <v>28857757</v>
      </c>
      <c r="BL101" t="s">
        <v>69</v>
      </c>
      <c r="BM101" t="s">
        <v>69</v>
      </c>
      <c r="BN101" t="s">
        <v>69</v>
      </c>
      <c r="BO101" t="s">
        <v>95</v>
      </c>
      <c r="BP101" t="s">
        <v>69</v>
      </c>
    </row>
    <row r="102" spans="1:68" x14ac:dyDescent="0.15">
      <c r="A102" t="s">
        <v>67</v>
      </c>
      <c r="B102" t="s">
        <v>2116</v>
      </c>
      <c r="C102" t="s">
        <v>69</v>
      </c>
      <c r="D102" t="s">
        <v>69</v>
      </c>
      <c r="E102" t="s">
        <v>69</v>
      </c>
      <c r="F102" t="s">
        <v>2117</v>
      </c>
      <c r="G102" t="s">
        <v>69</v>
      </c>
      <c r="H102" t="s">
        <v>69</v>
      </c>
      <c r="I102" t="s">
        <v>2118</v>
      </c>
      <c r="J102" t="s">
        <v>695</v>
      </c>
      <c r="K102" t="s">
        <v>69</v>
      </c>
      <c r="L102" t="s">
        <v>69</v>
      </c>
      <c r="M102" t="s">
        <v>73</v>
      </c>
      <c r="N102" t="s">
        <v>74</v>
      </c>
      <c r="O102" t="s">
        <v>69</v>
      </c>
      <c r="P102" t="s">
        <v>69</v>
      </c>
      <c r="Q102" t="s">
        <v>69</v>
      </c>
      <c r="R102" t="s">
        <v>69</v>
      </c>
      <c r="S102" t="s">
        <v>69</v>
      </c>
      <c r="T102" t="s">
        <v>69</v>
      </c>
      <c r="U102" t="s">
        <v>2119</v>
      </c>
      <c r="V102" t="s">
        <v>2120</v>
      </c>
      <c r="W102" t="s">
        <v>2121</v>
      </c>
      <c r="X102" t="s">
        <v>2122</v>
      </c>
      <c r="Y102" t="s">
        <v>2123</v>
      </c>
      <c r="Z102" t="s">
        <v>69</v>
      </c>
      <c r="AA102" t="s">
        <v>69</v>
      </c>
      <c r="AB102" t="s">
        <v>69</v>
      </c>
      <c r="AC102" t="s">
        <v>69</v>
      </c>
      <c r="AD102" t="s">
        <v>69</v>
      </c>
      <c r="AE102">
        <v>74</v>
      </c>
      <c r="AF102">
        <v>10</v>
      </c>
      <c r="AG102">
        <v>10</v>
      </c>
      <c r="AH102">
        <v>0</v>
      </c>
      <c r="AI102">
        <v>9</v>
      </c>
      <c r="AJ102" t="s">
        <v>701</v>
      </c>
      <c r="AK102" t="s">
        <v>702</v>
      </c>
      <c r="AL102" t="s">
        <v>703</v>
      </c>
      <c r="AM102" t="s">
        <v>704</v>
      </c>
      <c r="AN102" t="s">
        <v>705</v>
      </c>
      <c r="AO102" t="s">
        <v>69</v>
      </c>
      <c r="AP102" t="s">
        <v>706</v>
      </c>
      <c r="AQ102" t="s">
        <v>707</v>
      </c>
      <c r="AR102" t="s">
        <v>69</v>
      </c>
      <c r="AS102">
        <v>2017</v>
      </c>
      <c r="AT102">
        <v>38</v>
      </c>
      <c r="AU102">
        <v>11</v>
      </c>
      <c r="AV102" t="s">
        <v>69</v>
      </c>
      <c r="AW102" t="s">
        <v>69</v>
      </c>
      <c r="AX102" t="s">
        <v>69</v>
      </c>
      <c r="AY102" t="s">
        <v>69</v>
      </c>
      <c r="AZ102">
        <v>1223</v>
      </c>
      <c r="BA102">
        <v>1239</v>
      </c>
      <c r="BB102" t="s">
        <v>69</v>
      </c>
      <c r="BC102" t="s">
        <v>2124</v>
      </c>
      <c r="BD102" t="s">
        <v>69</v>
      </c>
      <c r="BE102" t="s">
        <v>69</v>
      </c>
      <c r="BF102">
        <v>17</v>
      </c>
      <c r="BG102" t="s">
        <v>710</v>
      </c>
      <c r="BH102" t="s">
        <v>711</v>
      </c>
      <c r="BI102" t="s">
        <v>2125</v>
      </c>
      <c r="BJ102" t="s">
        <v>2126</v>
      </c>
      <c r="BK102" t="s">
        <v>69</v>
      </c>
      <c r="BL102" t="s">
        <v>69</v>
      </c>
      <c r="BM102" t="s">
        <v>69</v>
      </c>
      <c r="BN102" t="s">
        <v>69</v>
      </c>
      <c r="BO102" t="s">
        <v>95</v>
      </c>
      <c r="BP102" t="s">
        <v>69</v>
      </c>
    </row>
    <row r="103" spans="1:68" x14ac:dyDescent="0.15">
      <c r="A103" t="s">
        <v>67</v>
      </c>
      <c r="B103" t="s">
        <v>2127</v>
      </c>
      <c r="C103" t="s">
        <v>69</v>
      </c>
      <c r="D103" t="s">
        <v>69</v>
      </c>
      <c r="E103" t="s">
        <v>69</v>
      </c>
      <c r="F103" t="s">
        <v>2128</v>
      </c>
      <c r="G103" t="s">
        <v>69</v>
      </c>
      <c r="H103" t="s">
        <v>69</v>
      </c>
      <c r="I103" t="s">
        <v>2129</v>
      </c>
      <c r="J103" t="s">
        <v>2130</v>
      </c>
      <c r="K103" t="s">
        <v>69</v>
      </c>
      <c r="L103" t="s">
        <v>69</v>
      </c>
      <c r="M103" t="s">
        <v>73</v>
      </c>
      <c r="N103" t="s">
        <v>318</v>
      </c>
      <c r="O103" t="s">
        <v>69</v>
      </c>
      <c r="P103" t="s">
        <v>69</v>
      </c>
      <c r="Q103" t="s">
        <v>69</v>
      </c>
      <c r="R103" t="s">
        <v>69</v>
      </c>
      <c r="S103" t="s">
        <v>69</v>
      </c>
      <c r="T103" t="s">
        <v>2131</v>
      </c>
      <c r="U103" t="s">
        <v>2132</v>
      </c>
      <c r="V103" t="s">
        <v>2133</v>
      </c>
      <c r="W103" t="s">
        <v>2134</v>
      </c>
      <c r="X103" t="s">
        <v>2135</v>
      </c>
      <c r="Y103" t="s">
        <v>2136</v>
      </c>
      <c r="Z103" t="s">
        <v>69</v>
      </c>
      <c r="AA103" t="s">
        <v>2137</v>
      </c>
      <c r="AB103" t="s">
        <v>69</v>
      </c>
      <c r="AC103" t="s">
        <v>69</v>
      </c>
      <c r="AD103" t="s">
        <v>69</v>
      </c>
      <c r="AE103">
        <v>126</v>
      </c>
      <c r="AF103">
        <v>3</v>
      </c>
      <c r="AG103">
        <v>3</v>
      </c>
      <c r="AH103">
        <v>2</v>
      </c>
      <c r="AI103">
        <v>9</v>
      </c>
      <c r="AJ103" t="s">
        <v>701</v>
      </c>
      <c r="AK103" t="s">
        <v>702</v>
      </c>
      <c r="AL103" t="s">
        <v>703</v>
      </c>
      <c r="AM103" t="s">
        <v>2138</v>
      </c>
      <c r="AN103" t="s">
        <v>2139</v>
      </c>
      <c r="AO103" t="s">
        <v>69</v>
      </c>
      <c r="AP103" t="s">
        <v>2140</v>
      </c>
      <c r="AQ103" t="s">
        <v>2141</v>
      </c>
      <c r="AR103" t="s">
        <v>69</v>
      </c>
      <c r="AS103">
        <v>2017</v>
      </c>
      <c r="AT103">
        <v>39</v>
      </c>
      <c r="AU103">
        <v>6</v>
      </c>
      <c r="AV103" t="s">
        <v>69</v>
      </c>
      <c r="AW103" t="s">
        <v>69</v>
      </c>
      <c r="AX103" t="s">
        <v>69</v>
      </c>
      <c r="AY103" t="s">
        <v>69</v>
      </c>
      <c r="AZ103">
        <v>524</v>
      </c>
      <c r="BA103">
        <v>542</v>
      </c>
      <c r="BB103" t="s">
        <v>69</v>
      </c>
      <c r="BC103" t="s">
        <v>2142</v>
      </c>
      <c r="BD103" t="s">
        <v>69</v>
      </c>
      <c r="BE103" t="s">
        <v>69</v>
      </c>
      <c r="BF103">
        <v>19</v>
      </c>
      <c r="BG103" t="s">
        <v>2143</v>
      </c>
      <c r="BH103" t="s">
        <v>2144</v>
      </c>
      <c r="BI103" t="s">
        <v>2145</v>
      </c>
      <c r="BJ103" t="s">
        <v>2146</v>
      </c>
      <c r="BK103" t="s">
        <v>69</v>
      </c>
      <c r="BL103" t="s">
        <v>69</v>
      </c>
      <c r="BM103" t="s">
        <v>69</v>
      </c>
      <c r="BN103" t="s">
        <v>69</v>
      </c>
      <c r="BO103" t="s">
        <v>95</v>
      </c>
      <c r="BP103" t="s">
        <v>69</v>
      </c>
    </row>
    <row r="104" spans="1:68" x14ac:dyDescent="0.15">
      <c r="A104" t="s">
        <v>67</v>
      </c>
      <c r="B104" t="s">
        <v>2147</v>
      </c>
      <c r="C104" t="s">
        <v>69</v>
      </c>
      <c r="D104" t="s">
        <v>69</v>
      </c>
      <c r="E104" t="s">
        <v>69</v>
      </c>
      <c r="F104" t="s">
        <v>2148</v>
      </c>
      <c r="G104" t="s">
        <v>69</v>
      </c>
      <c r="H104" t="s">
        <v>69</v>
      </c>
      <c r="I104" t="s">
        <v>2149</v>
      </c>
      <c r="J104" t="s">
        <v>2150</v>
      </c>
      <c r="K104" t="s">
        <v>69</v>
      </c>
      <c r="L104" t="s">
        <v>69</v>
      </c>
      <c r="M104" t="s">
        <v>73</v>
      </c>
      <c r="N104" t="s">
        <v>74</v>
      </c>
      <c r="O104" t="s">
        <v>69</v>
      </c>
      <c r="P104" t="s">
        <v>69</v>
      </c>
      <c r="Q104" t="s">
        <v>69</v>
      </c>
      <c r="R104" t="s">
        <v>69</v>
      </c>
      <c r="S104" t="s">
        <v>69</v>
      </c>
      <c r="T104" t="s">
        <v>2151</v>
      </c>
      <c r="U104" t="s">
        <v>2152</v>
      </c>
      <c r="V104" t="s">
        <v>2153</v>
      </c>
      <c r="W104" t="s">
        <v>2154</v>
      </c>
      <c r="X104" t="s">
        <v>2155</v>
      </c>
      <c r="Y104" t="s">
        <v>2156</v>
      </c>
      <c r="Z104" t="s">
        <v>69</v>
      </c>
      <c r="AA104" t="s">
        <v>2157</v>
      </c>
      <c r="AB104" t="s">
        <v>69</v>
      </c>
      <c r="AC104" t="s">
        <v>69</v>
      </c>
      <c r="AD104" t="s">
        <v>69</v>
      </c>
      <c r="AE104">
        <v>32</v>
      </c>
      <c r="AF104">
        <v>5</v>
      </c>
      <c r="AG104">
        <v>5</v>
      </c>
      <c r="AH104">
        <v>0</v>
      </c>
      <c r="AI104">
        <v>4</v>
      </c>
      <c r="AJ104" t="s">
        <v>2158</v>
      </c>
      <c r="AK104" t="s">
        <v>2159</v>
      </c>
      <c r="AL104" t="s">
        <v>2160</v>
      </c>
      <c r="AM104" t="s">
        <v>69</v>
      </c>
      <c r="AN104" t="s">
        <v>2161</v>
      </c>
      <c r="AO104" t="s">
        <v>69</v>
      </c>
      <c r="AP104" t="s">
        <v>2162</v>
      </c>
      <c r="AQ104" t="s">
        <v>2163</v>
      </c>
      <c r="AR104" t="s">
        <v>69</v>
      </c>
      <c r="AS104">
        <v>2017</v>
      </c>
      <c r="AT104">
        <v>10</v>
      </c>
      <c r="AU104" t="s">
        <v>69</v>
      </c>
      <c r="AV104" t="s">
        <v>69</v>
      </c>
      <c r="AW104" t="s">
        <v>69</v>
      </c>
      <c r="AX104" t="s">
        <v>69</v>
      </c>
      <c r="AY104" t="s">
        <v>69</v>
      </c>
      <c r="AZ104">
        <v>239</v>
      </c>
      <c r="BA104">
        <v>247</v>
      </c>
      <c r="BB104" t="s">
        <v>69</v>
      </c>
      <c r="BC104" t="s">
        <v>2164</v>
      </c>
      <c r="BD104" t="s">
        <v>69</v>
      </c>
      <c r="BE104" t="s">
        <v>69</v>
      </c>
      <c r="BF104">
        <v>9</v>
      </c>
      <c r="BG104" t="s">
        <v>755</v>
      </c>
      <c r="BH104" t="s">
        <v>756</v>
      </c>
      <c r="BI104" t="s">
        <v>2165</v>
      </c>
      <c r="BJ104" t="s">
        <v>2166</v>
      </c>
      <c r="BK104">
        <v>28860840</v>
      </c>
      <c r="BL104" t="s">
        <v>336</v>
      </c>
      <c r="BM104" t="s">
        <v>69</v>
      </c>
      <c r="BN104" t="s">
        <v>69</v>
      </c>
      <c r="BO104" t="s">
        <v>95</v>
      </c>
      <c r="BP104" t="s">
        <v>69</v>
      </c>
    </row>
    <row r="105" spans="1:68" x14ac:dyDescent="0.15">
      <c r="A105" t="s">
        <v>67</v>
      </c>
      <c r="B105" t="s">
        <v>2167</v>
      </c>
      <c r="C105" t="s">
        <v>69</v>
      </c>
      <c r="D105" t="s">
        <v>69</v>
      </c>
      <c r="E105" t="s">
        <v>69</v>
      </c>
      <c r="F105" t="s">
        <v>2168</v>
      </c>
      <c r="G105" t="s">
        <v>69</v>
      </c>
      <c r="H105" t="s">
        <v>69</v>
      </c>
      <c r="I105" t="s">
        <v>2169</v>
      </c>
      <c r="J105" t="s">
        <v>2170</v>
      </c>
      <c r="K105" t="s">
        <v>69</v>
      </c>
      <c r="L105" t="s">
        <v>69</v>
      </c>
      <c r="M105" t="s">
        <v>73</v>
      </c>
      <c r="N105" t="s">
        <v>74</v>
      </c>
      <c r="O105" t="s">
        <v>69</v>
      </c>
      <c r="P105" t="s">
        <v>69</v>
      </c>
      <c r="Q105" t="s">
        <v>69</v>
      </c>
      <c r="R105" t="s">
        <v>69</v>
      </c>
      <c r="S105" t="s">
        <v>69</v>
      </c>
      <c r="T105" t="s">
        <v>69</v>
      </c>
      <c r="U105" t="s">
        <v>2171</v>
      </c>
      <c r="V105" t="s">
        <v>2172</v>
      </c>
      <c r="W105" t="s">
        <v>2173</v>
      </c>
      <c r="X105" t="s">
        <v>2174</v>
      </c>
      <c r="Y105" t="s">
        <v>2175</v>
      </c>
      <c r="Z105" t="s">
        <v>69</v>
      </c>
      <c r="AA105" t="s">
        <v>2176</v>
      </c>
      <c r="AB105" t="s">
        <v>69</v>
      </c>
      <c r="AC105" t="s">
        <v>69</v>
      </c>
      <c r="AD105" t="s">
        <v>69</v>
      </c>
      <c r="AE105">
        <v>65</v>
      </c>
      <c r="AF105">
        <v>4</v>
      </c>
      <c r="AG105">
        <v>4</v>
      </c>
      <c r="AH105">
        <v>0</v>
      </c>
      <c r="AI105">
        <v>14</v>
      </c>
      <c r="AJ105" t="s">
        <v>108</v>
      </c>
      <c r="AK105" t="s">
        <v>109</v>
      </c>
      <c r="AL105" t="s">
        <v>110</v>
      </c>
      <c r="AM105" t="s">
        <v>2177</v>
      </c>
      <c r="AN105" t="s">
        <v>2178</v>
      </c>
      <c r="AO105" t="s">
        <v>69</v>
      </c>
      <c r="AP105" t="s">
        <v>2179</v>
      </c>
      <c r="AQ105" t="s">
        <v>2180</v>
      </c>
      <c r="AR105" t="s">
        <v>69</v>
      </c>
      <c r="AS105">
        <v>2017</v>
      </c>
      <c r="AT105">
        <v>27</v>
      </c>
      <c r="AU105">
        <v>3</v>
      </c>
      <c r="AV105" t="s">
        <v>69</v>
      </c>
      <c r="AW105" t="s">
        <v>69</v>
      </c>
      <c r="AX105" t="s">
        <v>356</v>
      </c>
      <c r="AY105" t="s">
        <v>69</v>
      </c>
      <c r="AZ105">
        <v>271</v>
      </c>
      <c r="BA105">
        <v>288</v>
      </c>
      <c r="BB105" t="s">
        <v>69</v>
      </c>
      <c r="BC105" t="s">
        <v>2181</v>
      </c>
      <c r="BD105" t="s">
        <v>69</v>
      </c>
      <c r="BE105" t="s">
        <v>69</v>
      </c>
      <c r="BF105">
        <v>18</v>
      </c>
      <c r="BG105" t="s">
        <v>2182</v>
      </c>
      <c r="BH105" t="s">
        <v>288</v>
      </c>
      <c r="BI105" t="s">
        <v>2183</v>
      </c>
      <c r="BJ105" t="s">
        <v>2184</v>
      </c>
      <c r="BK105" t="s">
        <v>69</v>
      </c>
      <c r="BL105" t="s">
        <v>69</v>
      </c>
      <c r="BM105" t="s">
        <v>69</v>
      </c>
      <c r="BN105" t="s">
        <v>69</v>
      </c>
      <c r="BO105" t="s">
        <v>95</v>
      </c>
      <c r="BP105" t="s">
        <v>69</v>
      </c>
    </row>
    <row r="106" spans="1:68" x14ac:dyDescent="0.15">
      <c r="A106" t="s">
        <v>67</v>
      </c>
      <c r="B106" t="s">
        <v>2185</v>
      </c>
      <c r="C106" t="s">
        <v>69</v>
      </c>
      <c r="D106" t="s">
        <v>69</v>
      </c>
      <c r="E106" t="s">
        <v>69</v>
      </c>
      <c r="F106" t="s">
        <v>2186</v>
      </c>
      <c r="G106" t="s">
        <v>69</v>
      </c>
      <c r="H106" t="s">
        <v>69</v>
      </c>
      <c r="I106" t="s">
        <v>2187</v>
      </c>
      <c r="J106" t="s">
        <v>99</v>
      </c>
      <c r="K106" t="s">
        <v>69</v>
      </c>
      <c r="L106" t="s">
        <v>69</v>
      </c>
      <c r="M106" t="s">
        <v>73</v>
      </c>
      <c r="N106" t="s">
        <v>74</v>
      </c>
      <c r="O106" t="s">
        <v>69</v>
      </c>
      <c r="P106" t="s">
        <v>69</v>
      </c>
      <c r="Q106" t="s">
        <v>69</v>
      </c>
      <c r="R106" t="s">
        <v>69</v>
      </c>
      <c r="S106" t="s">
        <v>69</v>
      </c>
      <c r="T106" t="s">
        <v>2188</v>
      </c>
      <c r="U106" t="s">
        <v>2189</v>
      </c>
      <c r="V106" t="s">
        <v>2190</v>
      </c>
      <c r="W106" t="s">
        <v>2191</v>
      </c>
      <c r="X106" t="s">
        <v>2192</v>
      </c>
      <c r="Y106" t="s">
        <v>2193</v>
      </c>
      <c r="Z106" t="s">
        <v>2194</v>
      </c>
      <c r="AA106" t="s">
        <v>2195</v>
      </c>
      <c r="AB106" t="s">
        <v>69</v>
      </c>
      <c r="AC106" t="s">
        <v>69</v>
      </c>
      <c r="AD106" t="s">
        <v>69</v>
      </c>
      <c r="AE106">
        <v>97</v>
      </c>
      <c r="AF106">
        <v>18</v>
      </c>
      <c r="AG106">
        <v>18</v>
      </c>
      <c r="AH106">
        <v>0</v>
      </c>
      <c r="AI106">
        <v>13</v>
      </c>
      <c r="AJ106" t="s">
        <v>108</v>
      </c>
      <c r="AK106" t="s">
        <v>109</v>
      </c>
      <c r="AL106" t="s">
        <v>110</v>
      </c>
      <c r="AM106" t="s">
        <v>111</v>
      </c>
      <c r="AN106" t="s">
        <v>112</v>
      </c>
      <c r="AO106" t="s">
        <v>69</v>
      </c>
      <c r="AP106" t="s">
        <v>113</v>
      </c>
      <c r="AQ106" t="s">
        <v>114</v>
      </c>
      <c r="AR106" t="s">
        <v>69</v>
      </c>
      <c r="AS106">
        <v>2017</v>
      </c>
      <c r="AT106">
        <v>10</v>
      </c>
      <c r="AU106">
        <v>2</v>
      </c>
      <c r="AV106" t="s">
        <v>69</v>
      </c>
      <c r="AW106" t="s">
        <v>69</v>
      </c>
      <c r="AX106" t="s">
        <v>69</v>
      </c>
      <c r="AY106" t="s">
        <v>69</v>
      </c>
      <c r="AZ106">
        <v>97</v>
      </c>
      <c r="BA106">
        <v>114</v>
      </c>
      <c r="BB106" t="s">
        <v>69</v>
      </c>
      <c r="BC106" t="s">
        <v>2196</v>
      </c>
      <c r="BD106" t="s">
        <v>69</v>
      </c>
      <c r="BE106" t="s">
        <v>69</v>
      </c>
      <c r="BF106">
        <v>18</v>
      </c>
      <c r="BG106" t="s">
        <v>117</v>
      </c>
      <c r="BH106" t="s">
        <v>117</v>
      </c>
      <c r="BI106" t="s">
        <v>2197</v>
      </c>
      <c r="BJ106" t="s">
        <v>2198</v>
      </c>
      <c r="BK106" t="s">
        <v>69</v>
      </c>
      <c r="BL106" t="s">
        <v>69</v>
      </c>
      <c r="BM106" t="s">
        <v>69</v>
      </c>
      <c r="BN106" t="s">
        <v>69</v>
      </c>
      <c r="BO106" t="s">
        <v>95</v>
      </c>
      <c r="BP106" t="s">
        <v>69</v>
      </c>
    </row>
    <row r="107" spans="1:68" x14ac:dyDescent="0.15">
      <c r="A107" t="s">
        <v>67</v>
      </c>
      <c r="B107" t="s">
        <v>2199</v>
      </c>
      <c r="C107" t="s">
        <v>69</v>
      </c>
      <c r="D107" t="s">
        <v>69</v>
      </c>
      <c r="E107" t="s">
        <v>69</v>
      </c>
      <c r="F107" t="s">
        <v>2200</v>
      </c>
      <c r="G107" t="s">
        <v>69</v>
      </c>
      <c r="H107" t="s">
        <v>69</v>
      </c>
      <c r="I107" t="s">
        <v>2201</v>
      </c>
      <c r="J107" t="s">
        <v>2202</v>
      </c>
      <c r="K107" t="s">
        <v>69</v>
      </c>
      <c r="L107" t="s">
        <v>69</v>
      </c>
      <c r="M107" t="s">
        <v>73</v>
      </c>
      <c r="N107" t="s">
        <v>74</v>
      </c>
      <c r="O107" t="s">
        <v>69</v>
      </c>
      <c r="P107" t="s">
        <v>69</v>
      </c>
      <c r="Q107" t="s">
        <v>69</v>
      </c>
      <c r="R107" t="s">
        <v>69</v>
      </c>
      <c r="S107" t="s">
        <v>69</v>
      </c>
      <c r="T107" t="s">
        <v>2203</v>
      </c>
      <c r="U107" t="s">
        <v>2204</v>
      </c>
      <c r="V107" t="s">
        <v>2205</v>
      </c>
      <c r="W107" t="s">
        <v>2206</v>
      </c>
      <c r="X107" t="s">
        <v>2207</v>
      </c>
      <c r="Y107" t="s">
        <v>2208</v>
      </c>
      <c r="Z107" t="s">
        <v>69</v>
      </c>
      <c r="AA107" t="s">
        <v>2209</v>
      </c>
      <c r="AB107" t="s">
        <v>2210</v>
      </c>
      <c r="AC107" t="s">
        <v>2211</v>
      </c>
      <c r="AD107" t="s">
        <v>69</v>
      </c>
      <c r="AE107">
        <v>36</v>
      </c>
      <c r="AF107">
        <v>0</v>
      </c>
      <c r="AG107">
        <v>0</v>
      </c>
      <c r="AH107">
        <v>1</v>
      </c>
      <c r="AI107">
        <v>10</v>
      </c>
      <c r="AJ107" t="s">
        <v>131</v>
      </c>
      <c r="AK107" t="s">
        <v>132</v>
      </c>
      <c r="AL107" t="s">
        <v>133</v>
      </c>
      <c r="AM107" t="s">
        <v>2212</v>
      </c>
      <c r="AN107" t="s">
        <v>2213</v>
      </c>
      <c r="AO107" t="s">
        <v>69</v>
      </c>
      <c r="AP107" t="s">
        <v>2214</v>
      </c>
      <c r="AQ107" t="s">
        <v>2215</v>
      </c>
      <c r="AR107" t="s">
        <v>69</v>
      </c>
      <c r="AS107">
        <v>2017</v>
      </c>
      <c r="AT107">
        <v>11</v>
      </c>
      <c r="AU107">
        <v>2</v>
      </c>
      <c r="AV107" t="s">
        <v>69</v>
      </c>
      <c r="AW107" t="s">
        <v>69</v>
      </c>
      <c r="AX107" t="s">
        <v>356</v>
      </c>
      <c r="AY107" t="s">
        <v>69</v>
      </c>
      <c r="AZ107">
        <v>151</v>
      </c>
      <c r="BA107">
        <v>164</v>
      </c>
      <c r="BB107" t="s">
        <v>69</v>
      </c>
      <c r="BC107" t="s">
        <v>2216</v>
      </c>
      <c r="BD107" t="s">
        <v>69</v>
      </c>
      <c r="BE107" t="s">
        <v>69</v>
      </c>
      <c r="BF107">
        <v>14</v>
      </c>
      <c r="BG107" t="s">
        <v>2217</v>
      </c>
      <c r="BH107" t="s">
        <v>2218</v>
      </c>
      <c r="BI107" t="s">
        <v>2219</v>
      </c>
      <c r="BJ107" t="s">
        <v>2220</v>
      </c>
      <c r="BK107" t="s">
        <v>69</v>
      </c>
      <c r="BL107" t="s">
        <v>69</v>
      </c>
      <c r="BM107" t="s">
        <v>69</v>
      </c>
      <c r="BN107" t="s">
        <v>69</v>
      </c>
      <c r="BO107" t="s">
        <v>95</v>
      </c>
      <c r="BP107" t="s">
        <v>69</v>
      </c>
    </row>
    <row r="108" spans="1:68" x14ac:dyDescent="0.15">
      <c r="A108" t="s">
        <v>67</v>
      </c>
      <c r="B108" t="s">
        <v>2221</v>
      </c>
      <c r="C108" t="s">
        <v>69</v>
      </c>
      <c r="D108" t="s">
        <v>69</v>
      </c>
      <c r="E108" t="s">
        <v>69</v>
      </c>
      <c r="F108" t="s">
        <v>2222</v>
      </c>
      <c r="G108" t="s">
        <v>69</v>
      </c>
      <c r="H108" t="s">
        <v>69</v>
      </c>
      <c r="I108" t="s">
        <v>2223</v>
      </c>
      <c r="J108" t="s">
        <v>2224</v>
      </c>
      <c r="K108" t="s">
        <v>69</v>
      </c>
      <c r="L108" t="s">
        <v>69</v>
      </c>
      <c r="M108" t="s">
        <v>73</v>
      </c>
      <c r="N108" t="s">
        <v>74</v>
      </c>
      <c r="O108" t="s">
        <v>69</v>
      </c>
      <c r="P108" t="s">
        <v>69</v>
      </c>
      <c r="Q108" t="s">
        <v>69</v>
      </c>
      <c r="R108" t="s">
        <v>69</v>
      </c>
      <c r="S108" t="s">
        <v>69</v>
      </c>
      <c r="T108" t="s">
        <v>2225</v>
      </c>
      <c r="U108" t="s">
        <v>2226</v>
      </c>
      <c r="V108" t="s">
        <v>2227</v>
      </c>
      <c r="W108" t="s">
        <v>2228</v>
      </c>
      <c r="X108" t="s">
        <v>2229</v>
      </c>
      <c r="Y108" t="s">
        <v>2230</v>
      </c>
      <c r="Z108" t="s">
        <v>69</v>
      </c>
      <c r="AA108" t="s">
        <v>2231</v>
      </c>
      <c r="AB108" t="s">
        <v>69</v>
      </c>
      <c r="AC108" t="s">
        <v>69</v>
      </c>
      <c r="AD108" t="s">
        <v>69</v>
      </c>
      <c r="AE108">
        <v>46</v>
      </c>
      <c r="AF108">
        <v>2</v>
      </c>
      <c r="AG108">
        <v>2</v>
      </c>
      <c r="AH108">
        <v>1</v>
      </c>
      <c r="AI108">
        <v>9</v>
      </c>
      <c r="AJ108" t="s">
        <v>2232</v>
      </c>
      <c r="AK108" t="s">
        <v>109</v>
      </c>
      <c r="AL108" t="s">
        <v>2233</v>
      </c>
      <c r="AM108" t="s">
        <v>2234</v>
      </c>
      <c r="AN108" t="s">
        <v>2235</v>
      </c>
      <c r="AO108" t="s">
        <v>69</v>
      </c>
      <c r="AP108" t="s">
        <v>2236</v>
      </c>
      <c r="AQ108" t="s">
        <v>2237</v>
      </c>
      <c r="AR108" t="s">
        <v>69</v>
      </c>
      <c r="AS108">
        <v>2017</v>
      </c>
      <c r="AT108">
        <v>47</v>
      </c>
      <c r="AU108">
        <v>1</v>
      </c>
      <c r="AV108" t="s">
        <v>69</v>
      </c>
      <c r="AW108" t="s">
        <v>69</v>
      </c>
      <c r="AX108" t="s">
        <v>69</v>
      </c>
      <c r="AY108" t="s">
        <v>69</v>
      </c>
      <c r="AZ108">
        <v>80</v>
      </c>
      <c r="BA108">
        <v>91</v>
      </c>
      <c r="BB108" t="s">
        <v>69</v>
      </c>
      <c r="BC108" t="s">
        <v>2238</v>
      </c>
      <c r="BD108" t="s">
        <v>69</v>
      </c>
      <c r="BE108" t="s">
        <v>69</v>
      </c>
      <c r="BF108">
        <v>12</v>
      </c>
      <c r="BG108" t="s">
        <v>140</v>
      </c>
      <c r="BH108" t="s">
        <v>140</v>
      </c>
      <c r="BI108" t="s">
        <v>2239</v>
      </c>
      <c r="BJ108" t="s">
        <v>2240</v>
      </c>
      <c r="BK108" t="s">
        <v>69</v>
      </c>
      <c r="BL108" t="s">
        <v>833</v>
      </c>
      <c r="BM108" t="s">
        <v>69</v>
      </c>
      <c r="BN108" t="s">
        <v>69</v>
      </c>
      <c r="BO108" t="s">
        <v>95</v>
      </c>
      <c r="BP108" t="s">
        <v>69</v>
      </c>
    </row>
    <row r="109" spans="1:68" x14ac:dyDescent="0.15">
      <c r="A109" t="s">
        <v>67</v>
      </c>
      <c r="B109" t="s">
        <v>2241</v>
      </c>
      <c r="C109" t="s">
        <v>69</v>
      </c>
      <c r="D109" t="s">
        <v>69</v>
      </c>
      <c r="E109" t="s">
        <v>69</v>
      </c>
      <c r="F109" t="s">
        <v>2242</v>
      </c>
      <c r="G109" t="s">
        <v>69</v>
      </c>
      <c r="H109" t="s">
        <v>69</v>
      </c>
      <c r="I109" t="s">
        <v>2243</v>
      </c>
      <c r="J109" t="s">
        <v>2170</v>
      </c>
      <c r="K109" t="s">
        <v>69</v>
      </c>
      <c r="L109" t="s">
        <v>69</v>
      </c>
      <c r="M109" t="s">
        <v>73</v>
      </c>
      <c r="N109" t="s">
        <v>2244</v>
      </c>
      <c r="O109" t="s">
        <v>69</v>
      </c>
      <c r="P109" t="s">
        <v>69</v>
      </c>
      <c r="Q109" t="s">
        <v>69</v>
      </c>
      <c r="R109" t="s">
        <v>69</v>
      </c>
      <c r="S109" t="s">
        <v>69</v>
      </c>
      <c r="T109" t="s">
        <v>69</v>
      </c>
      <c r="U109" t="s">
        <v>2245</v>
      </c>
      <c r="V109" t="s">
        <v>69</v>
      </c>
      <c r="W109" t="s">
        <v>2246</v>
      </c>
      <c r="X109" t="s">
        <v>2247</v>
      </c>
      <c r="Y109" t="s">
        <v>2248</v>
      </c>
      <c r="Z109" t="s">
        <v>69</v>
      </c>
      <c r="AA109" t="s">
        <v>2176</v>
      </c>
      <c r="AB109" t="s">
        <v>69</v>
      </c>
      <c r="AC109" t="s">
        <v>69</v>
      </c>
      <c r="AD109" t="s">
        <v>69</v>
      </c>
      <c r="AE109">
        <v>26</v>
      </c>
      <c r="AF109">
        <v>3</v>
      </c>
      <c r="AG109">
        <v>3</v>
      </c>
      <c r="AH109">
        <v>0</v>
      </c>
      <c r="AI109">
        <v>4</v>
      </c>
      <c r="AJ109" t="s">
        <v>108</v>
      </c>
      <c r="AK109" t="s">
        <v>109</v>
      </c>
      <c r="AL109" t="s">
        <v>110</v>
      </c>
      <c r="AM109" t="s">
        <v>2177</v>
      </c>
      <c r="AN109" t="s">
        <v>2178</v>
      </c>
      <c r="AO109" t="s">
        <v>69</v>
      </c>
      <c r="AP109" t="s">
        <v>2179</v>
      </c>
      <c r="AQ109" t="s">
        <v>2180</v>
      </c>
      <c r="AR109" t="s">
        <v>69</v>
      </c>
      <c r="AS109">
        <v>2017</v>
      </c>
      <c r="AT109">
        <v>27</v>
      </c>
      <c r="AU109">
        <v>3</v>
      </c>
      <c r="AV109" t="s">
        <v>69</v>
      </c>
      <c r="AW109" t="s">
        <v>69</v>
      </c>
      <c r="AX109" t="s">
        <v>356</v>
      </c>
      <c r="AY109" t="s">
        <v>69</v>
      </c>
      <c r="AZ109">
        <v>239</v>
      </c>
      <c r="BA109">
        <v>244</v>
      </c>
      <c r="BB109" t="s">
        <v>69</v>
      </c>
      <c r="BC109" t="s">
        <v>2249</v>
      </c>
      <c r="BD109" t="s">
        <v>69</v>
      </c>
      <c r="BE109" t="s">
        <v>69</v>
      </c>
      <c r="BF109">
        <v>6</v>
      </c>
      <c r="BG109" t="s">
        <v>2182</v>
      </c>
      <c r="BH109" t="s">
        <v>288</v>
      </c>
      <c r="BI109" t="s">
        <v>2183</v>
      </c>
      <c r="BJ109" t="s">
        <v>2250</v>
      </c>
      <c r="BK109" t="s">
        <v>69</v>
      </c>
      <c r="BL109" t="s">
        <v>213</v>
      </c>
      <c r="BM109" t="s">
        <v>69</v>
      </c>
      <c r="BN109" t="s">
        <v>69</v>
      </c>
      <c r="BO109" t="s">
        <v>95</v>
      </c>
      <c r="BP109" t="s">
        <v>69</v>
      </c>
    </row>
    <row r="110" spans="1:68" x14ac:dyDescent="0.15">
      <c r="A110" t="s">
        <v>67</v>
      </c>
      <c r="B110" t="s">
        <v>2251</v>
      </c>
      <c r="C110" t="s">
        <v>69</v>
      </c>
      <c r="D110" t="s">
        <v>69</v>
      </c>
      <c r="E110" t="s">
        <v>69</v>
      </c>
      <c r="F110" t="s">
        <v>2252</v>
      </c>
      <c r="G110" t="s">
        <v>69</v>
      </c>
      <c r="H110" t="s">
        <v>69</v>
      </c>
      <c r="I110" t="s">
        <v>2253</v>
      </c>
      <c r="J110" t="s">
        <v>2254</v>
      </c>
      <c r="K110" t="s">
        <v>69</v>
      </c>
      <c r="L110" t="s">
        <v>69</v>
      </c>
      <c r="M110" t="s">
        <v>73</v>
      </c>
      <c r="N110" t="s">
        <v>74</v>
      </c>
      <c r="O110" t="s">
        <v>69</v>
      </c>
      <c r="P110" t="s">
        <v>69</v>
      </c>
      <c r="Q110" t="s">
        <v>69</v>
      </c>
      <c r="R110" t="s">
        <v>69</v>
      </c>
      <c r="S110" t="s">
        <v>69</v>
      </c>
      <c r="T110" t="s">
        <v>2255</v>
      </c>
      <c r="U110" t="s">
        <v>2256</v>
      </c>
      <c r="V110" t="s">
        <v>2257</v>
      </c>
      <c r="W110" t="s">
        <v>2258</v>
      </c>
      <c r="X110" t="s">
        <v>2259</v>
      </c>
      <c r="Y110" t="s">
        <v>2260</v>
      </c>
      <c r="Z110" t="s">
        <v>69</v>
      </c>
      <c r="AA110" t="s">
        <v>2261</v>
      </c>
      <c r="AB110" t="s">
        <v>2262</v>
      </c>
      <c r="AC110" t="s">
        <v>2263</v>
      </c>
      <c r="AD110" t="s">
        <v>69</v>
      </c>
      <c r="AE110">
        <v>48</v>
      </c>
      <c r="AF110">
        <v>7</v>
      </c>
      <c r="AG110">
        <v>7</v>
      </c>
      <c r="AH110">
        <v>0</v>
      </c>
      <c r="AI110">
        <v>48</v>
      </c>
      <c r="AJ110" t="s">
        <v>108</v>
      </c>
      <c r="AK110" t="s">
        <v>109</v>
      </c>
      <c r="AL110" t="s">
        <v>110</v>
      </c>
      <c r="AM110" t="s">
        <v>2264</v>
      </c>
      <c r="AN110" t="s">
        <v>2265</v>
      </c>
      <c r="AO110" t="s">
        <v>69</v>
      </c>
      <c r="AP110" t="s">
        <v>2266</v>
      </c>
      <c r="AQ110" t="s">
        <v>2267</v>
      </c>
      <c r="AR110" t="s">
        <v>355</v>
      </c>
      <c r="AS110">
        <v>2016</v>
      </c>
      <c r="AT110">
        <v>21</v>
      </c>
      <c r="AU110">
        <v>6</v>
      </c>
      <c r="AV110" t="s">
        <v>69</v>
      </c>
      <c r="AW110" t="s">
        <v>69</v>
      </c>
      <c r="AX110" t="s">
        <v>69</v>
      </c>
      <c r="AY110" t="s">
        <v>69</v>
      </c>
      <c r="AZ110">
        <v>609</v>
      </c>
      <c r="BA110">
        <v>627</v>
      </c>
      <c r="BB110" t="s">
        <v>69</v>
      </c>
      <c r="BC110" t="s">
        <v>2268</v>
      </c>
      <c r="BD110" t="s">
        <v>69</v>
      </c>
      <c r="BE110" t="s">
        <v>69</v>
      </c>
      <c r="BF110">
        <v>19</v>
      </c>
      <c r="BG110" t="s">
        <v>2269</v>
      </c>
      <c r="BH110" t="s">
        <v>2269</v>
      </c>
      <c r="BI110" t="s">
        <v>2270</v>
      </c>
      <c r="BJ110" t="s">
        <v>2271</v>
      </c>
      <c r="BK110">
        <v>27220730</v>
      </c>
      <c r="BL110" t="s">
        <v>833</v>
      </c>
      <c r="BM110" t="s">
        <v>69</v>
      </c>
      <c r="BN110" t="s">
        <v>69</v>
      </c>
      <c r="BO110" t="s">
        <v>95</v>
      </c>
      <c r="BP110" t="s">
        <v>69</v>
      </c>
    </row>
    <row r="111" spans="1:68" x14ac:dyDescent="0.15">
      <c r="A111" t="s">
        <v>67</v>
      </c>
      <c r="B111" t="s">
        <v>2272</v>
      </c>
      <c r="C111" t="s">
        <v>69</v>
      </c>
      <c r="D111" t="s">
        <v>69</v>
      </c>
      <c r="E111" t="s">
        <v>69</v>
      </c>
      <c r="F111" t="s">
        <v>2273</v>
      </c>
      <c r="G111" t="s">
        <v>69</v>
      </c>
      <c r="H111" t="s">
        <v>69</v>
      </c>
      <c r="I111" t="s">
        <v>2274</v>
      </c>
      <c r="J111" t="s">
        <v>2275</v>
      </c>
      <c r="K111" t="s">
        <v>69</v>
      </c>
      <c r="L111" t="s">
        <v>69</v>
      </c>
      <c r="M111" t="s">
        <v>456</v>
      </c>
      <c r="N111" t="s">
        <v>74</v>
      </c>
      <c r="O111" t="s">
        <v>69</v>
      </c>
      <c r="P111" t="s">
        <v>69</v>
      </c>
      <c r="Q111" t="s">
        <v>69</v>
      </c>
      <c r="R111" t="s">
        <v>69</v>
      </c>
      <c r="S111" t="s">
        <v>69</v>
      </c>
      <c r="T111" t="s">
        <v>2276</v>
      </c>
      <c r="U111" t="s">
        <v>2277</v>
      </c>
      <c r="V111" t="s">
        <v>2278</v>
      </c>
      <c r="W111" t="s">
        <v>2279</v>
      </c>
      <c r="X111" t="s">
        <v>2280</v>
      </c>
      <c r="Y111" t="s">
        <v>69</v>
      </c>
      <c r="Z111" t="s">
        <v>69</v>
      </c>
      <c r="AA111" t="s">
        <v>69</v>
      </c>
      <c r="AB111" t="s">
        <v>69</v>
      </c>
      <c r="AC111" t="s">
        <v>69</v>
      </c>
      <c r="AD111" t="s">
        <v>69</v>
      </c>
      <c r="AE111">
        <v>69</v>
      </c>
      <c r="AF111">
        <v>0</v>
      </c>
      <c r="AG111">
        <v>0</v>
      </c>
      <c r="AH111">
        <v>0</v>
      </c>
      <c r="AI111">
        <v>5</v>
      </c>
      <c r="AJ111" t="s">
        <v>2281</v>
      </c>
      <c r="AK111" t="s">
        <v>2282</v>
      </c>
      <c r="AL111" t="s">
        <v>2283</v>
      </c>
      <c r="AM111" t="s">
        <v>2284</v>
      </c>
      <c r="AN111" t="s">
        <v>2285</v>
      </c>
      <c r="AO111" t="s">
        <v>69</v>
      </c>
      <c r="AP111" t="s">
        <v>2286</v>
      </c>
      <c r="AQ111" t="s">
        <v>2287</v>
      </c>
      <c r="AR111" t="s">
        <v>731</v>
      </c>
      <c r="AS111">
        <v>2016</v>
      </c>
      <c r="AT111">
        <v>20</v>
      </c>
      <c r="AU111">
        <v>3</v>
      </c>
      <c r="AV111" t="s">
        <v>69</v>
      </c>
      <c r="AW111" t="s">
        <v>69</v>
      </c>
      <c r="AX111" t="s">
        <v>69</v>
      </c>
      <c r="AY111" t="s">
        <v>69</v>
      </c>
      <c r="AZ111">
        <v>18</v>
      </c>
      <c r="BA111">
        <v>31</v>
      </c>
      <c r="BB111" t="s">
        <v>69</v>
      </c>
      <c r="BC111" t="s">
        <v>69</v>
      </c>
      <c r="BD111" t="s">
        <v>69</v>
      </c>
      <c r="BE111" t="s">
        <v>69</v>
      </c>
      <c r="BF111">
        <v>14</v>
      </c>
      <c r="BG111" t="s">
        <v>424</v>
      </c>
      <c r="BH111" t="s">
        <v>424</v>
      </c>
      <c r="BI111" t="s">
        <v>2288</v>
      </c>
      <c r="BJ111" t="s">
        <v>2289</v>
      </c>
      <c r="BK111" t="s">
        <v>69</v>
      </c>
      <c r="BL111" t="s">
        <v>94</v>
      </c>
      <c r="BM111" t="s">
        <v>69</v>
      </c>
      <c r="BN111" t="s">
        <v>69</v>
      </c>
      <c r="BO111" t="s">
        <v>95</v>
      </c>
      <c r="BP111" t="s">
        <v>69</v>
      </c>
    </row>
    <row r="112" spans="1:68" x14ac:dyDescent="0.15">
      <c r="A112" t="s">
        <v>67</v>
      </c>
      <c r="B112" t="s">
        <v>2290</v>
      </c>
      <c r="C112" t="s">
        <v>69</v>
      </c>
      <c r="D112" t="s">
        <v>69</v>
      </c>
      <c r="E112" t="s">
        <v>69</v>
      </c>
      <c r="F112" t="s">
        <v>2291</v>
      </c>
      <c r="G112" t="s">
        <v>69</v>
      </c>
      <c r="H112" t="s">
        <v>69</v>
      </c>
      <c r="I112" t="s">
        <v>2292</v>
      </c>
      <c r="J112" t="s">
        <v>2293</v>
      </c>
      <c r="K112" t="s">
        <v>69</v>
      </c>
      <c r="L112" t="s">
        <v>69</v>
      </c>
      <c r="M112" t="s">
        <v>73</v>
      </c>
      <c r="N112" t="s">
        <v>74</v>
      </c>
      <c r="O112" t="s">
        <v>69</v>
      </c>
      <c r="P112" t="s">
        <v>69</v>
      </c>
      <c r="Q112" t="s">
        <v>69</v>
      </c>
      <c r="R112" t="s">
        <v>69</v>
      </c>
      <c r="S112" t="s">
        <v>69</v>
      </c>
      <c r="T112" t="s">
        <v>2294</v>
      </c>
      <c r="U112" t="s">
        <v>2295</v>
      </c>
      <c r="V112" t="s">
        <v>2296</v>
      </c>
      <c r="W112" t="s">
        <v>2297</v>
      </c>
      <c r="X112" t="s">
        <v>2298</v>
      </c>
      <c r="Y112" t="s">
        <v>69</v>
      </c>
      <c r="Z112" t="s">
        <v>69</v>
      </c>
      <c r="AA112" t="s">
        <v>69</v>
      </c>
      <c r="AB112" t="s">
        <v>69</v>
      </c>
      <c r="AC112" t="s">
        <v>69</v>
      </c>
      <c r="AD112" t="s">
        <v>69</v>
      </c>
      <c r="AE112">
        <v>68</v>
      </c>
      <c r="AF112">
        <v>12</v>
      </c>
      <c r="AG112">
        <v>12</v>
      </c>
      <c r="AH112">
        <v>0</v>
      </c>
      <c r="AI112">
        <v>16</v>
      </c>
      <c r="AJ112" t="s">
        <v>223</v>
      </c>
      <c r="AK112" t="s">
        <v>224</v>
      </c>
      <c r="AL112" t="s">
        <v>225</v>
      </c>
      <c r="AM112" t="s">
        <v>2299</v>
      </c>
      <c r="AN112" t="s">
        <v>2300</v>
      </c>
      <c r="AO112" t="s">
        <v>69</v>
      </c>
      <c r="AP112" t="s">
        <v>2301</v>
      </c>
      <c r="AQ112" t="s">
        <v>2302</v>
      </c>
      <c r="AR112" t="s">
        <v>731</v>
      </c>
      <c r="AS112">
        <v>2016</v>
      </c>
      <c r="AT112">
        <v>44</v>
      </c>
      <c r="AU112">
        <v>4</v>
      </c>
      <c r="AV112" t="s">
        <v>69</v>
      </c>
      <c r="AW112" t="s">
        <v>69</v>
      </c>
      <c r="AX112" t="s">
        <v>69</v>
      </c>
      <c r="AY112" t="s">
        <v>69</v>
      </c>
      <c r="AZ112">
        <v>424</v>
      </c>
      <c r="BA112">
        <v>448</v>
      </c>
      <c r="BB112" t="s">
        <v>69</v>
      </c>
      <c r="BC112" t="s">
        <v>2303</v>
      </c>
      <c r="BD112" t="s">
        <v>69</v>
      </c>
      <c r="BE112" t="s">
        <v>69</v>
      </c>
      <c r="BF112">
        <v>25</v>
      </c>
      <c r="BG112" t="s">
        <v>2304</v>
      </c>
      <c r="BH112" t="s">
        <v>2305</v>
      </c>
      <c r="BI112" t="s">
        <v>2306</v>
      </c>
      <c r="BJ112" t="s">
        <v>2307</v>
      </c>
      <c r="BK112" t="s">
        <v>69</v>
      </c>
      <c r="BL112" t="s">
        <v>1532</v>
      </c>
      <c r="BM112" t="s">
        <v>69</v>
      </c>
      <c r="BN112" t="s">
        <v>69</v>
      </c>
      <c r="BO112" t="s">
        <v>95</v>
      </c>
      <c r="BP112" t="s">
        <v>69</v>
      </c>
    </row>
    <row r="113" spans="1:68" x14ac:dyDescent="0.15">
      <c r="A113" t="s">
        <v>67</v>
      </c>
      <c r="B113" t="s">
        <v>2308</v>
      </c>
      <c r="C113" t="s">
        <v>69</v>
      </c>
      <c r="D113" t="s">
        <v>69</v>
      </c>
      <c r="E113" t="s">
        <v>69</v>
      </c>
      <c r="F113" t="s">
        <v>2309</v>
      </c>
      <c r="G113" t="s">
        <v>69</v>
      </c>
      <c r="H113" t="s">
        <v>69</v>
      </c>
      <c r="I113" t="s">
        <v>2310</v>
      </c>
      <c r="J113" t="s">
        <v>2311</v>
      </c>
      <c r="K113" t="s">
        <v>69</v>
      </c>
      <c r="L113" t="s">
        <v>69</v>
      </c>
      <c r="M113" t="s">
        <v>73</v>
      </c>
      <c r="N113" t="s">
        <v>318</v>
      </c>
      <c r="O113" t="s">
        <v>69</v>
      </c>
      <c r="P113" t="s">
        <v>69</v>
      </c>
      <c r="Q113" t="s">
        <v>69</v>
      </c>
      <c r="R113" t="s">
        <v>69</v>
      </c>
      <c r="S113" t="s">
        <v>69</v>
      </c>
      <c r="T113" t="s">
        <v>2312</v>
      </c>
      <c r="U113" t="s">
        <v>2313</v>
      </c>
      <c r="V113" t="s">
        <v>2314</v>
      </c>
      <c r="W113" t="s">
        <v>2315</v>
      </c>
      <c r="X113" t="s">
        <v>2316</v>
      </c>
      <c r="Y113" t="s">
        <v>2317</v>
      </c>
      <c r="Z113" t="s">
        <v>69</v>
      </c>
      <c r="AA113" t="s">
        <v>2318</v>
      </c>
      <c r="AB113" t="s">
        <v>69</v>
      </c>
      <c r="AC113" t="s">
        <v>69</v>
      </c>
      <c r="AD113" t="s">
        <v>69</v>
      </c>
      <c r="AE113">
        <v>68</v>
      </c>
      <c r="AF113">
        <v>10</v>
      </c>
      <c r="AG113">
        <v>10</v>
      </c>
      <c r="AH113">
        <v>1</v>
      </c>
      <c r="AI113">
        <v>16</v>
      </c>
      <c r="AJ113" t="s">
        <v>2319</v>
      </c>
      <c r="AK113" t="s">
        <v>1142</v>
      </c>
      <c r="AL113" t="s">
        <v>2320</v>
      </c>
      <c r="AM113" t="s">
        <v>2321</v>
      </c>
      <c r="AN113" t="s">
        <v>2322</v>
      </c>
      <c r="AO113" t="s">
        <v>69</v>
      </c>
      <c r="AP113" t="s">
        <v>2323</v>
      </c>
      <c r="AQ113" t="s">
        <v>2324</v>
      </c>
      <c r="AR113" t="s">
        <v>731</v>
      </c>
      <c r="AS113">
        <v>2016</v>
      </c>
      <c r="AT113">
        <v>57</v>
      </c>
      <c r="AU113">
        <v>4</v>
      </c>
      <c r="AV113" t="s">
        <v>69</v>
      </c>
      <c r="AW113" t="s">
        <v>69</v>
      </c>
      <c r="AX113" t="s">
        <v>356</v>
      </c>
      <c r="AY113" t="s">
        <v>69</v>
      </c>
      <c r="AZ113">
        <v>340</v>
      </c>
      <c r="BA113">
        <v>355</v>
      </c>
      <c r="BB113" t="s">
        <v>69</v>
      </c>
      <c r="BC113" t="s">
        <v>2325</v>
      </c>
      <c r="BD113" t="s">
        <v>69</v>
      </c>
      <c r="BE113" t="s">
        <v>69</v>
      </c>
      <c r="BF113">
        <v>16</v>
      </c>
      <c r="BG113" t="s">
        <v>449</v>
      </c>
      <c r="BH113" t="s">
        <v>288</v>
      </c>
      <c r="BI113" t="s">
        <v>2326</v>
      </c>
      <c r="BJ113" t="s">
        <v>2327</v>
      </c>
      <c r="BK113" t="s">
        <v>69</v>
      </c>
      <c r="BL113" t="s">
        <v>69</v>
      </c>
      <c r="BM113" t="s">
        <v>69</v>
      </c>
      <c r="BN113" t="s">
        <v>69</v>
      </c>
      <c r="BO113" t="s">
        <v>95</v>
      </c>
      <c r="BP113" t="s">
        <v>69</v>
      </c>
    </row>
    <row r="114" spans="1:68" x14ac:dyDescent="0.15">
      <c r="A114" t="s">
        <v>67</v>
      </c>
      <c r="B114" t="s">
        <v>2328</v>
      </c>
      <c r="C114" t="s">
        <v>69</v>
      </c>
      <c r="D114" t="s">
        <v>69</v>
      </c>
      <c r="E114" t="s">
        <v>69</v>
      </c>
      <c r="F114" t="s">
        <v>2329</v>
      </c>
      <c r="G114" t="s">
        <v>69</v>
      </c>
      <c r="H114" t="s">
        <v>69</v>
      </c>
      <c r="I114" t="s">
        <v>2330</v>
      </c>
      <c r="J114" t="s">
        <v>197</v>
      </c>
      <c r="K114" t="s">
        <v>69</v>
      </c>
      <c r="L114" t="s">
        <v>69</v>
      </c>
      <c r="M114" t="s">
        <v>73</v>
      </c>
      <c r="N114" t="s">
        <v>74</v>
      </c>
      <c r="O114" t="s">
        <v>69</v>
      </c>
      <c r="P114" t="s">
        <v>69</v>
      </c>
      <c r="Q114" t="s">
        <v>69</v>
      </c>
      <c r="R114" t="s">
        <v>69</v>
      </c>
      <c r="S114" t="s">
        <v>69</v>
      </c>
      <c r="T114" t="s">
        <v>2331</v>
      </c>
      <c r="U114" t="s">
        <v>69</v>
      </c>
      <c r="V114" t="s">
        <v>2332</v>
      </c>
      <c r="W114" t="s">
        <v>2333</v>
      </c>
      <c r="X114" t="s">
        <v>2334</v>
      </c>
      <c r="Y114" t="s">
        <v>2335</v>
      </c>
      <c r="Z114" t="s">
        <v>69</v>
      </c>
      <c r="AA114" t="s">
        <v>2336</v>
      </c>
      <c r="AB114" t="s">
        <v>69</v>
      </c>
      <c r="AC114" t="s">
        <v>69</v>
      </c>
      <c r="AD114" t="s">
        <v>69</v>
      </c>
      <c r="AE114">
        <v>9</v>
      </c>
      <c r="AF114">
        <v>3</v>
      </c>
      <c r="AG114">
        <v>3</v>
      </c>
      <c r="AH114">
        <v>0</v>
      </c>
      <c r="AI114">
        <v>6</v>
      </c>
      <c r="AJ114" t="s">
        <v>108</v>
      </c>
      <c r="AK114" t="s">
        <v>109</v>
      </c>
      <c r="AL114" t="s">
        <v>110</v>
      </c>
      <c r="AM114" t="s">
        <v>205</v>
      </c>
      <c r="AN114" t="s">
        <v>206</v>
      </c>
      <c r="AO114" t="s">
        <v>69</v>
      </c>
      <c r="AP114" t="s">
        <v>207</v>
      </c>
      <c r="AQ114" t="s">
        <v>208</v>
      </c>
      <c r="AR114" t="s">
        <v>285</v>
      </c>
      <c r="AS114">
        <v>2016</v>
      </c>
      <c r="AT114">
        <v>39</v>
      </c>
      <c r="AU114">
        <v>13</v>
      </c>
      <c r="AV114" t="s">
        <v>69</v>
      </c>
      <c r="AW114" t="s">
        <v>69</v>
      </c>
      <c r="AX114" t="s">
        <v>69</v>
      </c>
      <c r="AY114" t="s">
        <v>69</v>
      </c>
      <c r="AZ114">
        <v>2325</v>
      </c>
      <c r="BA114">
        <v>2331</v>
      </c>
      <c r="BB114" t="s">
        <v>69</v>
      </c>
      <c r="BC114" t="s">
        <v>2337</v>
      </c>
      <c r="BD114" t="s">
        <v>69</v>
      </c>
      <c r="BE114" t="s">
        <v>69</v>
      </c>
      <c r="BF114">
        <v>7</v>
      </c>
      <c r="BG114" t="s">
        <v>210</v>
      </c>
      <c r="BH114" t="s">
        <v>210</v>
      </c>
      <c r="BI114" t="s">
        <v>2338</v>
      </c>
      <c r="BJ114" t="s">
        <v>2339</v>
      </c>
      <c r="BK114" t="s">
        <v>69</v>
      </c>
      <c r="BL114" t="s">
        <v>1151</v>
      </c>
      <c r="BM114" t="s">
        <v>69</v>
      </c>
      <c r="BN114" t="s">
        <v>69</v>
      </c>
      <c r="BO114" t="s">
        <v>95</v>
      </c>
      <c r="BP114" t="s">
        <v>69</v>
      </c>
    </row>
    <row r="115" spans="1:68" x14ac:dyDescent="0.15">
      <c r="A115" t="s">
        <v>67</v>
      </c>
      <c r="B115" t="s">
        <v>2340</v>
      </c>
      <c r="C115" t="s">
        <v>69</v>
      </c>
      <c r="D115" t="s">
        <v>69</v>
      </c>
      <c r="E115" t="s">
        <v>69</v>
      </c>
      <c r="F115" t="s">
        <v>2341</v>
      </c>
      <c r="G115" t="s">
        <v>69</v>
      </c>
      <c r="H115" t="s">
        <v>69</v>
      </c>
      <c r="I115" t="s">
        <v>2342</v>
      </c>
      <c r="J115" t="s">
        <v>1240</v>
      </c>
      <c r="K115" t="s">
        <v>69</v>
      </c>
      <c r="L115" t="s">
        <v>69</v>
      </c>
      <c r="M115" t="s">
        <v>73</v>
      </c>
      <c r="N115" t="s">
        <v>74</v>
      </c>
      <c r="O115" t="s">
        <v>69</v>
      </c>
      <c r="P115" t="s">
        <v>69</v>
      </c>
      <c r="Q115" t="s">
        <v>69</v>
      </c>
      <c r="R115" t="s">
        <v>69</v>
      </c>
      <c r="S115" t="s">
        <v>69</v>
      </c>
      <c r="T115" t="s">
        <v>2343</v>
      </c>
      <c r="U115" t="s">
        <v>2344</v>
      </c>
      <c r="V115" t="s">
        <v>2345</v>
      </c>
      <c r="W115" t="s">
        <v>2346</v>
      </c>
      <c r="X115" t="s">
        <v>2347</v>
      </c>
      <c r="Y115" t="s">
        <v>2348</v>
      </c>
      <c r="Z115" t="s">
        <v>69</v>
      </c>
      <c r="AA115" t="s">
        <v>69</v>
      </c>
      <c r="AB115" t="s">
        <v>69</v>
      </c>
      <c r="AC115" t="s">
        <v>69</v>
      </c>
      <c r="AD115" t="s">
        <v>69</v>
      </c>
      <c r="AE115">
        <v>81</v>
      </c>
      <c r="AF115">
        <v>5</v>
      </c>
      <c r="AG115">
        <v>5</v>
      </c>
      <c r="AH115">
        <v>1</v>
      </c>
      <c r="AI115">
        <v>4</v>
      </c>
      <c r="AJ115" t="s">
        <v>1251</v>
      </c>
      <c r="AK115" t="s">
        <v>156</v>
      </c>
      <c r="AL115" t="s">
        <v>1252</v>
      </c>
      <c r="AM115" t="s">
        <v>1253</v>
      </c>
      <c r="AN115" t="s">
        <v>1254</v>
      </c>
      <c r="AO115" t="s">
        <v>69</v>
      </c>
      <c r="AP115" t="s">
        <v>1255</v>
      </c>
      <c r="AQ115" t="s">
        <v>1256</v>
      </c>
      <c r="AR115" t="s">
        <v>1374</v>
      </c>
      <c r="AS115">
        <v>2016</v>
      </c>
      <c r="AT115">
        <v>13</v>
      </c>
      <c r="AU115">
        <v>3</v>
      </c>
      <c r="AV115" t="s">
        <v>69</v>
      </c>
      <c r="AW115" t="s">
        <v>69</v>
      </c>
      <c r="AX115" t="s">
        <v>69</v>
      </c>
      <c r="AY115" t="s">
        <v>69</v>
      </c>
      <c r="AZ115">
        <v>333</v>
      </c>
      <c r="BA115">
        <v>349</v>
      </c>
      <c r="BB115" t="s">
        <v>69</v>
      </c>
      <c r="BC115" t="s">
        <v>69</v>
      </c>
      <c r="BD115" t="s">
        <v>69</v>
      </c>
      <c r="BE115" t="s">
        <v>69</v>
      </c>
      <c r="BF115">
        <v>17</v>
      </c>
      <c r="BG115" t="s">
        <v>604</v>
      </c>
      <c r="BH115" t="s">
        <v>604</v>
      </c>
      <c r="BI115" t="s">
        <v>2349</v>
      </c>
      <c r="BJ115" t="s">
        <v>2350</v>
      </c>
      <c r="BK115" t="s">
        <v>69</v>
      </c>
      <c r="BL115" t="s">
        <v>69</v>
      </c>
      <c r="BM115" t="s">
        <v>69</v>
      </c>
      <c r="BN115" t="s">
        <v>69</v>
      </c>
      <c r="BO115" t="s">
        <v>95</v>
      </c>
      <c r="BP115" t="s">
        <v>69</v>
      </c>
    </row>
    <row r="116" spans="1:68" x14ac:dyDescent="0.15">
      <c r="A116" t="s">
        <v>67</v>
      </c>
      <c r="B116" t="s">
        <v>2351</v>
      </c>
      <c r="C116" t="s">
        <v>69</v>
      </c>
      <c r="D116" t="s">
        <v>69</v>
      </c>
      <c r="E116" t="s">
        <v>69</v>
      </c>
      <c r="F116" t="s">
        <v>2352</v>
      </c>
      <c r="G116" t="s">
        <v>69</v>
      </c>
      <c r="H116" t="s">
        <v>69</v>
      </c>
      <c r="I116" t="s">
        <v>2353</v>
      </c>
      <c r="J116" t="s">
        <v>2354</v>
      </c>
      <c r="K116" t="s">
        <v>69</v>
      </c>
      <c r="L116" t="s">
        <v>69</v>
      </c>
      <c r="M116" t="s">
        <v>73</v>
      </c>
      <c r="N116" t="s">
        <v>74</v>
      </c>
      <c r="O116" t="s">
        <v>69</v>
      </c>
      <c r="P116" t="s">
        <v>69</v>
      </c>
      <c r="Q116" t="s">
        <v>69</v>
      </c>
      <c r="R116" t="s">
        <v>69</v>
      </c>
      <c r="S116" t="s">
        <v>69</v>
      </c>
      <c r="T116" t="s">
        <v>2355</v>
      </c>
      <c r="U116" t="s">
        <v>2356</v>
      </c>
      <c r="V116" t="s">
        <v>2357</v>
      </c>
      <c r="W116" t="s">
        <v>2358</v>
      </c>
      <c r="X116" t="s">
        <v>2359</v>
      </c>
      <c r="Y116" t="s">
        <v>2360</v>
      </c>
      <c r="Z116" t="s">
        <v>69</v>
      </c>
      <c r="AA116" t="s">
        <v>69</v>
      </c>
      <c r="AB116" t="s">
        <v>69</v>
      </c>
      <c r="AC116" t="s">
        <v>69</v>
      </c>
      <c r="AD116" t="s">
        <v>69</v>
      </c>
      <c r="AE116">
        <v>104</v>
      </c>
      <c r="AF116">
        <v>4</v>
      </c>
      <c r="AG116">
        <v>4</v>
      </c>
      <c r="AH116">
        <v>1</v>
      </c>
      <c r="AI116">
        <v>5</v>
      </c>
      <c r="AJ116" t="s">
        <v>1183</v>
      </c>
      <c r="AK116" t="s">
        <v>1184</v>
      </c>
      <c r="AL116" t="s">
        <v>1185</v>
      </c>
      <c r="AM116" t="s">
        <v>2361</v>
      </c>
      <c r="AN116" t="s">
        <v>2362</v>
      </c>
      <c r="AO116" t="s">
        <v>69</v>
      </c>
      <c r="AP116" t="s">
        <v>2363</v>
      </c>
      <c r="AQ116" t="s">
        <v>2364</v>
      </c>
      <c r="AR116" t="s">
        <v>490</v>
      </c>
      <c r="AS116">
        <v>2016</v>
      </c>
      <c r="AT116">
        <v>22</v>
      </c>
      <c r="AU116">
        <v>3</v>
      </c>
      <c r="AV116" t="s">
        <v>69</v>
      </c>
      <c r="AW116" t="s">
        <v>69</v>
      </c>
      <c r="AX116" t="s">
        <v>69</v>
      </c>
      <c r="AY116" t="s">
        <v>69</v>
      </c>
      <c r="AZ116">
        <v>262</v>
      </c>
      <c r="BA116">
        <v>271</v>
      </c>
      <c r="BB116" t="s">
        <v>69</v>
      </c>
      <c r="BC116" t="s">
        <v>2365</v>
      </c>
      <c r="BD116" t="s">
        <v>69</v>
      </c>
      <c r="BE116" t="s">
        <v>69</v>
      </c>
      <c r="BF116">
        <v>10</v>
      </c>
      <c r="BG116" t="s">
        <v>2058</v>
      </c>
      <c r="BH116" t="s">
        <v>288</v>
      </c>
      <c r="BI116" t="s">
        <v>2366</v>
      </c>
      <c r="BJ116" t="s">
        <v>2367</v>
      </c>
      <c r="BK116" t="s">
        <v>69</v>
      </c>
      <c r="BL116" t="s">
        <v>69</v>
      </c>
      <c r="BM116" t="s">
        <v>69</v>
      </c>
      <c r="BN116" t="s">
        <v>69</v>
      </c>
      <c r="BO116" t="s">
        <v>95</v>
      </c>
      <c r="BP116" t="s">
        <v>69</v>
      </c>
    </row>
    <row r="117" spans="1:68" x14ac:dyDescent="0.15">
      <c r="A117" t="s">
        <v>67</v>
      </c>
      <c r="B117" t="s">
        <v>2368</v>
      </c>
      <c r="C117" t="s">
        <v>69</v>
      </c>
      <c r="D117" t="s">
        <v>69</v>
      </c>
      <c r="E117" t="s">
        <v>69</v>
      </c>
      <c r="F117" t="s">
        <v>2369</v>
      </c>
      <c r="G117" t="s">
        <v>69</v>
      </c>
      <c r="H117" t="s">
        <v>69</v>
      </c>
      <c r="I117" t="s">
        <v>2370</v>
      </c>
      <c r="J117" t="s">
        <v>2371</v>
      </c>
      <c r="K117" t="s">
        <v>69</v>
      </c>
      <c r="L117" t="s">
        <v>69</v>
      </c>
      <c r="M117" t="s">
        <v>73</v>
      </c>
      <c r="N117" t="s">
        <v>74</v>
      </c>
      <c r="O117" t="s">
        <v>69</v>
      </c>
      <c r="P117" t="s">
        <v>69</v>
      </c>
      <c r="Q117" t="s">
        <v>69</v>
      </c>
      <c r="R117" t="s">
        <v>69</v>
      </c>
      <c r="S117" t="s">
        <v>69</v>
      </c>
      <c r="T117" t="s">
        <v>2372</v>
      </c>
      <c r="U117" t="s">
        <v>2373</v>
      </c>
      <c r="V117" t="s">
        <v>2374</v>
      </c>
      <c r="W117" t="s">
        <v>2375</v>
      </c>
      <c r="X117" t="s">
        <v>2376</v>
      </c>
      <c r="Y117" t="s">
        <v>2377</v>
      </c>
      <c r="Z117" t="s">
        <v>2378</v>
      </c>
      <c r="AA117" t="s">
        <v>2379</v>
      </c>
      <c r="AB117" t="s">
        <v>69</v>
      </c>
      <c r="AC117" t="s">
        <v>69</v>
      </c>
      <c r="AD117" t="s">
        <v>69</v>
      </c>
      <c r="AE117">
        <v>109</v>
      </c>
      <c r="AF117">
        <v>13</v>
      </c>
      <c r="AG117">
        <v>13</v>
      </c>
      <c r="AH117">
        <v>5</v>
      </c>
      <c r="AI117">
        <v>40</v>
      </c>
      <c r="AJ117" t="s">
        <v>155</v>
      </c>
      <c r="AK117" t="s">
        <v>156</v>
      </c>
      <c r="AL117" t="s">
        <v>157</v>
      </c>
      <c r="AM117" t="s">
        <v>2380</v>
      </c>
      <c r="AN117" t="s">
        <v>2381</v>
      </c>
      <c r="AO117" t="s">
        <v>69</v>
      </c>
      <c r="AP117" t="s">
        <v>2371</v>
      </c>
      <c r="AQ117" t="s">
        <v>2382</v>
      </c>
      <c r="AR117" t="s">
        <v>490</v>
      </c>
      <c r="AS117">
        <v>2016</v>
      </c>
      <c r="AT117">
        <v>16</v>
      </c>
      <c r="AU117">
        <v>4</v>
      </c>
      <c r="AV117" t="s">
        <v>69</v>
      </c>
      <c r="AW117" t="s">
        <v>69</v>
      </c>
      <c r="AX117" t="s">
        <v>356</v>
      </c>
      <c r="AY117" t="s">
        <v>69</v>
      </c>
      <c r="AZ117">
        <v>497</v>
      </c>
      <c r="BA117">
        <v>520</v>
      </c>
      <c r="BB117" t="s">
        <v>69</v>
      </c>
      <c r="BC117" t="s">
        <v>2383</v>
      </c>
      <c r="BD117" t="s">
        <v>69</v>
      </c>
      <c r="BE117" t="s">
        <v>69</v>
      </c>
      <c r="BF117">
        <v>24</v>
      </c>
      <c r="BG117" t="s">
        <v>817</v>
      </c>
      <c r="BH117" t="s">
        <v>817</v>
      </c>
      <c r="BI117" t="s">
        <v>2384</v>
      </c>
      <c r="BJ117" t="s">
        <v>2385</v>
      </c>
      <c r="BK117" t="s">
        <v>69</v>
      </c>
      <c r="BL117" t="s">
        <v>833</v>
      </c>
      <c r="BM117" t="s">
        <v>69</v>
      </c>
      <c r="BN117" t="s">
        <v>69</v>
      </c>
      <c r="BO117" t="s">
        <v>95</v>
      </c>
      <c r="BP117" t="s">
        <v>69</v>
      </c>
    </row>
    <row r="118" spans="1:68" x14ac:dyDescent="0.15">
      <c r="A118" t="s">
        <v>67</v>
      </c>
      <c r="B118" t="s">
        <v>2386</v>
      </c>
      <c r="C118" t="s">
        <v>69</v>
      </c>
      <c r="D118" t="s">
        <v>69</v>
      </c>
      <c r="E118" t="s">
        <v>69</v>
      </c>
      <c r="F118" t="s">
        <v>2387</v>
      </c>
      <c r="G118" t="s">
        <v>69</v>
      </c>
      <c r="H118" t="s">
        <v>69</v>
      </c>
      <c r="I118" t="s">
        <v>2388</v>
      </c>
      <c r="J118" t="s">
        <v>1669</v>
      </c>
      <c r="K118" t="s">
        <v>69</v>
      </c>
      <c r="L118" t="s">
        <v>69</v>
      </c>
      <c r="M118" t="s">
        <v>73</v>
      </c>
      <c r="N118" t="s">
        <v>74</v>
      </c>
      <c r="O118" t="s">
        <v>69</v>
      </c>
      <c r="P118" t="s">
        <v>69</v>
      </c>
      <c r="Q118" t="s">
        <v>69</v>
      </c>
      <c r="R118" t="s">
        <v>69</v>
      </c>
      <c r="S118" t="s">
        <v>69</v>
      </c>
      <c r="T118" t="s">
        <v>2389</v>
      </c>
      <c r="U118" t="s">
        <v>2390</v>
      </c>
      <c r="V118" t="s">
        <v>2391</v>
      </c>
      <c r="W118" t="s">
        <v>2392</v>
      </c>
      <c r="X118" t="s">
        <v>2192</v>
      </c>
      <c r="Y118" t="s">
        <v>2193</v>
      </c>
      <c r="Z118" t="s">
        <v>2194</v>
      </c>
      <c r="AA118" t="s">
        <v>2195</v>
      </c>
      <c r="AB118" t="s">
        <v>69</v>
      </c>
      <c r="AC118" t="s">
        <v>69</v>
      </c>
      <c r="AD118" t="s">
        <v>69</v>
      </c>
      <c r="AE118">
        <v>24</v>
      </c>
      <c r="AF118">
        <v>5</v>
      </c>
      <c r="AG118">
        <v>5</v>
      </c>
      <c r="AH118">
        <v>1</v>
      </c>
      <c r="AI118">
        <v>16</v>
      </c>
      <c r="AJ118" t="s">
        <v>108</v>
      </c>
      <c r="AK118" t="s">
        <v>109</v>
      </c>
      <c r="AL118" t="s">
        <v>110</v>
      </c>
      <c r="AM118" t="s">
        <v>1678</v>
      </c>
      <c r="AN118" t="s">
        <v>1679</v>
      </c>
      <c r="AO118" t="s">
        <v>69</v>
      </c>
      <c r="AP118" t="s">
        <v>1680</v>
      </c>
      <c r="AQ118" t="s">
        <v>1681</v>
      </c>
      <c r="AR118" t="s">
        <v>579</v>
      </c>
      <c r="AS118">
        <v>2016</v>
      </c>
      <c r="AT118">
        <v>83</v>
      </c>
      <c r="AU118">
        <v>2</v>
      </c>
      <c r="AV118" t="s">
        <v>69</v>
      </c>
      <c r="AW118" t="s">
        <v>69</v>
      </c>
      <c r="AX118" t="s">
        <v>69</v>
      </c>
      <c r="AY118" t="s">
        <v>69</v>
      </c>
      <c r="AZ118">
        <v>269</v>
      </c>
      <c r="BA118">
        <v>275</v>
      </c>
      <c r="BB118" t="s">
        <v>69</v>
      </c>
      <c r="BC118" t="s">
        <v>2393</v>
      </c>
      <c r="BD118" t="s">
        <v>69</v>
      </c>
      <c r="BE118" t="s">
        <v>69</v>
      </c>
      <c r="BF118">
        <v>7</v>
      </c>
      <c r="BG118" t="s">
        <v>117</v>
      </c>
      <c r="BH118" t="s">
        <v>117</v>
      </c>
      <c r="BI118" t="s">
        <v>2394</v>
      </c>
      <c r="BJ118" t="s">
        <v>2395</v>
      </c>
      <c r="BK118" t="s">
        <v>69</v>
      </c>
      <c r="BL118" t="s">
        <v>69</v>
      </c>
      <c r="BM118" t="s">
        <v>69</v>
      </c>
      <c r="BN118" t="s">
        <v>69</v>
      </c>
      <c r="BO118" t="s">
        <v>95</v>
      </c>
      <c r="BP118" t="s">
        <v>69</v>
      </c>
    </row>
    <row r="119" spans="1:68" x14ac:dyDescent="0.15">
      <c r="A119" t="s">
        <v>67</v>
      </c>
      <c r="B119" t="s">
        <v>2396</v>
      </c>
      <c r="C119" t="s">
        <v>69</v>
      </c>
      <c r="D119" t="s">
        <v>69</v>
      </c>
      <c r="E119" t="s">
        <v>69</v>
      </c>
      <c r="F119" t="s">
        <v>2397</v>
      </c>
      <c r="G119" t="s">
        <v>69</v>
      </c>
      <c r="H119" t="s">
        <v>69</v>
      </c>
      <c r="I119" t="s">
        <v>2398</v>
      </c>
      <c r="J119" t="s">
        <v>2399</v>
      </c>
      <c r="K119" t="s">
        <v>69</v>
      </c>
      <c r="L119" t="s">
        <v>69</v>
      </c>
      <c r="M119" t="s">
        <v>73</v>
      </c>
      <c r="N119" t="s">
        <v>74</v>
      </c>
      <c r="O119" t="s">
        <v>69</v>
      </c>
      <c r="P119" t="s">
        <v>69</v>
      </c>
      <c r="Q119" t="s">
        <v>69</v>
      </c>
      <c r="R119" t="s">
        <v>69</v>
      </c>
      <c r="S119" t="s">
        <v>69</v>
      </c>
      <c r="T119" t="s">
        <v>2400</v>
      </c>
      <c r="U119" t="s">
        <v>2401</v>
      </c>
      <c r="V119" t="s">
        <v>2402</v>
      </c>
      <c r="W119" t="s">
        <v>2403</v>
      </c>
      <c r="X119" t="s">
        <v>2404</v>
      </c>
      <c r="Y119" t="s">
        <v>2405</v>
      </c>
      <c r="Z119" t="s">
        <v>69</v>
      </c>
      <c r="AA119" t="s">
        <v>69</v>
      </c>
      <c r="AB119" t="s">
        <v>69</v>
      </c>
      <c r="AC119" t="s">
        <v>69</v>
      </c>
      <c r="AD119" t="s">
        <v>69</v>
      </c>
      <c r="AE119">
        <v>60</v>
      </c>
      <c r="AF119">
        <v>14</v>
      </c>
      <c r="AG119">
        <v>14</v>
      </c>
      <c r="AH119">
        <v>0</v>
      </c>
      <c r="AI119">
        <v>34</v>
      </c>
      <c r="AJ119" t="s">
        <v>953</v>
      </c>
      <c r="AK119" t="s">
        <v>954</v>
      </c>
      <c r="AL119" t="s">
        <v>955</v>
      </c>
      <c r="AM119" t="s">
        <v>2406</v>
      </c>
      <c r="AN119" t="s">
        <v>2407</v>
      </c>
      <c r="AO119" t="s">
        <v>69</v>
      </c>
      <c r="AP119" t="s">
        <v>2408</v>
      </c>
      <c r="AQ119" t="s">
        <v>2409</v>
      </c>
      <c r="AR119" t="s">
        <v>468</v>
      </c>
      <c r="AS119">
        <v>2016</v>
      </c>
      <c r="AT119">
        <v>84</v>
      </c>
      <c r="AU119" t="s">
        <v>69</v>
      </c>
      <c r="AV119" t="s">
        <v>69</v>
      </c>
      <c r="AW119" t="s">
        <v>69</v>
      </c>
      <c r="AX119" t="s">
        <v>356</v>
      </c>
      <c r="AY119" t="s">
        <v>69</v>
      </c>
      <c r="AZ119">
        <v>76</v>
      </c>
      <c r="BA119">
        <v>98</v>
      </c>
      <c r="BB119" t="s">
        <v>69</v>
      </c>
      <c r="BC119" t="s">
        <v>2410</v>
      </c>
      <c r="BD119" t="s">
        <v>69</v>
      </c>
      <c r="BE119" t="s">
        <v>69</v>
      </c>
      <c r="BF119">
        <v>23</v>
      </c>
      <c r="BG119" t="s">
        <v>1854</v>
      </c>
      <c r="BH119" t="s">
        <v>232</v>
      </c>
      <c r="BI119" t="s">
        <v>2411</v>
      </c>
      <c r="BJ119" t="s">
        <v>2412</v>
      </c>
      <c r="BK119" t="s">
        <v>69</v>
      </c>
      <c r="BL119" t="s">
        <v>69</v>
      </c>
      <c r="BM119" t="s">
        <v>69</v>
      </c>
      <c r="BN119" t="s">
        <v>69</v>
      </c>
      <c r="BO119" t="s">
        <v>95</v>
      </c>
      <c r="BP119" t="s">
        <v>69</v>
      </c>
    </row>
    <row r="120" spans="1:68" x14ac:dyDescent="0.15">
      <c r="A120" t="s">
        <v>67</v>
      </c>
      <c r="B120" t="s">
        <v>2413</v>
      </c>
      <c r="C120" t="s">
        <v>69</v>
      </c>
      <c r="D120" t="s">
        <v>69</v>
      </c>
      <c r="E120" t="s">
        <v>69</v>
      </c>
      <c r="F120" t="s">
        <v>2414</v>
      </c>
      <c r="G120" t="s">
        <v>69</v>
      </c>
      <c r="H120" t="s">
        <v>69</v>
      </c>
      <c r="I120" t="s">
        <v>2415</v>
      </c>
      <c r="J120" t="s">
        <v>1451</v>
      </c>
      <c r="K120" t="s">
        <v>69</v>
      </c>
      <c r="L120" t="s">
        <v>69</v>
      </c>
      <c r="M120" t="s">
        <v>73</v>
      </c>
      <c r="N120" t="s">
        <v>74</v>
      </c>
      <c r="O120" t="s">
        <v>69</v>
      </c>
      <c r="P120" t="s">
        <v>69</v>
      </c>
      <c r="Q120" t="s">
        <v>69</v>
      </c>
      <c r="R120" t="s">
        <v>69</v>
      </c>
      <c r="S120" t="s">
        <v>69</v>
      </c>
      <c r="T120" t="s">
        <v>2416</v>
      </c>
      <c r="U120" t="s">
        <v>69</v>
      </c>
      <c r="V120" t="s">
        <v>2417</v>
      </c>
      <c r="W120" t="s">
        <v>2418</v>
      </c>
      <c r="X120" t="s">
        <v>2419</v>
      </c>
      <c r="Y120" t="s">
        <v>2420</v>
      </c>
      <c r="Z120" t="s">
        <v>69</v>
      </c>
      <c r="AA120" t="s">
        <v>69</v>
      </c>
      <c r="AB120" t="s">
        <v>69</v>
      </c>
      <c r="AC120" t="s">
        <v>69</v>
      </c>
      <c r="AD120" t="s">
        <v>69</v>
      </c>
      <c r="AE120">
        <v>15</v>
      </c>
      <c r="AF120">
        <v>4</v>
      </c>
      <c r="AG120">
        <v>4</v>
      </c>
      <c r="AH120">
        <v>1</v>
      </c>
      <c r="AI120">
        <v>8</v>
      </c>
      <c r="AJ120" t="s">
        <v>180</v>
      </c>
      <c r="AK120" t="s">
        <v>181</v>
      </c>
      <c r="AL120" t="s">
        <v>182</v>
      </c>
      <c r="AM120" t="s">
        <v>1461</v>
      </c>
      <c r="AN120" t="s">
        <v>1462</v>
      </c>
      <c r="AO120" t="s">
        <v>69</v>
      </c>
      <c r="AP120" t="s">
        <v>1463</v>
      </c>
      <c r="AQ120" t="s">
        <v>1464</v>
      </c>
      <c r="AR120" t="s">
        <v>468</v>
      </c>
      <c r="AS120">
        <v>2016</v>
      </c>
      <c r="AT120">
        <v>38</v>
      </c>
      <c r="AU120">
        <v>2</v>
      </c>
      <c r="AV120" t="s">
        <v>69</v>
      </c>
      <c r="AW120" t="s">
        <v>69</v>
      </c>
      <c r="AX120" t="s">
        <v>69</v>
      </c>
      <c r="AY120" t="s">
        <v>69</v>
      </c>
      <c r="AZ120">
        <v>155</v>
      </c>
      <c r="BA120">
        <v>165</v>
      </c>
      <c r="BB120" t="s">
        <v>69</v>
      </c>
      <c r="BC120" t="s">
        <v>2421</v>
      </c>
      <c r="BD120" t="s">
        <v>69</v>
      </c>
      <c r="BE120" t="s">
        <v>69</v>
      </c>
      <c r="BF120">
        <v>11</v>
      </c>
      <c r="BG120" t="s">
        <v>449</v>
      </c>
      <c r="BH120" t="s">
        <v>288</v>
      </c>
      <c r="BI120" t="s">
        <v>2422</v>
      </c>
      <c r="BJ120" t="s">
        <v>2423</v>
      </c>
      <c r="BK120" t="s">
        <v>69</v>
      </c>
      <c r="BL120" t="s">
        <v>69</v>
      </c>
      <c r="BM120" t="s">
        <v>69</v>
      </c>
      <c r="BN120" t="s">
        <v>69</v>
      </c>
      <c r="BO120" t="s">
        <v>95</v>
      </c>
      <c r="BP120" t="s">
        <v>69</v>
      </c>
    </row>
    <row r="121" spans="1:68" x14ac:dyDescent="0.15">
      <c r="A121" t="s">
        <v>67</v>
      </c>
      <c r="B121" t="s">
        <v>2424</v>
      </c>
      <c r="C121" t="s">
        <v>69</v>
      </c>
      <c r="D121" t="s">
        <v>69</v>
      </c>
      <c r="E121" t="s">
        <v>69</v>
      </c>
      <c r="F121" t="s">
        <v>2425</v>
      </c>
      <c r="G121" t="s">
        <v>69</v>
      </c>
      <c r="H121" t="s">
        <v>69</v>
      </c>
      <c r="I121" t="s">
        <v>2426</v>
      </c>
      <c r="J121" t="s">
        <v>2427</v>
      </c>
      <c r="K121" t="s">
        <v>69</v>
      </c>
      <c r="L121" t="s">
        <v>69</v>
      </c>
      <c r="M121" t="s">
        <v>73</v>
      </c>
      <c r="N121" t="s">
        <v>74</v>
      </c>
      <c r="O121" t="s">
        <v>69</v>
      </c>
      <c r="P121" t="s">
        <v>69</v>
      </c>
      <c r="Q121" t="s">
        <v>69</v>
      </c>
      <c r="R121" t="s">
        <v>69</v>
      </c>
      <c r="S121" t="s">
        <v>69</v>
      </c>
      <c r="T121" t="s">
        <v>2428</v>
      </c>
      <c r="U121" t="s">
        <v>2429</v>
      </c>
      <c r="V121" t="s">
        <v>2430</v>
      </c>
      <c r="W121" t="s">
        <v>2431</v>
      </c>
      <c r="X121" t="s">
        <v>2432</v>
      </c>
      <c r="Y121" t="s">
        <v>2433</v>
      </c>
      <c r="Z121" t="s">
        <v>69</v>
      </c>
      <c r="AA121" t="s">
        <v>69</v>
      </c>
      <c r="AB121" t="s">
        <v>69</v>
      </c>
      <c r="AC121" t="s">
        <v>69</v>
      </c>
      <c r="AD121" t="s">
        <v>69</v>
      </c>
      <c r="AE121">
        <v>52</v>
      </c>
      <c r="AF121">
        <v>34</v>
      </c>
      <c r="AG121">
        <v>34</v>
      </c>
      <c r="AH121">
        <v>2</v>
      </c>
      <c r="AI121">
        <v>53</v>
      </c>
      <c r="AJ121" t="s">
        <v>2434</v>
      </c>
      <c r="AK121" t="s">
        <v>1184</v>
      </c>
      <c r="AL121" t="s">
        <v>2435</v>
      </c>
      <c r="AM121" t="s">
        <v>2436</v>
      </c>
      <c r="AN121" t="s">
        <v>2437</v>
      </c>
      <c r="AO121" t="s">
        <v>69</v>
      </c>
      <c r="AP121" t="s">
        <v>2438</v>
      </c>
      <c r="AQ121" t="s">
        <v>2439</v>
      </c>
      <c r="AR121" t="s">
        <v>88</v>
      </c>
      <c r="AS121">
        <v>2016</v>
      </c>
      <c r="AT121">
        <v>22</v>
      </c>
      <c r="AU121">
        <v>2</v>
      </c>
      <c r="AV121" t="s">
        <v>69</v>
      </c>
      <c r="AW121" t="s">
        <v>69</v>
      </c>
      <c r="AX121" t="s">
        <v>69</v>
      </c>
      <c r="AY121" t="s">
        <v>69</v>
      </c>
      <c r="AZ121">
        <v>151</v>
      </c>
      <c r="BA121">
        <v>165</v>
      </c>
      <c r="BB121" t="s">
        <v>69</v>
      </c>
      <c r="BC121" t="s">
        <v>2440</v>
      </c>
      <c r="BD121" t="s">
        <v>69</v>
      </c>
      <c r="BE121" t="s">
        <v>69</v>
      </c>
      <c r="BF121">
        <v>15</v>
      </c>
      <c r="BG121" t="s">
        <v>2441</v>
      </c>
      <c r="BH121" t="s">
        <v>2442</v>
      </c>
      <c r="BI121" t="s">
        <v>2443</v>
      </c>
      <c r="BJ121" t="s">
        <v>2444</v>
      </c>
      <c r="BK121">
        <v>26213892</v>
      </c>
      <c r="BL121" t="s">
        <v>69</v>
      </c>
      <c r="BM121" t="s">
        <v>69</v>
      </c>
      <c r="BN121" t="s">
        <v>69</v>
      </c>
      <c r="BO121" t="s">
        <v>95</v>
      </c>
      <c r="BP121" t="s">
        <v>69</v>
      </c>
    </row>
    <row r="122" spans="1:68" x14ac:dyDescent="0.15">
      <c r="A122" t="s">
        <v>67</v>
      </c>
      <c r="B122" t="s">
        <v>2445</v>
      </c>
      <c r="C122" t="s">
        <v>69</v>
      </c>
      <c r="D122" t="s">
        <v>69</v>
      </c>
      <c r="E122" t="s">
        <v>69</v>
      </c>
      <c r="F122" t="s">
        <v>2446</v>
      </c>
      <c r="G122" t="s">
        <v>69</v>
      </c>
      <c r="H122" t="s">
        <v>69</v>
      </c>
      <c r="I122" t="s">
        <v>2447</v>
      </c>
      <c r="J122" t="s">
        <v>2448</v>
      </c>
      <c r="K122" t="s">
        <v>69</v>
      </c>
      <c r="L122" t="s">
        <v>69</v>
      </c>
      <c r="M122" t="s">
        <v>73</v>
      </c>
      <c r="N122" t="s">
        <v>74</v>
      </c>
      <c r="O122" t="s">
        <v>69</v>
      </c>
      <c r="P122" t="s">
        <v>69</v>
      </c>
      <c r="Q122" t="s">
        <v>69</v>
      </c>
      <c r="R122" t="s">
        <v>69</v>
      </c>
      <c r="S122" t="s">
        <v>69</v>
      </c>
      <c r="T122" t="s">
        <v>69</v>
      </c>
      <c r="U122" t="s">
        <v>2449</v>
      </c>
      <c r="V122" t="s">
        <v>2450</v>
      </c>
      <c r="W122" t="s">
        <v>2451</v>
      </c>
      <c r="X122" t="s">
        <v>2452</v>
      </c>
      <c r="Y122" t="s">
        <v>2453</v>
      </c>
      <c r="Z122" t="s">
        <v>69</v>
      </c>
      <c r="AA122" t="s">
        <v>2454</v>
      </c>
      <c r="AB122" t="s">
        <v>69</v>
      </c>
      <c r="AC122" t="s">
        <v>69</v>
      </c>
      <c r="AD122" t="s">
        <v>69</v>
      </c>
      <c r="AE122">
        <v>71</v>
      </c>
      <c r="AF122">
        <v>116</v>
      </c>
      <c r="AG122">
        <v>116</v>
      </c>
      <c r="AH122">
        <v>4</v>
      </c>
      <c r="AI122">
        <v>79</v>
      </c>
      <c r="AJ122" t="s">
        <v>953</v>
      </c>
      <c r="AK122" t="s">
        <v>954</v>
      </c>
      <c r="AL122" t="s">
        <v>955</v>
      </c>
      <c r="AM122" t="s">
        <v>2455</v>
      </c>
      <c r="AN122" t="s">
        <v>69</v>
      </c>
      <c r="AO122" t="s">
        <v>69</v>
      </c>
      <c r="AP122" t="s">
        <v>2456</v>
      </c>
      <c r="AQ122" t="s">
        <v>2457</v>
      </c>
      <c r="AR122" t="s">
        <v>88</v>
      </c>
      <c r="AS122">
        <v>2016</v>
      </c>
      <c r="AT122">
        <v>8</v>
      </c>
      <c r="AU122" t="s">
        <v>69</v>
      </c>
      <c r="AV122" t="s">
        <v>69</v>
      </c>
      <c r="AW122" t="s">
        <v>69</v>
      </c>
      <c r="AX122" t="s">
        <v>69</v>
      </c>
      <c r="AY122" t="s">
        <v>69</v>
      </c>
      <c r="AZ122">
        <v>98</v>
      </c>
      <c r="BA122">
        <v>104</v>
      </c>
      <c r="BB122" t="s">
        <v>69</v>
      </c>
      <c r="BC122" t="s">
        <v>2458</v>
      </c>
      <c r="BD122" t="s">
        <v>69</v>
      </c>
      <c r="BE122" t="s">
        <v>69</v>
      </c>
      <c r="BF122">
        <v>7</v>
      </c>
      <c r="BG122" t="s">
        <v>449</v>
      </c>
      <c r="BH122" t="s">
        <v>288</v>
      </c>
      <c r="BI122" t="s">
        <v>2459</v>
      </c>
      <c r="BJ122" t="s">
        <v>2460</v>
      </c>
      <c r="BK122">
        <v>29506811</v>
      </c>
      <c r="BL122" t="s">
        <v>69</v>
      </c>
      <c r="BM122" t="s">
        <v>69</v>
      </c>
      <c r="BN122" t="s">
        <v>69</v>
      </c>
      <c r="BO122" t="s">
        <v>95</v>
      </c>
      <c r="BP122" t="s">
        <v>69</v>
      </c>
    </row>
    <row r="123" spans="1:68" x14ac:dyDescent="0.15">
      <c r="A123" t="s">
        <v>67</v>
      </c>
      <c r="B123" t="s">
        <v>2461</v>
      </c>
      <c r="C123" t="s">
        <v>69</v>
      </c>
      <c r="D123" t="s">
        <v>69</v>
      </c>
      <c r="E123" t="s">
        <v>69</v>
      </c>
      <c r="F123" t="s">
        <v>2462</v>
      </c>
      <c r="G123" t="s">
        <v>69</v>
      </c>
      <c r="H123" t="s">
        <v>69</v>
      </c>
      <c r="I123" t="s">
        <v>2463</v>
      </c>
      <c r="J123" t="s">
        <v>2464</v>
      </c>
      <c r="K123" t="s">
        <v>69</v>
      </c>
      <c r="L123" t="s">
        <v>69</v>
      </c>
      <c r="M123" t="s">
        <v>73</v>
      </c>
      <c r="N123" t="s">
        <v>74</v>
      </c>
      <c r="O123" t="s">
        <v>69</v>
      </c>
      <c r="P123" t="s">
        <v>69</v>
      </c>
      <c r="Q123" t="s">
        <v>69</v>
      </c>
      <c r="R123" t="s">
        <v>69</v>
      </c>
      <c r="S123" t="s">
        <v>69</v>
      </c>
      <c r="T123" t="s">
        <v>2465</v>
      </c>
      <c r="U123" t="s">
        <v>2466</v>
      </c>
      <c r="V123" t="s">
        <v>2467</v>
      </c>
      <c r="W123" t="s">
        <v>2468</v>
      </c>
      <c r="X123" t="s">
        <v>2469</v>
      </c>
      <c r="Y123" t="s">
        <v>2470</v>
      </c>
      <c r="Z123" t="s">
        <v>69</v>
      </c>
      <c r="AA123" t="s">
        <v>69</v>
      </c>
      <c r="AB123" t="s">
        <v>69</v>
      </c>
      <c r="AC123" t="s">
        <v>69</v>
      </c>
      <c r="AD123" t="s">
        <v>69</v>
      </c>
      <c r="AE123">
        <v>66</v>
      </c>
      <c r="AF123">
        <v>7</v>
      </c>
      <c r="AG123">
        <v>7</v>
      </c>
      <c r="AH123">
        <v>1</v>
      </c>
      <c r="AI123">
        <v>17</v>
      </c>
      <c r="AJ123" t="s">
        <v>2471</v>
      </c>
      <c r="AK123" t="s">
        <v>2472</v>
      </c>
      <c r="AL123" t="s">
        <v>2473</v>
      </c>
      <c r="AM123" t="s">
        <v>2474</v>
      </c>
      <c r="AN123" t="s">
        <v>2475</v>
      </c>
      <c r="AO123" t="s">
        <v>69</v>
      </c>
      <c r="AP123" t="s">
        <v>2476</v>
      </c>
      <c r="AQ123" t="s">
        <v>2477</v>
      </c>
      <c r="AR123" t="s">
        <v>511</v>
      </c>
      <c r="AS123">
        <v>2016</v>
      </c>
      <c r="AT123">
        <v>56</v>
      </c>
      <c r="AU123" t="s">
        <v>69</v>
      </c>
      <c r="AV123" t="s">
        <v>69</v>
      </c>
      <c r="AW123" t="s">
        <v>69</v>
      </c>
      <c r="AX123" t="s">
        <v>69</v>
      </c>
      <c r="AY123" t="s">
        <v>69</v>
      </c>
      <c r="AZ123">
        <v>1</v>
      </c>
      <c r="BA123">
        <v>15</v>
      </c>
      <c r="BB123" t="s">
        <v>69</v>
      </c>
      <c r="BC123" t="s">
        <v>2478</v>
      </c>
      <c r="BD123" t="s">
        <v>69</v>
      </c>
      <c r="BE123" t="s">
        <v>69</v>
      </c>
      <c r="BF123">
        <v>15</v>
      </c>
      <c r="BG123" t="s">
        <v>493</v>
      </c>
      <c r="BH123" t="s">
        <v>493</v>
      </c>
      <c r="BI123" t="s">
        <v>2479</v>
      </c>
      <c r="BJ123" t="s">
        <v>2480</v>
      </c>
      <c r="BK123">
        <v>26857168</v>
      </c>
      <c r="BL123" t="s">
        <v>69</v>
      </c>
      <c r="BM123" t="s">
        <v>69</v>
      </c>
      <c r="BN123" t="s">
        <v>69</v>
      </c>
      <c r="BO123" t="s">
        <v>95</v>
      </c>
      <c r="BP123" t="s">
        <v>69</v>
      </c>
    </row>
    <row r="124" spans="1:68" x14ac:dyDescent="0.15">
      <c r="A124" t="s">
        <v>67</v>
      </c>
      <c r="B124" t="s">
        <v>2481</v>
      </c>
      <c r="C124" t="s">
        <v>69</v>
      </c>
      <c r="D124" t="s">
        <v>69</v>
      </c>
      <c r="E124" t="s">
        <v>69</v>
      </c>
      <c r="F124" t="s">
        <v>2482</v>
      </c>
      <c r="G124" t="s">
        <v>69</v>
      </c>
      <c r="H124" t="s">
        <v>69</v>
      </c>
      <c r="I124" t="s">
        <v>2483</v>
      </c>
      <c r="J124" t="s">
        <v>1451</v>
      </c>
      <c r="K124" t="s">
        <v>69</v>
      </c>
      <c r="L124" t="s">
        <v>69</v>
      </c>
      <c r="M124" t="s">
        <v>73</v>
      </c>
      <c r="N124" t="s">
        <v>74</v>
      </c>
      <c r="O124" t="s">
        <v>69</v>
      </c>
      <c r="P124" t="s">
        <v>69</v>
      </c>
      <c r="Q124" t="s">
        <v>69</v>
      </c>
      <c r="R124" t="s">
        <v>69</v>
      </c>
      <c r="S124" t="s">
        <v>69</v>
      </c>
      <c r="T124" t="s">
        <v>2484</v>
      </c>
      <c r="U124" t="s">
        <v>2485</v>
      </c>
      <c r="V124" t="s">
        <v>2486</v>
      </c>
      <c r="W124" t="s">
        <v>2487</v>
      </c>
      <c r="X124" t="s">
        <v>2488</v>
      </c>
      <c r="Y124" t="s">
        <v>2489</v>
      </c>
      <c r="Z124" t="s">
        <v>2490</v>
      </c>
      <c r="AA124" t="s">
        <v>2491</v>
      </c>
      <c r="AB124" t="s">
        <v>2492</v>
      </c>
      <c r="AC124" t="s">
        <v>2493</v>
      </c>
      <c r="AD124" t="s">
        <v>69</v>
      </c>
      <c r="AE124">
        <v>36</v>
      </c>
      <c r="AF124">
        <v>4</v>
      </c>
      <c r="AG124">
        <v>4</v>
      </c>
      <c r="AH124">
        <v>0</v>
      </c>
      <c r="AI124">
        <v>7</v>
      </c>
      <c r="AJ124" t="s">
        <v>180</v>
      </c>
      <c r="AK124" t="s">
        <v>181</v>
      </c>
      <c r="AL124" t="s">
        <v>182</v>
      </c>
      <c r="AM124" t="s">
        <v>1461</v>
      </c>
      <c r="AN124" t="s">
        <v>1462</v>
      </c>
      <c r="AO124" t="s">
        <v>69</v>
      </c>
      <c r="AP124" t="s">
        <v>1463</v>
      </c>
      <c r="AQ124" t="s">
        <v>1464</v>
      </c>
      <c r="AR124" t="s">
        <v>535</v>
      </c>
      <c r="AS124">
        <v>2016</v>
      </c>
      <c r="AT124">
        <v>38</v>
      </c>
      <c r="AU124">
        <v>1</v>
      </c>
      <c r="AV124" t="s">
        <v>69</v>
      </c>
      <c r="AW124" t="s">
        <v>69</v>
      </c>
      <c r="AX124" t="s">
        <v>69</v>
      </c>
      <c r="AY124" t="s">
        <v>69</v>
      </c>
      <c r="AZ124">
        <v>117</v>
      </c>
      <c r="BA124">
        <v>133</v>
      </c>
      <c r="BB124" t="s">
        <v>69</v>
      </c>
      <c r="BC124" t="s">
        <v>2494</v>
      </c>
      <c r="BD124" t="s">
        <v>69</v>
      </c>
      <c r="BE124" t="s">
        <v>69</v>
      </c>
      <c r="BF124">
        <v>17</v>
      </c>
      <c r="BG124" t="s">
        <v>449</v>
      </c>
      <c r="BH124" t="s">
        <v>288</v>
      </c>
      <c r="BI124" t="s">
        <v>2495</v>
      </c>
      <c r="BJ124" t="s">
        <v>2496</v>
      </c>
      <c r="BK124">
        <v>32694881</v>
      </c>
      <c r="BL124" t="s">
        <v>833</v>
      </c>
      <c r="BM124" t="s">
        <v>69</v>
      </c>
      <c r="BN124" t="s">
        <v>69</v>
      </c>
      <c r="BO124" t="s">
        <v>95</v>
      </c>
      <c r="BP124" t="s">
        <v>69</v>
      </c>
    </row>
    <row r="125" spans="1:68" x14ac:dyDescent="0.15">
      <c r="A125" t="s">
        <v>67</v>
      </c>
      <c r="B125" t="s">
        <v>2497</v>
      </c>
      <c r="C125" t="s">
        <v>69</v>
      </c>
      <c r="D125" t="s">
        <v>69</v>
      </c>
      <c r="E125" t="s">
        <v>69</v>
      </c>
      <c r="F125" t="s">
        <v>2498</v>
      </c>
      <c r="G125" t="s">
        <v>69</v>
      </c>
      <c r="H125" t="s">
        <v>69</v>
      </c>
      <c r="I125" t="s">
        <v>2499</v>
      </c>
      <c r="J125" t="s">
        <v>2500</v>
      </c>
      <c r="K125" t="s">
        <v>69</v>
      </c>
      <c r="L125" t="s">
        <v>69</v>
      </c>
      <c r="M125" t="s">
        <v>73</v>
      </c>
      <c r="N125" t="s">
        <v>74</v>
      </c>
      <c r="O125" t="s">
        <v>69</v>
      </c>
      <c r="P125" t="s">
        <v>69</v>
      </c>
      <c r="Q125" t="s">
        <v>69</v>
      </c>
      <c r="R125" t="s">
        <v>69</v>
      </c>
      <c r="S125" t="s">
        <v>69</v>
      </c>
      <c r="T125" t="s">
        <v>2501</v>
      </c>
      <c r="U125" t="s">
        <v>2502</v>
      </c>
      <c r="V125" t="s">
        <v>2503</v>
      </c>
      <c r="W125" t="s">
        <v>2504</v>
      </c>
      <c r="X125" t="s">
        <v>2505</v>
      </c>
      <c r="Y125" t="s">
        <v>2506</v>
      </c>
      <c r="Z125" t="s">
        <v>2507</v>
      </c>
      <c r="AA125" t="s">
        <v>2508</v>
      </c>
      <c r="AB125" t="s">
        <v>2509</v>
      </c>
      <c r="AC125" t="s">
        <v>2510</v>
      </c>
      <c r="AD125" t="s">
        <v>69</v>
      </c>
      <c r="AE125">
        <v>132</v>
      </c>
      <c r="AF125">
        <v>31</v>
      </c>
      <c r="AG125">
        <v>32</v>
      </c>
      <c r="AH125">
        <v>3</v>
      </c>
      <c r="AI125">
        <v>87</v>
      </c>
      <c r="AJ125" t="s">
        <v>1183</v>
      </c>
      <c r="AK125" t="s">
        <v>1184</v>
      </c>
      <c r="AL125" t="s">
        <v>1185</v>
      </c>
      <c r="AM125" t="s">
        <v>2511</v>
      </c>
      <c r="AN125" t="s">
        <v>2512</v>
      </c>
      <c r="AO125" t="s">
        <v>69</v>
      </c>
      <c r="AP125" t="s">
        <v>2513</v>
      </c>
      <c r="AQ125" t="s">
        <v>2514</v>
      </c>
      <c r="AR125" t="s">
        <v>535</v>
      </c>
      <c r="AS125">
        <v>2016</v>
      </c>
      <c r="AT125">
        <v>110</v>
      </c>
      <c r="AU125">
        <v>2</v>
      </c>
      <c r="AV125" t="s">
        <v>69</v>
      </c>
      <c r="AW125" t="s">
        <v>69</v>
      </c>
      <c r="AX125" t="s">
        <v>69</v>
      </c>
      <c r="AY125" t="s">
        <v>69</v>
      </c>
      <c r="AZ125">
        <v>302</v>
      </c>
      <c r="BA125">
        <v>331</v>
      </c>
      <c r="BB125" t="s">
        <v>69</v>
      </c>
      <c r="BC125" t="s">
        <v>2515</v>
      </c>
      <c r="BD125" t="s">
        <v>69</v>
      </c>
      <c r="BE125" t="s">
        <v>69</v>
      </c>
      <c r="BF125">
        <v>30</v>
      </c>
      <c r="BG125" t="s">
        <v>2058</v>
      </c>
      <c r="BH125" t="s">
        <v>288</v>
      </c>
      <c r="BI125" t="s">
        <v>2516</v>
      </c>
      <c r="BJ125" t="s">
        <v>2517</v>
      </c>
      <c r="BK125">
        <v>26302436</v>
      </c>
      <c r="BL125" t="s">
        <v>833</v>
      </c>
      <c r="BM125" t="s">
        <v>69</v>
      </c>
      <c r="BN125" t="s">
        <v>69</v>
      </c>
      <c r="BO125" t="s">
        <v>95</v>
      </c>
      <c r="BP125" t="s">
        <v>69</v>
      </c>
    </row>
    <row r="126" spans="1:68" x14ac:dyDescent="0.15">
      <c r="A126" t="s">
        <v>67</v>
      </c>
      <c r="B126" t="s">
        <v>2518</v>
      </c>
      <c r="C126" t="s">
        <v>69</v>
      </c>
      <c r="D126" t="s">
        <v>69</v>
      </c>
      <c r="E126" t="s">
        <v>69</v>
      </c>
      <c r="F126" t="s">
        <v>2519</v>
      </c>
      <c r="G126" t="s">
        <v>69</v>
      </c>
      <c r="H126" t="s">
        <v>69</v>
      </c>
      <c r="I126" t="s">
        <v>2520</v>
      </c>
      <c r="J126" t="s">
        <v>1726</v>
      </c>
      <c r="K126" t="s">
        <v>69</v>
      </c>
      <c r="L126" t="s">
        <v>69</v>
      </c>
      <c r="M126" t="s">
        <v>73</v>
      </c>
      <c r="N126" t="s">
        <v>74</v>
      </c>
      <c r="O126" t="s">
        <v>69</v>
      </c>
      <c r="P126" t="s">
        <v>69</v>
      </c>
      <c r="Q126" t="s">
        <v>69</v>
      </c>
      <c r="R126" t="s">
        <v>69</v>
      </c>
      <c r="S126" t="s">
        <v>69</v>
      </c>
      <c r="T126" t="s">
        <v>2521</v>
      </c>
      <c r="U126" t="s">
        <v>2522</v>
      </c>
      <c r="V126" t="s">
        <v>2523</v>
      </c>
      <c r="W126" t="s">
        <v>2524</v>
      </c>
      <c r="X126" t="s">
        <v>2525</v>
      </c>
      <c r="Y126" t="s">
        <v>2526</v>
      </c>
      <c r="Z126" t="s">
        <v>69</v>
      </c>
      <c r="AA126" t="s">
        <v>69</v>
      </c>
      <c r="AB126" t="s">
        <v>69</v>
      </c>
      <c r="AC126" t="s">
        <v>69</v>
      </c>
      <c r="AD126" t="s">
        <v>69</v>
      </c>
      <c r="AE126">
        <v>40</v>
      </c>
      <c r="AF126">
        <v>17</v>
      </c>
      <c r="AG126">
        <v>17</v>
      </c>
      <c r="AH126">
        <v>0</v>
      </c>
      <c r="AI126">
        <v>11</v>
      </c>
      <c r="AJ126" t="s">
        <v>108</v>
      </c>
      <c r="AK126" t="s">
        <v>109</v>
      </c>
      <c r="AL126" t="s">
        <v>110</v>
      </c>
      <c r="AM126" t="s">
        <v>1734</v>
      </c>
      <c r="AN126" t="s">
        <v>1735</v>
      </c>
      <c r="AO126" t="s">
        <v>69</v>
      </c>
      <c r="AP126" t="s">
        <v>1736</v>
      </c>
      <c r="AQ126" t="s">
        <v>1737</v>
      </c>
      <c r="AR126" t="s">
        <v>814</v>
      </c>
      <c r="AS126">
        <v>2016</v>
      </c>
      <c r="AT126">
        <v>42</v>
      </c>
      <c r="AU126">
        <v>1</v>
      </c>
      <c r="AV126" t="s">
        <v>69</v>
      </c>
      <c r="AW126" t="s">
        <v>69</v>
      </c>
      <c r="AX126" t="s">
        <v>69</v>
      </c>
      <c r="AY126" t="s">
        <v>69</v>
      </c>
      <c r="AZ126">
        <v>23</v>
      </c>
      <c r="BA126">
        <v>53</v>
      </c>
      <c r="BB126" t="s">
        <v>69</v>
      </c>
      <c r="BC126" t="s">
        <v>2527</v>
      </c>
      <c r="BD126" t="s">
        <v>69</v>
      </c>
      <c r="BE126" t="s">
        <v>69</v>
      </c>
      <c r="BF126">
        <v>31</v>
      </c>
      <c r="BG126" t="s">
        <v>1739</v>
      </c>
      <c r="BH126" t="s">
        <v>1739</v>
      </c>
      <c r="BI126" t="s">
        <v>2528</v>
      </c>
      <c r="BJ126" t="s">
        <v>2529</v>
      </c>
      <c r="BK126" t="s">
        <v>69</v>
      </c>
      <c r="BL126" t="s">
        <v>69</v>
      </c>
      <c r="BM126" t="s">
        <v>69</v>
      </c>
      <c r="BN126" t="s">
        <v>69</v>
      </c>
      <c r="BO126" t="s">
        <v>95</v>
      </c>
      <c r="BP126" t="s">
        <v>69</v>
      </c>
    </row>
    <row r="127" spans="1:68" x14ac:dyDescent="0.15">
      <c r="A127" t="s">
        <v>67</v>
      </c>
      <c r="B127" t="s">
        <v>2530</v>
      </c>
      <c r="C127" t="s">
        <v>69</v>
      </c>
      <c r="D127" t="s">
        <v>69</v>
      </c>
      <c r="E127" t="s">
        <v>69</v>
      </c>
      <c r="F127" t="s">
        <v>2531</v>
      </c>
      <c r="G127" t="s">
        <v>69</v>
      </c>
      <c r="H127" t="s">
        <v>69</v>
      </c>
      <c r="I127" t="s">
        <v>2532</v>
      </c>
      <c r="J127" t="s">
        <v>2533</v>
      </c>
      <c r="K127" t="s">
        <v>69</v>
      </c>
      <c r="L127" t="s">
        <v>69</v>
      </c>
      <c r="M127" t="s">
        <v>73</v>
      </c>
      <c r="N127" t="s">
        <v>74</v>
      </c>
      <c r="O127" t="s">
        <v>69</v>
      </c>
      <c r="P127" t="s">
        <v>69</v>
      </c>
      <c r="Q127" t="s">
        <v>69</v>
      </c>
      <c r="R127" t="s">
        <v>69</v>
      </c>
      <c r="S127" t="s">
        <v>69</v>
      </c>
      <c r="T127" t="s">
        <v>69</v>
      </c>
      <c r="U127" t="s">
        <v>2534</v>
      </c>
      <c r="V127" t="s">
        <v>2535</v>
      </c>
      <c r="W127" t="s">
        <v>2536</v>
      </c>
      <c r="X127" t="s">
        <v>2537</v>
      </c>
      <c r="Y127" t="s">
        <v>2538</v>
      </c>
      <c r="Z127" t="s">
        <v>69</v>
      </c>
      <c r="AA127" t="s">
        <v>69</v>
      </c>
      <c r="AB127" t="s">
        <v>69</v>
      </c>
      <c r="AC127" t="s">
        <v>69</v>
      </c>
      <c r="AD127" t="s">
        <v>69</v>
      </c>
      <c r="AE127">
        <v>75</v>
      </c>
      <c r="AF127">
        <v>3</v>
      </c>
      <c r="AG127">
        <v>3</v>
      </c>
      <c r="AH127">
        <v>0</v>
      </c>
      <c r="AI127">
        <v>15</v>
      </c>
      <c r="AJ127" t="s">
        <v>108</v>
      </c>
      <c r="AK127" t="s">
        <v>109</v>
      </c>
      <c r="AL127" t="s">
        <v>110</v>
      </c>
      <c r="AM127" t="s">
        <v>2539</v>
      </c>
      <c r="AN127" t="s">
        <v>2540</v>
      </c>
      <c r="AO127" t="s">
        <v>69</v>
      </c>
      <c r="AP127" t="s">
        <v>2541</v>
      </c>
      <c r="AQ127" t="s">
        <v>2542</v>
      </c>
      <c r="AR127" t="s">
        <v>69</v>
      </c>
      <c r="AS127">
        <v>2016</v>
      </c>
      <c r="AT127">
        <v>40</v>
      </c>
      <c r="AU127">
        <v>6</v>
      </c>
      <c r="AV127" t="s">
        <v>69</v>
      </c>
      <c r="AW127" t="s">
        <v>69</v>
      </c>
      <c r="AX127" t="s">
        <v>69</v>
      </c>
      <c r="AY127" t="s">
        <v>69</v>
      </c>
      <c r="AZ127">
        <v>373</v>
      </c>
      <c r="BA127">
        <v>382</v>
      </c>
      <c r="BB127" t="s">
        <v>69</v>
      </c>
      <c r="BC127" t="s">
        <v>2543</v>
      </c>
      <c r="BD127" t="s">
        <v>69</v>
      </c>
      <c r="BE127" t="s">
        <v>69</v>
      </c>
      <c r="BF127">
        <v>10</v>
      </c>
      <c r="BG127" t="s">
        <v>2544</v>
      </c>
      <c r="BH127" t="s">
        <v>2545</v>
      </c>
      <c r="BI127" t="s">
        <v>2546</v>
      </c>
      <c r="BJ127" t="s">
        <v>2547</v>
      </c>
      <c r="BK127">
        <v>26890379</v>
      </c>
      <c r="BL127" t="s">
        <v>69</v>
      </c>
      <c r="BM127" t="s">
        <v>69</v>
      </c>
      <c r="BN127" t="s">
        <v>69</v>
      </c>
      <c r="BO127" t="s">
        <v>95</v>
      </c>
      <c r="BP127" t="s">
        <v>69</v>
      </c>
    </row>
    <row r="128" spans="1:68" x14ac:dyDescent="0.15">
      <c r="A128" t="s">
        <v>67</v>
      </c>
      <c r="B128" t="s">
        <v>2548</v>
      </c>
      <c r="C128" t="s">
        <v>69</v>
      </c>
      <c r="D128" t="s">
        <v>69</v>
      </c>
      <c r="E128" t="s">
        <v>69</v>
      </c>
      <c r="F128" t="s">
        <v>2549</v>
      </c>
      <c r="G128" t="s">
        <v>69</v>
      </c>
      <c r="H128" t="s">
        <v>69</v>
      </c>
      <c r="I128" t="s">
        <v>2550</v>
      </c>
      <c r="J128" t="s">
        <v>2551</v>
      </c>
      <c r="K128" t="s">
        <v>69</v>
      </c>
      <c r="L128" t="s">
        <v>69</v>
      </c>
      <c r="M128" t="s">
        <v>73</v>
      </c>
      <c r="N128" t="s">
        <v>74</v>
      </c>
      <c r="O128" t="s">
        <v>69</v>
      </c>
      <c r="P128" t="s">
        <v>69</v>
      </c>
      <c r="Q128" t="s">
        <v>69</v>
      </c>
      <c r="R128" t="s">
        <v>69</v>
      </c>
      <c r="S128" t="s">
        <v>69</v>
      </c>
      <c r="T128" t="s">
        <v>2552</v>
      </c>
      <c r="U128" t="s">
        <v>2553</v>
      </c>
      <c r="V128" t="s">
        <v>2554</v>
      </c>
      <c r="W128" t="s">
        <v>2555</v>
      </c>
      <c r="X128" t="s">
        <v>2556</v>
      </c>
      <c r="Y128" t="s">
        <v>2557</v>
      </c>
      <c r="Z128" t="s">
        <v>69</v>
      </c>
      <c r="AA128" t="s">
        <v>69</v>
      </c>
      <c r="AB128" t="s">
        <v>2558</v>
      </c>
      <c r="AC128" t="s">
        <v>2559</v>
      </c>
      <c r="AD128" t="s">
        <v>69</v>
      </c>
      <c r="AE128">
        <v>67</v>
      </c>
      <c r="AF128">
        <v>6</v>
      </c>
      <c r="AG128">
        <v>6</v>
      </c>
      <c r="AH128">
        <v>0</v>
      </c>
      <c r="AI128">
        <v>12</v>
      </c>
      <c r="AJ128" t="s">
        <v>1833</v>
      </c>
      <c r="AK128" t="s">
        <v>2560</v>
      </c>
      <c r="AL128" t="s">
        <v>2561</v>
      </c>
      <c r="AM128" t="s">
        <v>2562</v>
      </c>
      <c r="AN128" t="s">
        <v>2563</v>
      </c>
      <c r="AO128" t="s">
        <v>69</v>
      </c>
      <c r="AP128" t="s">
        <v>2564</v>
      </c>
      <c r="AQ128" t="s">
        <v>2565</v>
      </c>
      <c r="AR128" t="s">
        <v>355</v>
      </c>
      <c r="AS128">
        <v>2015</v>
      </c>
      <c r="AT128">
        <v>18</v>
      </c>
      <c r="AU128">
        <v>18</v>
      </c>
      <c r="AV128" t="s">
        <v>69</v>
      </c>
      <c r="AW128" t="s">
        <v>69</v>
      </c>
      <c r="AX128" t="s">
        <v>69</v>
      </c>
      <c r="AY128" t="s">
        <v>69</v>
      </c>
      <c r="AZ128">
        <v>3371</v>
      </c>
      <c r="BA128">
        <v>3385</v>
      </c>
      <c r="BB128" t="s">
        <v>69</v>
      </c>
      <c r="BC128" t="s">
        <v>2566</v>
      </c>
      <c r="BD128" t="s">
        <v>69</v>
      </c>
      <c r="BE128" t="s">
        <v>69</v>
      </c>
      <c r="BF128">
        <v>15</v>
      </c>
      <c r="BG128" t="s">
        <v>2567</v>
      </c>
      <c r="BH128" t="s">
        <v>2567</v>
      </c>
      <c r="BI128" t="s">
        <v>2568</v>
      </c>
      <c r="BJ128" t="s">
        <v>2569</v>
      </c>
      <c r="BK128">
        <v>25740254</v>
      </c>
      <c r="BL128" t="s">
        <v>213</v>
      </c>
      <c r="BM128" t="s">
        <v>69</v>
      </c>
      <c r="BN128" t="s">
        <v>69</v>
      </c>
      <c r="BO128" t="s">
        <v>95</v>
      </c>
      <c r="BP128" t="s">
        <v>69</v>
      </c>
    </row>
    <row r="129" spans="1:68" x14ac:dyDescent="0.15">
      <c r="A129" t="s">
        <v>67</v>
      </c>
      <c r="B129" t="s">
        <v>2570</v>
      </c>
      <c r="C129" t="s">
        <v>69</v>
      </c>
      <c r="D129" t="s">
        <v>69</v>
      </c>
      <c r="E129" t="s">
        <v>69</v>
      </c>
      <c r="F129" t="s">
        <v>2571</v>
      </c>
      <c r="G129" t="s">
        <v>69</v>
      </c>
      <c r="H129" t="s">
        <v>69</v>
      </c>
      <c r="I129" t="s">
        <v>2572</v>
      </c>
      <c r="J129" t="s">
        <v>365</v>
      </c>
      <c r="K129" t="s">
        <v>69</v>
      </c>
      <c r="L129" t="s">
        <v>69</v>
      </c>
      <c r="M129" t="s">
        <v>73</v>
      </c>
      <c r="N129" t="s">
        <v>74</v>
      </c>
      <c r="O129" t="s">
        <v>69</v>
      </c>
      <c r="P129" t="s">
        <v>69</v>
      </c>
      <c r="Q129" t="s">
        <v>69</v>
      </c>
      <c r="R129" t="s">
        <v>69</v>
      </c>
      <c r="S129" t="s">
        <v>69</v>
      </c>
      <c r="T129" t="s">
        <v>2573</v>
      </c>
      <c r="U129" t="s">
        <v>2574</v>
      </c>
      <c r="V129" t="s">
        <v>2575</v>
      </c>
      <c r="W129" t="s">
        <v>2576</v>
      </c>
      <c r="X129" t="s">
        <v>2577</v>
      </c>
      <c r="Y129" t="s">
        <v>2578</v>
      </c>
      <c r="Z129" t="s">
        <v>2579</v>
      </c>
      <c r="AA129" t="s">
        <v>2580</v>
      </c>
      <c r="AB129" t="s">
        <v>69</v>
      </c>
      <c r="AC129" t="s">
        <v>69</v>
      </c>
      <c r="AD129" t="s">
        <v>69</v>
      </c>
      <c r="AE129">
        <v>84</v>
      </c>
      <c r="AF129">
        <v>16</v>
      </c>
      <c r="AG129">
        <v>16</v>
      </c>
      <c r="AH129">
        <v>1</v>
      </c>
      <c r="AI129">
        <v>41</v>
      </c>
      <c r="AJ129" t="s">
        <v>223</v>
      </c>
      <c r="AK129" t="s">
        <v>224</v>
      </c>
      <c r="AL129" t="s">
        <v>225</v>
      </c>
      <c r="AM129" t="s">
        <v>375</v>
      </c>
      <c r="AN129" t="s">
        <v>376</v>
      </c>
      <c r="AO129" t="s">
        <v>69</v>
      </c>
      <c r="AP129" t="s">
        <v>377</v>
      </c>
      <c r="AQ129" t="s">
        <v>378</v>
      </c>
      <c r="AR129" t="s">
        <v>355</v>
      </c>
      <c r="AS129">
        <v>2015</v>
      </c>
      <c r="AT129">
        <v>56</v>
      </c>
      <c r="AU129" t="s">
        <v>379</v>
      </c>
      <c r="AV129" t="s">
        <v>69</v>
      </c>
      <c r="AW129" t="s">
        <v>69</v>
      </c>
      <c r="AX129" t="s">
        <v>69</v>
      </c>
      <c r="AY129" t="s">
        <v>69</v>
      </c>
      <c r="AZ129">
        <v>395</v>
      </c>
      <c r="BA129">
        <v>407</v>
      </c>
      <c r="BB129" t="s">
        <v>69</v>
      </c>
      <c r="BC129" t="s">
        <v>2581</v>
      </c>
      <c r="BD129" t="s">
        <v>69</v>
      </c>
      <c r="BE129" t="s">
        <v>69</v>
      </c>
      <c r="BF129">
        <v>13</v>
      </c>
      <c r="BG129" t="s">
        <v>381</v>
      </c>
      <c r="BH129" t="s">
        <v>382</v>
      </c>
      <c r="BI129" t="s">
        <v>2582</v>
      </c>
      <c r="BJ129" t="s">
        <v>2583</v>
      </c>
      <c r="BK129">
        <v>26443380</v>
      </c>
      <c r="BL129" t="s">
        <v>69</v>
      </c>
      <c r="BM129" t="s">
        <v>69</v>
      </c>
      <c r="BN129" t="s">
        <v>69</v>
      </c>
      <c r="BO129" t="s">
        <v>95</v>
      </c>
      <c r="BP129" t="s">
        <v>69</v>
      </c>
    </row>
    <row r="130" spans="1:68" x14ac:dyDescent="0.15">
      <c r="A130" t="s">
        <v>67</v>
      </c>
      <c r="B130" t="s">
        <v>2584</v>
      </c>
      <c r="C130" t="s">
        <v>69</v>
      </c>
      <c r="D130" t="s">
        <v>69</v>
      </c>
      <c r="E130" t="s">
        <v>69</v>
      </c>
      <c r="F130" t="s">
        <v>2585</v>
      </c>
      <c r="G130" t="s">
        <v>69</v>
      </c>
      <c r="H130" t="s">
        <v>69</v>
      </c>
      <c r="I130" t="s">
        <v>2586</v>
      </c>
      <c r="J130" t="s">
        <v>2587</v>
      </c>
      <c r="K130" t="s">
        <v>69</v>
      </c>
      <c r="L130" t="s">
        <v>69</v>
      </c>
      <c r="M130" t="s">
        <v>73</v>
      </c>
      <c r="N130" t="s">
        <v>74</v>
      </c>
      <c r="O130" t="s">
        <v>69</v>
      </c>
      <c r="P130" t="s">
        <v>69</v>
      </c>
      <c r="Q130" t="s">
        <v>69</v>
      </c>
      <c r="R130" t="s">
        <v>69</v>
      </c>
      <c r="S130" t="s">
        <v>69</v>
      </c>
      <c r="T130" t="s">
        <v>2588</v>
      </c>
      <c r="U130" t="s">
        <v>2589</v>
      </c>
      <c r="V130" t="s">
        <v>2590</v>
      </c>
      <c r="W130" t="s">
        <v>2591</v>
      </c>
      <c r="X130" t="s">
        <v>2592</v>
      </c>
      <c r="Y130" t="s">
        <v>2593</v>
      </c>
      <c r="Z130" t="s">
        <v>69</v>
      </c>
      <c r="AA130" t="s">
        <v>2594</v>
      </c>
      <c r="AB130" t="s">
        <v>69</v>
      </c>
      <c r="AC130" t="s">
        <v>69</v>
      </c>
      <c r="AD130" t="s">
        <v>69</v>
      </c>
      <c r="AE130">
        <v>53</v>
      </c>
      <c r="AF130">
        <v>12</v>
      </c>
      <c r="AG130">
        <v>12</v>
      </c>
      <c r="AH130">
        <v>0</v>
      </c>
      <c r="AI130">
        <v>9</v>
      </c>
      <c r="AJ130" t="s">
        <v>82</v>
      </c>
      <c r="AK130" t="s">
        <v>83</v>
      </c>
      <c r="AL130" t="s">
        <v>84</v>
      </c>
      <c r="AM130" t="s">
        <v>69</v>
      </c>
      <c r="AN130" t="s">
        <v>2595</v>
      </c>
      <c r="AO130" t="s">
        <v>69</v>
      </c>
      <c r="AP130" t="s">
        <v>2596</v>
      </c>
      <c r="AQ130" t="s">
        <v>2597</v>
      </c>
      <c r="AR130" t="s">
        <v>355</v>
      </c>
      <c r="AS130">
        <v>2015</v>
      </c>
      <c r="AT130">
        <v>12</v>
      </c>
      <c r="AU130">
        <v>12</v>
      </c>
      <c r="AV130" t="s">
        <v>69</v>
      </c>
      <c r="AW130" t="s">
        <v>69</v>
      </c>
      <c r="AX130" t="s">
        <v>69</v>
      </c>
      <c r="AY130" t="s">
        <v>69</v>
      </c>
      <c r="AZ130">
        <v>15925</v>
      </c>
      <c r="BA130">
        <v>15936</v>
      </c>
      <c r="BB130" t="s">
        <v>69</v>
      </c>
      <c r="BC130" t="s">
        <v>2598</v>
      </c>
      <c r="BD130" t="s">
        <v>69</v>
      </c>
      <c r="BE130" t="s">
        <v>69</v>
      </c>
      <c r="BF130">
        <v>12</v>
      </c>
      <c r="BG130" t="s">
        <v>2599</v>
      </c>
      <c r="BH130" t="s">
        <v>2600</v>
      </c>
      <c r="BI130" t="s">
        <v>2601</v>
      </c>
      <c r="BJ130" t="s">
        <v>2602</v>
      </c>
      <c r="BK130">
        <v>26694430</v>
      </c>
      <c r="BL130" t="s">
        <v>336</v>
      </c>
      <c r="BM130" t="s">
        <v>69</v>
      </c>
      <c r="BN130" t="s">
        <v>69</v>
      </c>
      <c r="BO130" t="s">
        <v>95</v>
      </c>
      <c r="BP130" t="s">
        <v>69</v>
      </c>
    </row>
    <row r="131" spans="1:68" x14ac:dyDescent="0.15">
      <c r="A131" t="s">
        <v>67</v>
      </c>
      <c r="B131" t="s">
        <v>2603</v>
      </c>
      <c r="C131" t="s">
        <v>69</v>
      </c>
      <c r="D131" t="s">
        <v>69</v>
      </c>
      <c r="E131" t="s">
        <v>69</v>
      </c>
      <c r="F131" t="s">
        <v>2604</v>
      </c>
      <c r="G131" t="s">
        <v>69</v>
      </c>
      <c r="H131" t="s">
        <v>69</v>
      </c>
      <c r="I131" t="s">
        <v>2605</v>
      </c>
      <c r="J131" t="s">
        <v>2606</v>
      </c>
      <c r="K131" t="s">
        <v>69</v>
      </c>
      <c r="L131" t="s">
        <v>69</v>
      </c>
      <c r="M131" t="s">
        <v>73</v>
      </c>
      <c r="N131" t="s">
        <v>74</v>
      </c>
      <c r="O131" t="s">
        <v>69</v>
      </c>
      <c r="P131" t="s">
        <v>69</v>
      </c>
      <c r="Q131" t="s">
        <v>69</v>
      </c>
      <c r="R131" t="s">
        <v>69</v>
      </c>
      <c r="S131" t="s">
        <v>69</v>
      </c>
      <c r="T131" t="s">
        <v>2607</v>
      </c>
      <c r="U131" t="s">
        <v>2608</v>
      </c>
      <c r="V131" t="s">
        <v>2609</v>
      </c>
      <c r="W131" t="s">
        <v>2610</v>
      </c>
      <c r="X131" t="s">
        <v>2611</v>
      </c>
      <c r="Y131" t="s">
        <v>2612</v>
      </c>
      <c r="Z131" t="s">
        <v>2613</v>
      </c>
      <c r="AA131" t="s">
        <v>2614</v>
      </c>
      <c r="AB131" t="s">
        <v>69</v>
      </c>
      <c r="AC131" t="s">
        <v>69</v>
      </c>
      <c r="AD131" t="s">
        <v>69</v>
      </c>
      <c r="AE131">
        <v>82</v>
      </c>
      <c r="AF131">
        <v>28</v>
      </c>
      <c r="AG131">
        <v>28</v>
      </c>
      <c r="AH131">
        <v>0</v>
      </c>
      <c r="AI131">
        <v>23</v>
      </c>
      <c r="AJ131" t="s">
        <v>771</v>
      </c>
      <c r="AK131" t="s">
        <v>772</v>
      </c>
      <c r="AL131" t="s">
        <v>773</v>
      </c>
      <c r="AM131" t="s">
        <v>2615</v>
      </c>
      <c r="AN131" t="s">
        <v>2616</v>
      </c>
      <c r="AO131" t="s">
        <v>69</v>
      </c>
      <c r="AP131" t="s">
        <v>2617</v>
      </c>
      <c r="AQ131" t="s">
        <v>2618</v>
      </c>
      <c r="AR131" t="s">
        <v>731</v>
      </c>
      <c r="AS131">
        <v>2015</v>
      </c>
      <c r="AT131">
        <v>144</v>
      </c>
      <c r="AU131" t="s">
        <v>69</v>
      </c>
      <c r="AV131" t="s">
        <v>69</v>
      </c>
      <c r="AW131" t="s">
        <v>69</v>
      </c>
      <c r="AX131" t="s">
        <v>69</v>
      </c>
      <c r="AY131" t="s">
        <v>69</v>
      </c>
      <c r="AZ131">
        <v>39</v>
      </c>
      <c r="BA131">
        <v>47</v>
      </c>
      <c r="BB131" t="s">
        <v>69</v>
      </c>
      <c r="BC131" t="s">
        <v>2619</v>
      </c>
      <c r="BD131" t="s">
        <v>69</v>
      </c>
      <c r="BE131" t="s">
        <v>69</v>
      </c>
      <c r="BF131">
        <v>9</v>
      </c>
      <c r="BG131" t="s">
        <v>2620</v>
      </c>
      <c r="BH131" t="s">
        <v>2621</v>
      </c>
      <c r="BI131" t="s">
        <v>2622</v>
      </c>
      <c r="BJ131" t="s">
        <v>2623</v>
      </c>
      <c r="BK131">
        <v>26387078</v>
      </c>
      <c r="BL131" t="s">
        <v>69</v>
      </c>
      <c r="BM131" t="s">
        <v>69</v>
      </c>
      <c r="BN131" t="s">
        <v>69</v>
      </c>
      <c r="BO131" t="s">
        <v>95</v>
      </c>
      <c r="BP131" t="s">
        <v>69</v>
      </c>
    </row>
    <row r="132" spans="1:68" x14ac:dyDescent="0.15">
      <c r="A132" t="s">
        <v>67</v>
      </c>
      <c r="B132" t="s">
        <v>2624</v>
      </c>
      <c r="C132" t="s">
        <v>69</v>
      </c>
      <c r="D132" t="s">
        <v>69</v>
      </c>
      <c r="E132" t="s">
        <v>69</v>
      </c>
      <c r="F132" t="s">
        <v>2625</v>
      </c>
      <c r="G132" t="s">
        <v>69</v>
      </c>
      <c r="H132" t="s">
        <v>69</v>
      </c>
      <c r="I132" t="s">
        <v>2626</v>
      </c>
      <c r="J132" t="s">
        <v>2627</v>
      </c>
      <c r="K132" t="s">
        <v>69</v>
      </c>
      <c r="L132" t="s">
        <v>69</v>
      </c>
      <c r="M132" t="s">
        <v>73</v>
      </c>
      <c r="N132" t="s">
        <v>74</v>
      </c>
      <c r="O132" t="s">
        <v>69</v>
      </c>
      <c r="P132" t="s">
        <v>69</v>
      </c>
      <c r="Q132" t="s">
        <v>69</v>
      </c>
      <c r="R132" t="s">
        <v>69</v>
      </c>
      <c r="S132" t="s">
        <v>69</v>
      </c>
      <c r="T132" t="s">
        <v>2628</v>
      </c>
      <c r="U132" t="s">
        <v>2629</v>
      </c>
      <c r="V132" t="s">
        <v>2630</v>
      </c>
      <c r="W132" t="s">
        <v>2631</v>
      </c>
      <c r="X132" t="s">
        <v>2632</v>
      </c>
      <c r="Y132" t="s">
        <v>2633</v>
      </c>
      <c r="Z132" t="s">
        <v>2634</v>
      </c>
      <c r="AA132" t="s">
        <v>2635</v>
      </c>
      <c r="AB132" t="s">
        <v>2636</v>
      </c>
      <c r="AC132" t="s">
        <v>2637</v>
      </c>
      <c r="AD132" t="s">
        <v>69</v>
      </c>
      <c r="AE132">
        <v>63</v>
      </c>
      <c r="AF132">
        <v>5</v>
      </c>
      <c r="AG132">
        <v>5</v>
      </c>
      <c r="AH132">
        <v>2</v>
      </c>
      <c r="AI132">
        <v>7</v>
      </c>
      <c r="AJ132" t="s">
        <v>572</v>
      </c>
      <c r="AK132" t="s">
        <v>573</v>
      </c>
      <c r="AL132" t="s">
        <v>636</v>
      </c>
      <c r="AM132" t="s">
        <v>2638</v>
      </c>
      <c r="AN132" t="s">
        <v>2639</v>
      </c>
      <c r="AO132" t="s">
        <v>69</v>
      </c>
      <c r="AP132" t="s">
        <v>2640</v>
      </c>
      <c r="AQ132" t="s">
        <v>2641</v>
      </c>
      <c r="AR132" t="s">
        <v>285</v>
      </c>
      <c r="AS132">
        <v>2015</v>
      </c>
      <c r="AT132">
        <v>17</v>
      </c>
      <c r="AU132">
        <v>5</v>
      </c>
      <c r="AV132" t="s">
        <v>69</v>
      </c>
      <c r="AW132" t="s">
        <v>69</v>
      </c>
      <c r="AX132" t="s">
        <v>69</v>
      </c>
      <c r="AY132" t="s">
        <v>69</v>
      </c>
      <c r="AZ132">
        <v>1420</v>
      </c>
      <c r="BA132">
        <v>1426</v>
      </c>
      <c r="BB132" t="s">
        <v>69</v>
      </c>
      <c r="BC132" t="s">
        <v>2642</v>
      </c>
      <c r="BD132" t="s">
        <v>69</v>
      </c>
      <c r="BE132" t="s">
        <v>69</v>
      </c>
      <c r="BF132">
        <v>7</v>
      </c>
      <c r="BG132" t="s">
        <v>424</v>
      </c>
      <c r="BH132" t="s">
        <v>424</v>
      </c>
      <c r="BI132" t="s">
        <v>2643</v>
      </c>
      <c r="BJ132" t="s">
        <v>2644</v>
      </c>
      <c r="BK132">
        <v>25225079</v>
      </c>
      <c r="BL132" t="s">
        <v>69</v>
      </c>
      <c r="BM132" t="s">
        <v>69</v>
      </c>
      <c r="BN132" t="s">
        <v>69</v>
      </c>
      <c r="BO132" t="s">
        <v>95</v>
      </c>
      <c r="BP132" t="s">
        <v>69</v>
      </c>
    </row>
    <row r="133" spans="1:68" x14ac:dyDescent="0.15">
      <c r="A133" t="s">
        <v>67</v>
      </c>
      <c r="B133" t="s">
        <v>2645</v>
      </c>
      <c r="C133" t="s">
        <v>69</v>
      </c>
      <c r="D133" t="s">
        <v>69</v>
      </c>
      <c r="E133" t="s">
        <v>69</v>
      </c>
      <c r="F133" t="s">
        <v>2646</v>
      </c>
      <c r="G133" t="s">
        <v>69</v>
      </c>
      <c r="H133" t="s">
        <v>69</v>
      </c>
      <c r="I133" t="s">
        <v>2647</v>
      </c>
      <c r="J133" t="s">
        <v>2648</v>
      </c>
      <c r="K133" t="s">
        <v>69</v>
      </c>
      <c r="L133" t="s">
        <v>69</v>
      </c>
      <c r="M133" t="s">
        <v>73</v>
      </c>
      <c r="N133" t="s">
        <v>74</v>
      </c>
      <c r="O133" t="s">
        <v>69</v>
      </c>
      <c r="P133" t="s">
        <v>69</v>
      </c>
      <c r="Q133" t="s">
        <v>69</v>
      </c>
      <c r="R133" t="s">
        <v>69</v>
      </c>
      <c r="S133" t="s">
        <v>69</v>
      </c>
      <c r="T133" t="s">
        <v>69</v>
      </c>
      <c r="U133" t="s">
        <v>2649</v>
      </c>
      <c r="V133" t="s">
        <v>2650</v>
      </c>
      <c r="W133" t="s">
        <v>2651</v>
      </c>
      <c r="X133" t="s">
        <v>2652</v>
      </c>
      <c r="Y133" t="s">
        <v>69</v>
      </c>
      <c r="Z133" t="s">
        <v>69</v>
      </c>
      <c r="AA133" t="s">
        <v>69</v>
      </c>
      <c r="AB133" t="s">
        <v>2653</v>
      </c>
      <c r="AC133" t="s">
        <v>2654</v>
      </c>
      <c r="AD133" t="s">
        <v>69</v>
      </c>
      <c r="AE133">
        <v>67</v>
      </c>
      <c r="AF133">
        <v>1</v>
      </c>
      <c r="AG133">
        <v>1</v>
      </c>
      <c r="AH133">
        <v>1</v>
      </c>
      <c r="AI133">
        <v>11</v>
      </c>
      <c r="AJ133" t="s">
        <v>108</v>
      </c>
      <c r="AK133" t="s">
        <v>109</v>
      </c>
      <c r="AL133" t="s">
        <v>110</v>
      </c>
      <c r="AM133" t="s">
        <v>2655</v>
      </c>
      <c r="AN133" t="s">
        <v>2656</v>
      </c>
      <c r="AO133" t="s">
        <v>69</v>
      </c>
      <c r="AP133" t="s">
        <v>2657</v>
      </c>
      <c r="AQ133" t="s">
        <v>2658</v>
      </c>
      <c r="AR133" t="s">
        <v>2659</v>
      </c>
      <c r="AS133">
        <v>2015</v>
      </c>
      <c r="AT133">
        <v>30</v>
      </c>
      <c r="AU133">
        <v>3</v>
      </c>
      <c r="AV133" t="s">
        <v>69</v>
      </c>
      <c r="AW133" t="s">
        <v>69</v>
      </c>
      <c r="AX133" t="s">
        <v>69</v>
      </c>
      <c r="AY133" t="s">
        <v>69</v>
      </c>
      <c r="AZ133">
        <v>473</v>
      </c>
      <c r="BA133">
        <v>496</v>
      </c>
      <c r="BB133" t="s">
        <v>69</v>
      </c>
      <c r="BC133" t="s">
        <v>2660</v>
      </c>
      <c r="BD133" t="s">
        <v>69</v>
      </c>
      <c r="BE133" t="s">
        <v>69</v>
      </c>
      <c r="BF133">
        <v>24</v>
      </c>
      <c r="BG133" t="s">
        <v>401</v>
      </c>
      <c r="BH133" t="s">
        <v>401</v>
      </c>
      <c r="BI133" t="s">
        <v>2661</v>
      </c>
      <c r="BJ133" t="s">
        <v>2662</v>
      </c>
      <c r="BK133" t="s">
        <v>69</v>
      </c>
      <c r="BL133" t="s">
        <v>69</v>
      </c>
      <c r="BM133" t="s">
        <v>69</v>
      </c>
      <c r="BN133" t="s">
        <v>69</v>
      </c>
      <c r="BO133" t="s">
        <v>95</v>
      </c>
      <c r="BP133" t="s">
        <v>69</v>
      </c>
    </row>
    <row r="134" spans="1:68" x14ac:dyDescent="0.15">
      <c r="A134" t="s">
        <v>67</v>
      </c>
      <c r="B134" t="s">
        <v>2663</v>
      </c>
      <c r="C134" t="s">
        <v>69</v>
      </c>
      <c r="D134" t="s">
        <v>69</v>
      </c>
      <c r="E134" t="s">
        <v>69</v>
      </c>
      <c r="F134" t="s">
        <v>2664</v>
      </c>
      <c r="G134" t="s">
        <v>69</v>
      </c>
      <c r="H134" t="s">
        <v>69</v>
      </c>
      <c r="I134" t="s">
        <v>2665</v>
      </c>
      <c r="J134" t="s">
        <v>197</v>
      </c>
      <c r="K134" t="s">
        <v>69</v>
      </c>
      <c r="L134" t="s">
        <v>69</v>
      </c>
      <c r="M134" t="s">
        <v>73</v>
      </c>
      <c r="N134" t="s">
        <v>74</v>
      </c>
      <c r="O134" t="s">
        <v>69</v>
      </c>
      <c r="P134" t="s">
        <v>69</v>
      </c>
      <c r="Q134" t="s">
        <v>69</v>
      </c>
      <c r="R134" t="s">
        <v>69</v>
      </c>
      <c r="S134" t="s">
        <v>69</v>
      </c>
      <c r="T134" t="s">
        <v>2666</v>
      </c>
      <c r="U134" t="s">
        <v>2667</v>
      </c>
      <c r="V134" t="s">
        <v>2668</v>
      </c>
      <c r="W134" t="s">
        <v>2669</v>
      </c>
      <c r="X134" t="s">
        <v>2670</v>
      </c>
      <c r="Y134" t="s">
        <v>2671</v>
      </c>
      <c r="Z134" t="s">
        <v>69</v>
      </c>
      <c r="AA134" t="s">
        <v>69</v>
      </c>
      <c r="AB134" t="s">
        <v>2672</v>
      </c>
      <c r="AC134" t="s">
        <v>2673</v>
      </c>
      <c r="AD134" t="s">
        <v>69</v>
      </c>
      <c r="AE134">
        <v>57</v>
      </c>
      <c r="AF134">
        <v>0</v>
      </c>
      <c r="AG134">
        <v>0</v>
      </c>
      <c r="AH134">
        <v>0</v>
      </c>
      <c r="AI134">
        <v>21</v>
      </c>
      <c r="AJ134" t="s">
        <v>108</v>
      </c>
      <c r="AK134" t="s">
        <v>109</v>
      </c>
      <c r="AL134" t="s">
        <v>110</v>
      </c>
      <c r="AM134" t="s">
        <v>205</v>
      </c>
      <c r="AN134" t="s">
        <v>206</v>
      </c>
      <c r="AO134" t="s">
        <v>69</v>
      </c>
      <c r="AP134" t="s">
        <v>207</v>
      </c>
      <c r="AQ134" t="s">
        <v>208</v>
      </c>
      <c r="AR134" t="s">
        <v>2674</v>
      </c>
      <c r="AS134">
        <v>2015</v>
      </c>
      <c r="AT134">
        <v>38</v>
      </c>
      <c r="AU134">
        <v>10</v>
      </c>
      <c r="AV134" t="s">
        <v>69</v>
      </c>
      <c r="AW134" t="s">
        <v>69</v>
      </c>
      <c r="AX134" t="s">
        <v>69</v>
      </c>
      <c r="AY134" t="s">
        <v>69</v>
      </c>
      <c r="AZ134">
        <v>1707</v>
      </c>
      <c r="BA134">
        <v>1723</v>
      </c>
      <c r="BB134" t="s">
        <v>69</v>
      </c>
      <c r="BC134" t="s">
        <v>2675</v>
      </c>
      <c r="BD134" t="s">
        <v>69</v>
      </c>
      <c r="BE134" t="s">
        <v>69</v>
      </c>
      <c r="BF134">
        <v>17</v>
      </c>
      <c r="BG134" t="s">
        <v>210</v>
      </c>
      <c r="BH134" t="s">
        <v>210</v>
      </c>
      <c r="BI134" t="s">
        <v>2676</v>
      </c>
      <c r="BJ134" t="s">
        <v>2677</v>
      </c>
      <c r="BK134" t="s">
        <v>69</v>
      </c>
      <c r="BL134" t="s">
        <v>69</v>
      </c>
      <c r="BM134" t="s">
        <v>69</v>
      </c>
      <c r="BN134" t="s">
        <v>69</v>
      </c>
      <c r="BO134" t="s">
        <v>95</v>
      </c>
      <c r="BP134" t="s">
        <v>69</v>
      </c>
    </row>
    <row r="135" spans="1:68" x14ac:dyDescent="0.15">
      <c r="A135" t="s">
        <v>67</v>
      </c>
      <c r="B135" t="s">
        <v>2678</v>
      </c>
      <c r="C135" t="s">
        <v>69</v>
      </c>
      <c r="D135" t="s">
        <v>69</v>
      </c>
      <c r="E135" t="s">
        <v>69</v>
      </c>
      <c r="F135" t="s">
        <v>2679</v>
      </c>
      <c r="G135" t="s">
        <v>69</v>
      </c>
      <c r="H135" t="s">
        <v>69</v>
      </c>
      <c r="I135" t="s">
        <v>2680</v>
      </c>
      <c r="J135" t="s">
        <v>2681</v>
      </c>
      <c r="K135" t="s">
        <v>69</v>
      </c>
      <c r="L135" t="s">
        <v>69</v>
      </c>
      <c r="M135" t="s">
        <v>73</v>
      </c>
      <c r="N135" t="s">
        <v>74</v>
      </c>
      <c r="O135" t="s">
        <v>69</v>
      </c>
      <c r="P135" t="s">
        <v>69</v>
      </c>
      <c r="Q135" t="s">
        <v>69</v>
      </c>
      <c r="R135" t="s">
        <v>69</v>
      </c>
      <c r="S135" t="s">
        <v>69</v>
      </c>
      <c r="T135" t="s">
        <v>2682</v>
      </c>
      <c r="U135" t="s">
        <v>2683</v>
      </c>
      <c r="V135" t="s">
        <v>2684</v>
      </c>
      <c r="W135" t="s">
        <v>2685</v>
      </c>
      <c r="X135" t="s">
        <v>2686</v>
      </c>
      <c r="Y135" t="s">
        <v>2687</v>
      </c>
      <c r="Z135" t="s">
        <v>69</v>
      </c>
      <c r="AA135" t="s">
        <v>69</v>
      </c>
      <c r="AB135" t="s">
        <v>69</v>
      </c>
      <c r="AC135" t="s">
        <v>69</v>
      </c>
      <c r="AD135" t="s">
        <v>69</v>
      </c>
      <c r="AE135">
        <v>111</v>
      </c>
      <c r="AF135">
        <v>0</v>
      </c>
      <c r="AG135">
        <v>0</v>
      </c>
      <c r="AH135">
        <v>0</v>
      </c>
      <c r="AI135">
        <v>6</v>
      </c>
      <c r="AJ135" t="s">
        <v>108</v>
      </c>
      <c r="AK135" t="s">
        <v>109</v>
      </c>
      <c r="AL135" t="s">
        <v>110</v>
      </c>
      <c r="AM135" t="s">
        <v>2688</v>
      </c>
      <c r="AN135" t="s">
        <v>2689</v>
      </c>
      <c r="AO135" t="s">
        <v>69</v>
      </c>
      <c r="AP135" t="s">
        <v>2690</v>
      </c>
      <c r="AQ135" t="s">
        <v>2691</v>
      </c>
      <c r="AR135" t="s">
        <v>2692</v>
      </c>
      <c r="AS135">
        <v>2015</v>
      </c>
      <c r="AT135">
        <v>49</v>
      </c>
      <c r="AU135">
        <v>4</v>
      </c>
      <c r="AV135" t="s">
        <v>69</v>
      </c>
      <c r="AW135" t="s">
        <v>69</v>
      </c>
      <c r="AX135" t="s">
        <v>69</v>
      </c>
      <c r="AY135" t="s">
        <v>69</v>
      </c>
      <c r="AZ135">
        <v>317</v>
      </c>
      <c r="BA135">
        <v>342</v>
      </c>
      <c r="BB135" t="s">
        <v>69</v>
      </c>
      <c r="BC135" t="s">
        <v>2693</v>
      </c>
      <c r="BD135" t="s">
        <v>69</v>
      </c>
      <c r="BE135" t="s">
        <v>69</v>
      </c>
      <c r="BF135">
        <v>26</v>
      </c>
      <c r="BG135" t="s">
        <v>2694</v>
      </c>
      <c r="BH135" t="s">
        <v>2695</v>
      </c>
      <c r="BI135" t="s">
        <v>2696</v>
      </c>
      <c r="BJ135" t="s">
        <v>2697</v>
      </c>
      <c r="BK135" t="s">
        <v>69</v>
      </c>
      <c r="BL135" t="s">
        <v>833</v>
      </c>
      <c r="BM135" t="s">
        <v>69</v>
      </c>
      <c r="BN135" t="s">
        <v>69</v>
      </c>
      <c r="BO135" t="s">
        <v>95</v>
      </c>
      <c r="BP135" t="s">
        <v>69</v>
      </c>
    </row>
    <row r="136" spans="1:68" x14ac:dyDescent="0.15">
      <c r="A136" t="s">
        <v>67</v>
      </c>
      <c r="B136" t="s">
        <v>2698</v>
      </c>
      <c r="C136" t="s">
        <v>69</v>
      </c>
      <c r="D136" t="s">
        <v>69</v>
      </c>
      <c r="E136" t="s">
        <v>69</v>
      </c>
      <c r="F136" t="s">
        <v>2699</v>
      </c>
      <c r="G136" t="s">
        <v>69</v>
      </c>
      <c r="H136" t="s">
        <v>69</v>
      </c>
      <c r="I136" t="s">
        <v>2700</v>
      </c>
      <c r="J136" t="s">
        <v>197</v>
      </c>
      <c r="K136" t="s">
        <v>69</v>
      </c>
      <c r="L136" t="s">
        <v>69</v>
      </c>
      <c r="M136" t="s">
        <v>73</v>
      </c>
      <c r="N136" t="s">
        <v>2244</v>
      </c>
      <c r="O136" t="s">
        <v>69</v>
      </c>
      <c r="P136" t="s">
        <v>69</v>
      </c>
      <c r="Q136" t="s">
        <v>69</v>
      </c>
      <c r="R136" t="s">
        <v>69</v>
      </c>
      <c r="S136" t="s">
        <v>69</v>
      </c>
      <c r="T136" t="s">
        <v>2701</v>
      </c>
      <c r="U136" t="s">
        <v>69</v>
      </c>
      <c r="V136" t="s">
        <v>2702</v>
      </c>
      <c r="W136" t="s">
        <v>2703</v>
      </c>
      <c r="X136" t="s">
        <v>2704</v>
      </c>
      <c r="Y136" t="s">
        <v>2705</v>
      </c>
      <c r="Z136" t="s">
        <v>69</v>
      </c>
      <c r="AA136" t="s">
        <v>69</v>
      </c>
      <c r="AB136" t="s">
        <v>69</v>
      </c>
      <c r="AC136" t="s">
        <v>69</v>
      </c>
      <c r="AD136" t="s">
        <v>69</v>
      </c>
      <c r="AE136">
        <v>17</v>
      </c>
      <c r="AF136">
        <v>8</v>
      </c>
      <c r="AG136">
        <v>8</v>
      </c>
      <c r="AH136">
        <v>0</v>
      </c>
      <c r="AI136">
        <v>12</v>
      </c>
      <c r="AJ136" t="s">
        <v>108</v>
      </c>
      <c r="AK136" t="s">
        <v>109</v>
      </c>
      <c r="AL136" t="s">
        <v>2706</v>
      </c>
      <c r="AM136" t="s">
        <v>205</v>
      </c>
      <c r="AN136" t="s">
        <v>206</v>
      </c>
      <c r="AO136" t="s">
        <v>69</v>
      </c>
      <c r="AP136" t="s">
        <v>207</v>
      </c>
      <c r="AQ136" t="s">
        <v>208</v>
      </c>
      <c r="AR136" t="s">
        <v>2707</v>
      </c>
      <c r="AS136">
        <v>2015</v>
      </c>
      <c r="AT136">
        <v>38</v>
      </c>
      <c r="AU136">
        <v>8</v>
      </c>
      <c r="AV136" t="s">
        <v>69</v>
      </c>
      <c r="AW136" t="s">
        <v>69</v>
      </c>
      <c r="AX136" t="s">
        <v>356</v>
      </c>
      <c r="AY136" t="s">
        <v>69</v>
      </c>
      <c r="AZ136">
        <v>1236</v>
      </c>
      <c r="BA136">
        <v>1244</v>
      </c>
      <c r="BB136" t="s">
        <v>69</v>
      </c>
      <c r="BC136" t="s">
        <v>2708</v>
      </c>
      <c r="BD136" t="s">
        <v>69</v>
      </c>
      <c r="BE136" t="s">
        <v>69</v>
      </c>
      <c r="BF136">
        <v>9</v>
      </c>
      <c r="BG136" t="s">
        <v>210</v>
      </c>
      <c r="BH136" t="s">
        <v>210</v>
      </c>
      <c r="BI136" t="s">
        <v>2709</v>
      </c>
      <c r="BJ136" t="s">
        <v>2710</v>
      </c>
      <c r="BK136" t="s">
        <v>69</v>
      </c>
      <c r="BL136" t="s">
        <v>69</v>
      </c>
      <c r="BM136" t="s">
        <v>69</v>
      </c>
      <c r="BN136" t="s">
        <v>69</v>
      </c>
      <c r="BO136" t="s">
        <v>95</v>
      </c>
      <c r="BP136" t="s">
        <v>69</v>
      </c>
    </row>
    <row r="137" spans="1:68" x14ac:dyDescent="0.15">
      <c r="A137" t="s">
        <v>67</v>
      </c>
      <c r="B137" t="s">
        <v>2711</v>
      </c>
      <c r="C137" t="s">
        <v>69</v>
      </c>
      <c r="D137" t="s">
        <v>69</v>
      </c>
      <c r="E137" t="s">
        <v>69</v>
      </c>
      <c r="F137" t="s">
        <v>2712</v>
      </c>
      <c r="G137" t="s">
        <v>69</v>
      </c>
      <c r="H137" t="s">
        <v>69</v>
      </c>
      <c r="I137" t="s">
        <v>2713</v>
      </c>
      <c r="J137" t="s">
        <v>2714</v>
      </c>
      <c r="K137" t="s">
        <v>69</v>
      </c>
      <c r="L137" t="s">
        <v>69</v>
      </c>
      <c r="M137" t="s">
        <v>73</v>
      </c>
      <c r="N137" t="s">
        <v>74</v>
      </c>
      <c r="O137" t="s">
        <v>69</v>
      </c>
      <c r="P137" t="s">
        <v>69</v>
      </c>
      <c r="Q137" t="s">
        <v>69</v>
      </c>
      <c r="R137" t="s">
        <v>69</v>
      </c>
      <c r="S137" t="s">
        <v>69</v>
      </c>
      <c r="T137" t="s">
        <v>2715</v>
      </c>
      <c r="U137" t="s">
        <v>69</v>
      </c>
      <c r="V137" t="s">
        <v>2716</v>
      </c>
      <c r="W137" t="s">
        <v>2717</v>
      </c>
      <c r="X137" t="s">
        <v>2718</v>
      </c>
      <c r="Y137" t="s">
        <v>2719</v>
      </c>
      <c r="Z137" t="s">
        <v>2720</v>
      </c>
      <c r="AA137" t="s">
        <v>69</v>
      </c>
      <c r="AB137" t="s">
        <v>69</v>
      </c>
      <c r="AC137" t="s">
        <v>69</v>
      </c>
      <c r="AD137" t="s">
        <v>69</v>
      </c>
      <c r="AE137">
        <v>46</v>
      </c>
      <c r="AF137">
        <v>7</v>
      </c>
      <c r="AG137">
        <v>8</v>
      </c>
      <c r="AH137">
        <v>0</v>
      </c>
      <c r="AI137">
        <v>2</v>
      </c>
      <c r="AJ137" t="s">
        <v>572</v>
      </c>
      <c r="AK137" t="s">
        <v>573</v>
      </c>
      <c r="AL137" t="s">
        <v>636</v>
      </c>
      <c r="AM137" t="s">
        <v>2721</v>
      </c>
      <c r="AN137" t="s">
        <v>2722</v>
      </c>
      <c r="AO137" t="s">
        <v>69</v>
      </c>
      <c r="AP137" t="s">
        <v>2723</v>
      </c>
      <c r="AQ137" t="s">
        <v>2724</v>
      </c>
      <c r="AR137" t="s">
        <v>579</v>
      </c>
      <c r="AS137">
        <v>2015</v>
      </c>
      <c r="AT137">
        <v>37</v>
      </c>
      <c r="AU137">
        <v>2</v>
      </c>
      <c r="AV137" t="s">
        <v>69</v>
      </c>
      <c r="AW137" t="s">
        <v>69</v>
      </c>
      <c r="AX137" t="s">
        <v>69</v>
      </c>
      <c r="AY137" t="s">
        <v>69</v>
      </c>
      <c r="AZ137">
        <v>179</v>
      </c>
      <c r="BA137">
        <v>197</v>
      </c>
      <c r="BB137" t="s">
        <v>69</v>
      </c>
      <c r="BC137" t="s">
        <v>2725</v>
      </c>
      <c r="BD137" t="s">
        <v>69</v>
      </c>
      <c r="BE137" t="s">
        <v>69</v>
      </c>
      <c r="BF137">
        <v>19</v>
      </c>
      <c r="BG137" t="s">
        <v>287</v>
      </c>
      <c r="BH137" t="s">
        <v>288</v>
      </c>
      <c r="BI137" t="s">
        <v>2726</v>
      </c>
      <c r="BJ137" t="s">
        <v>2727</v>
      </c>
      <c r="BK137" t="s">
        <v>69</v>
      </c>
      <c r="BL137" t="s">
        <v>69</v>
      </c>
      <c r="BM137" t="s">
        <v>69</v>
      </c>
      <c r="BN137" t="s">
        <v>69</v>
      </c>
      <c r="BO137" t="s">
        <v>95</v>
      </c>
      <c r="BP137" t="s">
        <v>69</v>
      </c>
    </row>
    <row r="138" spans="1:68" x14ac:dyDescent="0.15">
      <c r="A138" t="s">
        <v>67</v>
      </c>
      <c r="B138" t="s">
        <v>2728</v>
      </c>
      <c r="C138" t="s">
        <v>69</v>
      </c>
      <c r="D138" t="s">
        <v>69</v>
      </c>
      <c r="E138" t="s">
        <v>69</v>
      </c>
      <c r="F138" t="s">
        <v>2729</v>
      </c>
      <c r="G138" t="s">
        <v>69</v>
      </c>
      <c r="H138" t="s">
        <v>69</v>
      </c>
      <c r="I138" t="s">
        <v>2730</v>
      </c>
      <c r="J138" t="s">
        <v>2731</v>
      </c>
      <c r="K138" t="s">
        <v>69</v>
      </c>
      <c r="L138" t="s">
        <v>69</v>
      </c>
      <c r="M138" t="s">
        <v>73</v>
      </c>
      <c r="N138" t="s">
        <v>74</v>
      </c>
      <c r="O138" t="s">
        <v>69</v>
      </c>
      <c r="P138" t="s">
        <v>69</v>
      </c>
      <c r="Q138" t="s">
        <v>69</v>
      </c>
      <c r="R138" t="s">
        <v>69</v>
      </c>
      <c r="S138" t="s">
        <v>69</v>
      </c>
      <c r="T138" t="s">
        <v>2732</v>
      </c>
      <c r="U138" t="s">
        <v>2733</v>
      </c>
      <c r="V138" t="s">
        <v>2734</v>
      </c>
      <c r="W138" t="s">
        <v>2735</v>
      </c>
      <c r="X138" t="s">
        <v>2736</v>
      </c>
      <c r="Y138" t="s">
        <v>2737</v>
      </c>
      <c r="Z138" t="s">
        <v>2738</v>
      </c>
      <c r="AA138" t="s">
        <v>2739</v>
      </c>
      <c r="AB138" t="s">
        <v>69</v>
      </c>
      <c r="AC138" t="s">
        <v>69</v>
      </c>
      <c r="AD138" t="s">
        <v>69</v>
      </c>
      <c r="AE138">
        <v>45</v>
      </c>
      <c r="AF138">
        <v>28</v>
      </c>
      <c r="AG138">
        <v>29</v>
      </c>
      <c r="AH138">
        <v>5</v>
      </c>
      <c r="AI138">
        <v>62</v>
      </c>
      <c r="AJ138" t="s">
        <v>1994</v>
      </c>
      <c r="AK138" t="s">
        <v>772</v>
      </c>
      <c r="AL138" t="s">
        <v>1995</v>
      </c>
      <c r="AM138" t="s">
        <v>2740</v>
      </c>
      <c r="AN138" t="s">
        <v>2741</v>
      </c>
      <c r="AO138" t="s">
        <v>69</v>
      </c>
      <c r="AP138" t="s">
        <v>2742</v>
      </c>
      <c r="AQ138" t="s">
        <v>2743</v>
      </c>
      <c r="AR138" t="s">
        <v>579</v>
      </c>
      <c r="AS138">
        <v>2015</v>
      </c>
      <c r="AT138">
        <v>48</v>
      </c>
      <c r="AU138" t="s">
        <v>69</v>
      </c>
      <c r="AV138" t="s">
        <v>69</v>
      </c>
      <c r="AW138" t="s">
        <v>69</v>
      </c>
      <c r="AX138" t="s">
        <v>69</v>
      </c>
      <c r="AY138" t="s">
        <v>69</v>
      </c>
      <c r="AZ138">
        <v>299</v>
      </c>
      <c r="BA138">
        <v>304</v>
      </c>
      <c r="BB138" t="s">
        <v>69</v>
      </c>
      <c r="BC138" t="s">
        <v>2744</v>
      </c>
      <c r="BD138" t="s">
        <v>69</v>
      </c>
      <c r="BE138" t="s">
        <v>69</v>
      </c>
      <c r="BF138">
        <v>6</v>
      </c>
      <c r="BG138" t="s">
        <v>2745</v>
      </c>
      <c r="BH138" t="s">
        <v>2746</v>
      </c>
      <c r="BI138" t="s">
        <v>2747</v>
      </c>
      <c r="BJ138" t="s">
        <v>2748</v>
      </c>
      <c r="BK138" t="s">
        <v>69</v>
      </c>
      <c r="BL138" t="s">
        <v>69</v>
      </c>
      <c r="BM138" t="s">
        <v>69</v>
      </c>
      <c r="BN138" t="s">
        <v>69</v>
      </c>
      <c r="BO138" t="s">
        <v>95</v>
      </c>
      <c r="BP138" t="s">
        <v>69</v>
      </c>
    </row>
    <row r="139" spans="1:68" x14ac:dyDescent="0.15">
      <c r="A139" t="s">
        <v>67</v>
      </c>
      <c r="B139" t="s">
        <v>2749</v>
      </c>
      <c r="C139" t="s">
        <v>69</v>
      </c>
      <c r="D139" t="s">
        <v>69</v>
      </c>
      <c r="E139" t="s">
        <v>69</v>
      </c>
      <c r="F139" t="s">
        <v>2750</v>
      </c>
      <c r="G139" t="s">
        <v>69</v>
      </c>
      <c r="H139" t="s">
        <v>69</v>
      </c>
      <c r="I139" t="s">
        <v>2751</v>
      </c>
      <c r="J139" t="s">
        <v>2752</v>
      </c>
      <c r="K139" t="s">
        <v>69</v>
      </c>
      <c r="L139" t="s">
        <v>69</v>
      </c>
      <c r="M139" t="s">
        <v>73</v>
      </c>
      <c r="N139" t="s">
        <v>2244</v>
      </c>
      <c r="O139" t="s">
        <v>69</v>
      </c>
      <c r="P139" t="s">
        <v>69</v>
      </c>
      <c r="Q139" t="s">
        <v>69</v>
      </c>
      <c r="R139" t="s">
        <v>69</v>
      </c>
      <c r="S139" t="s">
        <v>69</v>
      </c>
      <c r="T139" t="s">
        <v>2753</v>
      </c>
      <c r="U139" t="s">
        <v>2754</v>
      </c>
      <c r="V139" t="s">
        <v>2755</v>
      </c>
      <c r="W139" t="s">
        <v>2756</v>
      </c>
      <c r="X139" t="s">
        <v>2757</v>
      </c>
      <c r="Y139" t="s">
        <v>2758</v>
      </c>
      <c r="Z139" t="s">
        <v>69</v>
      </c>
      <c r="AA139" t="s">
        <v>69</v>
      </c>
      <c r="AB139" t="s">
        <v>69</v>
      </c>
      <c r="AC139" t="s">
        <v>69</v>
      </c>
      <c r="AD139" t="s">
        <v>69</v>
      </c>
      <c r="AE139">
        <v>42</v>
      </c>
      <c r="AF139">
        <v>47</v>
      </c>
      <c r="AG139">
        <v>47</v>
      </c>
      <c r="AH139">
        <v>0</v>
      </c>
      <c r="AI139">
        <v>60</v>
      </c>
      <c r="AJ139" t="s">
        <v>108</v>
      </c>
      <c r="AK139" t="s">
        <v>109</v>
      </c>
      <c r="AL139" t="s">
        <v>2706</v>
      </c>
      <c r="AM139" t="s">
        <v>2759</v>
      </c>
      <c r="AN139" t="s">
        <v>2760</v>
      </c>
      <c r="AO139" t="s">
        <v>69</v>
      </c>
      <c r="AP139" t="s">
        <v>2761</v>
      </c>
      <c r="AQ139" t="s">
        <v>2762</v>
      </c>
      <c r="AR139" t="s">
        <v>2763</v>
      </c>
      <c r="AS139">
        <v>2015</v>
      </c>
      <c r="AT139">
        <v>26</v>
      </c>
      <c r="AU139">
        <v>10</v>
      </c>
      <c r="AV139" t="s">
        <v>69</v>
      </c>
      <c r="AW139" t="s">
        <v>69</v>
      </c>
      <c r="AX139" t="s">
        <v>356</v>
      </c>
      <c r="AY139" t="s">
        <v>69</v>
      </c>
      <c r="AZ139">
        <v>1287</v>
      </c>
      <c r="BA139">
        <v>1297</v>
      </c>
      <c r="BB139" t="s">
        <v>69</v>
      </c>
      <c r="BC139" t="s">
        <v>2764</v>
      </c>
      <c r="BD139" t="s">
        <v>69</v>
      </c>
      <c r="BE139" t="s">
        <v>69</v>
      </c>
      <c r="BF139">
        <v>11</v>
      </c>
      <c r="BG139" t="s">
        <v>268</v>
      </c>
      <c r="BH139" t="s">
        <v>232</v>
      </c>
      <c r="BI139" t="s">
        <v>2765</v>
      </c>
      <c r="BJ139" t="s">
        <v>2766</v>
      </c>
      <c r="BK139" t="s">
        <v>69</v>
      </c>
      <c r="BL139" t="s">
        <v>69</v>
      </c>
      <c r="BM139" t="s">
        <v>69</v>
      </c>
      <c r="BN139" t="s">
        <v>69</v>
      </c>
      <c r="BO139" t="s">
        <v>95</v>
      </c>
      <c r="BP139" t="s">
        <v>69</v>
      </c>
    </row>
    <row r="140" spans="1:68" x14ac:dyDescent="0.15">
      <c r="A140" t="s">
        <v>67</v>
      </c>
      <c r="B140" t="s">
        <v>2767</v>
      </c>
      <c r="C140" t="s">
        <v>69</v>
      </c>
      <c r="D140" t="s">
        <v>69</v>
      </c>
      <c r="E140" t="s">
        <v>69</v>
      </c>
      <c r="F140" t="s">
        <v>2768</v>
      </c>
      <c r="G140" t="s">
        <v>69</v>
      </c>
      <c r="H140" t="s">
        <v>69</v>
      </c>
      <c r="I140" t="s">
        <v>2769</v>
      </c>
      <c r="J140" t="s">
        <v>2770</v>
      </c>
      <c r="K140" t="s">
        <v>69</v>
      </c>
      <c r="L140" t="s">
        <v>69</v>
      </c>
      <c r="M140" t="s">
        <v>73</v>
      </c>
      <c r="N140" t="s">
        <v>74</v>
      </c>
      <c r="O140" t="s">
        <v>69</v>
      </c>
      <c r="P140" t="s">
        <v>69</v>
      </c>
      <c r="Q140" t="s">
        <v>69</v>
      </c>
      <c r="R140" t="s">
        <v>69</v>
      </c>
      <c r="S140" t="s">
        <v>69</v>
      </c>
      <c r="T140" t="s">
        <v>2771</v>
      </c>
      <c r="U140" t="s">
        <v>2772</v>
      </c>
      <c r="V140" t="s">
        <v>2773</v>
      </c>
      <c r="W140" t="s">
        <v>2774</v>
      </c>
      <c r="X140" t="s">
        <v>2775</v>
      </c>
      <c r="Y140" t="s">
        <v>2776</v>
      </c>
      <c r="Z140" t="s">
        <v>2777</v>
      </c>
      <c r="AA140" t="s">
        <v>2778</v>
      </c>
      <c r="AB140" t="s">
        <v>2779</v>
      </c>
      <c r="AC140" t="s">
        <v>69</v>
      </c>
      <c r="AD140" t="s">
        <v>69</v>
      </c>
      <c r="AE140">
        <v>86</v>
      </c>
      <c r="AF140">
        <v>34</v>
      </c>
      <c r="AG140">
        <v>34</v>
      </c>
      <c r="AH140">
        <v>0</v>
      </c>
      <c r="AI140">
        <v>43</v>
      </c>
      <c r="AJ140" t="s">
        <v>1414</v>
      </c>
      <c r="AK140" t="s">
        <v>156</v>
      </c>
      <c r="AL140" t="s">
        <v>1415</v>
      </c>
      <c r="AM140" t="s">
        <v>2780</v>
      </c>
      <c r="AN140" t="s">
        <v>69</v>
      </c>
      <c r="AO140" t="s">
        <v>69</v>
      </c>
      <c r="AP140" t="s">
        <v>2781</v>
      </c>
      <c r="AQ140" t="s">
        <v>2782</v>
      </c>
      <c r="AR140" t="s">
        <v>2783</v>
      </c>
      <c r="AS140">
        <v>2015</v>
      </c>
      <c r="AT140">
        <v>13</v>
      </c>
      <c r="AU140" t="s">
        <v>69</v>
      </c>
      <c r="AV140" t="s">
        <v>69</v>
      </c>
      <c r="AW140" t="s">
        <v>69</v>
      </c>
      <c r="AX140" t="s">
        <v>69</v>
      </c>
      <c r="AY140" t="s">
        <v>69</v>
      </c>
      <c r="AZ140" t="s">
        <v>69</v>
      </c>
      <c r="BA140" t="s">
        <v>69</v>
      </c>
      <c r="BB140">
        <v>120</v>
      </c>
      <c r="BC140" t="s">
        <v>2784</v>
      </c>
      <c r="BD140" t="s">
        <v>69</v>
      </c>
      <c r="BE140" t="s">
        <v>69</v>
      </c>
      <c r="BF140">
        <v>15</v>
      </c>
      <c r="BG140" t="s">
        <v>755</v>
      </c>
      <c r="BH140" t="s">
        <v>756</v>
      </c>
      <c r="BI140" t="s">
        <v>2785</v>
      </c>
      <c r="BJ140" t="s">
        <v>2786</v>
      </c>
      <c r="BK140">
        <v>25998551</v>
      </c>
      <c r="BL140" t="s">
        <v>336</v>
      </c>
      <c r="BM140" t="s">
        <v>69</v>
      </c>
      <c r="BN140" t="s">
        <v>69</v>
      </c>
      <c r="BO140" t="s">
        <v>95</v>
      </c>
      <c r="BP140" t="s">
        <v>69</v>
      </c>
    </row>
    <row r="141" spans="1:68" x14ac:dyDescent="0.15">
      <c r="A141" t="s">
        <v>67</v>
      </c>
      <c r="B141" t="s">
        <v>2787</v>
      </c>
      <c r="C141" t="s">
        <v>69</v>
      </c>
      <c r="D141" t="s">
        <v>69</v>
      </c>
      <c r="E141" t="s">
        <v>69</v>
      </c>
      <c r="F141" t="s">
        <v>2788</v>
      </c>
      <c r="G141" t="s">
        <v>69</v>
      </c>
      <c r="H141" t="s">
        <v>69</v>
      </c>
      <c r="I141" t="s">
        <v>2789</v>
      </c>
      <c r="J141" t="s">
        <v>2790</v>
      </c>
      <c r="K141" t="s">
        <v>69</v>
      </c>
      <c r="L141" t="s">
        <v>69</v>
      </c>
      <c r="M141" t="s">
        <v>73</v>
      </c>
      <c r="N141" t="s">
        <v>74</v>
      </c>
      <c r="O141" t="s">
        <v>69</v>
      </c>
      <c r="P141" t="s">
        <v>69</v>
      </c>
      <c r="Q141" t="s">
        <v>69</v>
      </c>
      <c r="R141" t="s">
        <v>69</v>
      </c>
      <c r="S141" t="s">
        <v>69</v>
      </c>
      <c r="T141" t="s">
        <v>2791</v>
      </c>
      <c r="U141" t="s">
        <v>69</v>
      </c>
      <c r="V141" t="s">
        <v>2792</v>
      </c>
      <c r="W141" t="s">
        <v>2793</v>
      </c>
      <c r="X141" t="s">
        <v>2794</v>
      </c>
      <c r="Y141" t="s">
        <v>2795</v>
      </c>
      <c r="Z141" t="s">
        <v>2796</v>
      </c>
      <c r="AA141" t="s">
        <v>2797</v>
      </c>
      <c r="AB141" t="s">
        <v>2798</v>
      </c>
      <c r="AC141" t="s">
        <v>2799</v>
      </c>
      <c r="AD141" t="s">
        <v>69</v>
      </c>
      <c r="AE141">
        <v>6</v>
      </c>
      <c r="AF141">
        <v>2</v>
      </c>
      <c r="AG141">
        <v>2</v>
      </c>
      <c r="AH141">
        <v>2</v>
      </c>
      <c r="AI141">
        <v>12</v>
      </c>
      <c r="AJ141" t="s">
        <v>953</v>
      </c>
      <c r="AK141" t="s">
        <v>954</v>
      </c>
      <c r="AL141" t="s">
        <v>955</v>
      </c>
      <c r="AM141" t="s">
        <v>2800</v>
      </c>
      <c r="AN141" t="s">
        <v>2801</v>
      </c>
      <c r="AO141" t="s">
        <v>69</v>
      </c>
      <c r="AP141" t="s">
        <v>2802</v>
      </c>
      <c r="AQ141" t="s">
        <v>2803</v>
      </c>
      <c r="AR141" t="s">
        <v>511</v>
      </c>
      <c r="AS141">
        <v>2015</v>
      </c>
      <c r="AT141">
        <v>111</v>
      </c>
      <c r="AU141" t="s">
        <v>69</v>
      </c>
      <c r="AV141" t="s">
        <v>69</v>
      </c>
      <c r="AW141" t="s">
        <v>69</v>
      </c>
      <c r="AX141" t="s">
        <v>69</v>
      </c>
      <c r="AY141" t="s">
        <v>69</v>
      </c>
      <c r="AZ141">
        <v>71</v>
      </c>
      <c r="BA141">
        <v>78</v>
      </c>
      <c r="BB141" t="s">
        <v>69</v>
      </c>
      <c r="BC141" t="s">
        <v>2804</v>
      </c>
      <c r="BD141" t="s">
        <v>69</v>
      </c>
      <c r="BE141" t="s">
        <v>69</v>
      </c>
      <c r="BF141">
        <v>8</v>
      </c>
      <c r="BG141" t="s">
        <v>1854</v>
      </c>
      <c r="BH141" t="s">
        <v>232</v>
      </c>
      <c r="BI141" t="s">
        <v>2805</v>
      </c>
      <c r="BJ141" t="s">
        <v>2806</v>
      </c>
      <c r="BK141" t="s">
        <v>69</v>
      </c>
      <c r="BL141" t="s">
        <v>69</v>
      </c>
      <c r="BM141" t="s">
        <v>69</v>
      </c>
      <c r="BN141" t="s">
        <v>69</v>
      </c>
      <c r="BO141" t="s">
        <v>95</v>
      </c>
      <c r="BP141" t="s">
        <v>69</v>
      </c>
    </row>
    <row r="142" spans="1:68" x14ac:dyDescent="0.15">
      <c r="A142" t="s">
        <v>67</v>
      </c>
      <c r="B142" t="s">
        <v>2807</v>
      </c>
      <c r="C142" t="s">
        <v>69</v>
      </c>
      <c r="D142" t="s">
        <v>69</v>
      </c>
      <c r="E142" t="s">
        <v>69</v>
      </c>
      <c r="F142" t="s">
        <v>2808</v>
      </c>
      <c r="G142" t="s">
        <v>69</v>
      </c>
      <c r="H142" t="s">
        <v>69</v>
      </c>
      <c r="I142" t="s">
        <v>2809</v>
      </c>
      <c r="J142" t="s">
        <v>2810</v>
      </c>
      <c r="K142" t="s">
        <v>69</v>
      </c>
      <c r="L142" t="s">
        <v>69</v>
      </c>
      <c r="M142" t="s">
        <v>73</v>
      </c>
      <c r="N142" t="s">
        <v>74</v>
      </c>
      <c r="O142" t="s">
        <v>69</v>
      </c>
      <c r="P142" t="s">
        <v>69</v>
      </c>
      <c r="Q142" t="s">
        <v>69</v>
      </c>
      <c r="R142" t="s">
        <v>69</v>
      </c>
      <c r="S142" t="s">
        <v>69</v>
      </c>
      <c r="T142" t="s">
        <v>2811</v>
      </c>
      <c r="U142" t="s">
        <v>2812</v>
      </c>
      <c r="V142" t="s">
        <v>2813</v>
      </c>
      <c r="W142" t="s">
        <v>2814</v>
      </c>
      <c r="X142" t="s">
        <v>2815</v>
      </c>
      <c r="Y142" t="s">
        <v>2816</v>
      </c>
      <c r="Z142" t="s">
        <v>69</v>
      </c>
      <c r="AA142" t="s">
        <v>69</v>
      </c>
      <c r="AB142" t="s">
        <v>69</v>
      </c>
      <c r="AC142" t="s">
        <v>69</v>
      </c>
      <c r="AD142" t="s">
        <v>69</v>
      </c>
      <c r="AE142">
        <v>98</v>
      </c>
      <c r="AF142">
        <v>21</v>
      </c>
      <c r="AG142">
        <v>21</v>
      </c>
      <c r="AH142">
        <v>0</v>
      </c>
      <c r="AI142">
        <v>16</v>
      </c>
      <c r="AJ142" t="s">
        <v>1087</v>
      </c>
      <c r="AK142" t="s">
        <v>1088</v>
      </c>
      <c r="AL142" t="s">
        <v>1089</v>
      </c>
      <c r="AM142" t="s">
        <v>2817</v>
      </c>
      <c r="AN142" t="s">
        <v>2818</v>
      </c>
      <c r="AO142" t="s">
        <v>69</v>
      </c>
      <c r="AP142" t="s">
        <v>2819</v>
      </c>
      <c r="AQ142" t="s">
        <v>2820</v>
      </c>
      <c r="AR142" t="s">
        <v>511</v>
      </c>
      <c r="AS142">
        <v>2015</v>
      </c>
      <c r="AT142">
        <v>70</v>
      </c>
      <c r="AU142">
        <v>2</v>
      </c>
      <c r="AV142" t="s">
        <v>69</v>
      </c>
      <c r="AW142" t="s">
        <v>69</v>
      </c>
      <c r="AX142" t="s">
        <v>69</v>
      </c>
      <c r="AY142" t="s">
        <v>69</v>
      </c>
      <c r="AZ142">
        <v>269</v>
      </c>
      <c r="BA142">
        <v>278</v>
      </c>
      <c r="BB142" t="s">
        <v>69</v>
      </c>
      <c r="BC142" t="s">
        <v>2821</v>
      </c>
      <c r="BD142" t="s">
        <v>69</v>
      </c>
      <c r="BE142" t="s">
        <v>69</v>
      </c>
      <c r="BF142">
        <v>10</v>
      </c>
      <c r="BG142" t="s">
        <v>2822</v>
      </c>
      <c r="BH142" t="s">
        <v>2823</v>
      </c>
      <c r="BI142" t="s">
        <v>2824</v>
      </c>
      <c r="BJ142" t="s">
        <v>2825</v>
      </c>
      <c r="BK142">
        <v>24906396</v>
      </c>
      <c r="BL142" t="s">
        <v>427</v>
      </c>
      <c r="BM142" t="s">
        <v>69</v>
      </c>
      <c r="BN142" t="s">
        <v>69</v>
      </c>
      <c r="BO142" t="s">
        <v>95</v>
      </c>
      <c r="BP142" t="s">
        <v>69</v>
      </c>
    </row>
    <row r="143" spans="1:68" x14ac:dyDescent="0.15">
      <c r="A143" t="s">
        <v>67</v>
      </c>
      <c r="B143" t="s">
        <v>2826</v>
      </c>
      <c r="C143" t="s">
        <v>69</v>
      </c>
      <c r="D143" t="s">
        <v>69</v>
      </c>
      <c r="E143" t="s">
        <v>69</v>
      </c>
      <c r="F143" t="s">
        <v>2827</v>
      </c>
      <c r="G143" t="s">
        <v>69</v>
      </c>
      <c r="H143" t="s">
        <v>69</v>
      </c>
      <c r="I143" t="s">
        <v>2828</v>
      </c>
      <c r="J143" t="s">
        <v>2829</v>
      </c>
      <c r="K143" t="s">
        <v>69</v>
      </c>
      <c r="L143" t="s">
        <v>69</v>
      </c>
      <c r="M143" t="s">
        <v>73</v>
      </c>
      <c r="N143" t="s">
        <v>74</v>
      </c>
      <c r="O143" t="s">
        <v>69</v>
      </c>
      <c r="P143" t="s">
        <v>69</v>
      </c>
      <c r="Q143" t="s">
        <v>69</v>
      </c>
      <c r="R143" t="s">
        <v>69</v>
      </c>
      <c r="S143" t="s">
        <v>69</v>
      </c>
      <c r="T143" t="s">
        <v>2830</v>
      </c>
      <c r="U143" t="s">
        <v>2831</v>
      </c>
      <c r="V143" t="s">
        <v>2832</v>
      </c>
      <c r="W143" t="s">
        <v>2833</v>
      </c>
      <c r="X143" t="s">
        <v>2834</v>
      </c>
      <c r="Y143" t="s">
        <v>2835</v>
      </c>
      <c r="Z143" t="s">
        <v>69</v>
      </c>
      <c r="AA143" t="s">
        <v>2836</v>
      </c>
      <c r="AB143" t="s">
        <v>2837</v>
      </c>
      <c r="AC143" t="s">
        <v>2838</v>
      </c>
      <c r="AD143" t="s">
        <v>69</v>
      </c>
      <c r="AE143">
        <v>26</v>
      </c>
      <c r="AF143">
        <v>2</v>
      </c>
      <c r="AG143">
        <v>2</v>
      </c>
      <c r="AH143">
        <v>0</v>
      </c>
      <c r="AI143">
        <v>6</v>
      </c>
      <c r="AJ143" t="s">
        <v>2839</v>
      </c>
      <c r="AK143" t="s">
        <v>573</v>
      </c>
      <c r="AL143" t="s">
        <v>2840</v>
      </c>
      <c r="AM143" t="s">
        <v>2841</v>
      </c>
      <c r="AN143" t="s">
        <v>2842</v>
      </c>
      <c r="AO143" t="s">
        <v>69</v>
      </c>
      <c r="AP143" t="s">
        <v>2843</v>
      </c>
      <c r="AQ143" t="s">
        <v>2844</v>
      </c>
      <c r="AR143" t="s">
        <v>69</v>
      </c>
      <c r="AS143">
        <v>2015</v>
      </c>
      <c r="AT143">
        <v>29</v>
      </c>
      <c r="AU143">
        <v>3</v>
      </c>
      <c r="AV143" t="s">
        <v>69</v>
      </c>
      <c r="AW143" t="s">
        <v>69</v>
      </c>
      <c r="AX143" t="s">
        <v>69</v>
      </c>
      <c r="AY143" t="s">
        <v>69</v>
      </c>
      <c r="AZ143">
        <v>177</v>
      </c>
      <c r="BA143">
        <v>188</v>
      </c>
      <c r="BB143" t="s">
        <v>69</v>
      </c>
      <c r="BC143" t="s">
        <v>2845</v>
      </c>
      <c r="BD143" t="s">
        <v>69</v>
      </c>
      <c r="BE143" t="s">
        <v>69</v>
      </c>
      <c r="BF143">
        <v>12</v>
      </c>
      <c r="BG143" t="s">
        <v>1979</v>
      </c>
      <c r="BH143" t="s">
        <v>1979</v>
      </c>
      <c r="BI143" t="s">
        <v>2846</v>
      </c>
      <c r="BJ143" t="s">
        <v>2847</v>
      </c>
      <c r="BK143">
        <v>26502554</v>
      </c>
      <c r="BL143" t="s">
        <v>69</v>
      </c>
      <c r="BM143" t="s">
        <v>69</v>
      </c>
      <c r="BN143" t="s">
        <v>69</v>
      </c>
      <c r="BO143" t="s">
        <v>95</v>
      </c>
      <c r="BP143" t="s">
        <v>69</v>
      </c>
    </row>
    <row r="144" spans="1:68" x14ac:dyDescent="0.15">
      <c r="A144" t="s">
        <v>67</v>
      </c>
      <c r="B144" t="s">
        <v>2848</v>
      </c>
      <c r="C144" t="s">
        <v>69</v>
      </c>
      <c r="D144" t="s">
        <v>69</v>
      </c>
      <c r="E144" t="s">
        <v>69</v>
      </c>
      <c r="F144" t="s">
        <v>2849</v>
      </c>
      <c r="G144" t="s">
        <v>69</v>
      </c>
      <c r="H144" t="s">
        <v>69</v>
      </c>
      <c r="I144" t="s">
        <v>2850</v>
      </c>
      <c r="J144" t="s">
        <v>2829</v>
      </c>
      <c r="K144" t="s">
        <v>69</v>
      </c>
      <c r="L144" t="s">
        <v>69</v>
      </c>
      <c r="M144" t="s">
        <v>73</v>
      </c>
      <c r="N144" t="s">
        <v>74</v>
      </c>
      <c r="O144" t="s">
        <v>69</v>
      </c>
      <c r="P144" t="s">
        <v>69</v>
      </c>
      <c r="Q144" t="s">
        <v>69</v>
      </c>
      <c r="R144" t="s">
        <v>69</v>
      </c>
      <c r="S144" t="s">
        <v>69</v>
      </c>
      <c r="T144" t="s">
        <v>2851</v>
      </c>
      <c r="U144" t="s">
        <v>2852</v>
      </c>
      <c r="V144" t="s">
        <v>2853</v>
      </c>
      <c r="W144" t="s">
        <v>2854</v>
      </c>
      <c r="X144" t="s">
        <v>2855</v>
      </c>
      <c r="Y144" t="s">
        <v>2856</v>
      </c>
      <c r="Z144" t="s">
        <v>69</v>
      </c>
      <c r="AA144" t="s">
        <v>69</v>
      </c>
      <c r="AB144" t="s">
        <v>69</v>
      </c>
      <c r="AC144" t="s">
        <v>69</v>
      </c>
      <c r="AD144" t="s">
        <v>69</v>
      </c>
      <c r="AE144">
        <v>24</v>
      </c>
      <c r="AF144">
        <v>9</v>
      </c>
      <c r="AG144">
        <v>9</v>
      </c>
      <c r="AH144">
        <v>0</v>
      </c>
      <c r="AI144">
        <v>5</v>
      </c>
      <c r="AJ144" t="s">
        <v>2839</v>
      </c>
      <c r="AK144" t="s">
        <v>573</v>
      </c>
      <c r="AL144" t="s">
        <v>2840</v>
      </c>
      <c r="AM144" t="s">
        <v>2841</v>
      </c>
      <c r="AN144" t="s">
        <v>2842</v>
      </c>
      <c r="AO144" t="s">
        <v>69</v>
      </c>
      <c r="AP144" t="s">
        <v>2843</v>
      </c>
      <c r="AQ144" t="s">
        <v>2844</v>
      </c>
      <c r="AR144" t="s">
        <v>69</v>
      </c>
      <c r="AS144">
        <v>2015</v>
      </c>
      <c r="AT144">
        <v>29</v>
      </c>
      <c r="AU144">
        <v>1</v>
      </c>
      <c r="AV144" t="s">
        <v>69</v>
      </c>
      <c r="AW144" t="s">
        <v>69</v>
      </c>
      <c r="AX144" t="s">
        <v>69</v>
      </c>
      <c r="AY144" t="s">
        <v>69</v>
      </c>
      <c r="AZ144">
        <v>25</v>
      </c>
      <c r="BA144">
        <v>37</v>
      </c>
      <c r="BB144" t="s">
        <v>69</v>
      </c>
      <c r="BC144" t="s">
        <v>2857</v>
      </c>
      <c r="BD144" t="s">
        <v>69</v>
      </c>
      <c r="BE144" t="s">
        <v>69</v>
      </c>
      <c r="BF144">
        <v>13</v>
      </c>
      <c r="BG144" t="s">
        <v>1979</v>
      </c>
      <c r="BH144" t="s">
        <v>1979</v>
      </c>
      <c r="BI144" t="s">
        <v>2858</v>
      </c>
      <c r="BJ144" t="s">
        <v>2859</v>
      </c>
      <c r="BK144">
        <v>25799694</v>
      </c>
      <c r="BL144" t="s">
        <v>69</v>
      </c>
      <c r="BM144" t="s">
        <v>69</v>
      </c>
      <c r="BN144" t="s">
        <v>69</v>
      </c>
      <c r="BO144" t="s">
        <v>95</v>
      </c>
      <c r="BP144" t="s">
        <v>69</v>
      </c>
    </row>
    <row r="145" spans="1:68" x14ac:dyDescent="0.15">
      <c r="A145" t="s">
        <v>67</v>
      </c>
      <c r="B145" t="s">
        <v>2860</v>
      </c>
      <c r="C145" t="s">
        <v>69</v>
      </c>
      <c r="D145" t="s">
        <v>69</v>
      </c>
      <c r="E145" t="s">
        <v>69</v>
      </c>
      <c r="F145" t="s">
        <v>2861</v>
      </c>
      <c r="G145" t="s">
        <v>69</v>
      </c>
      <c r="H145" t="s">
        <v>69</v>
      </c>
      <c r="I145" t="s">
        <v>2862</v>
      </c>
      <c r="J145" t="s">
        <v>2863</v>
      </c>
      <c r="K145" t="s">
        <v>69</v>
      </c>
      <c r="L145" t="s">
        <v>69</v>
      </c>
      <c r="M145" t="s">
        <v>73</v>
      </c>
      <c r="N145" t="s">
        <v>74</v>
      </c>
      <c r="O145" t="s">
        <v>69</v>
      </c>
      <c r="P145" t="s">
        <v>69</v>
      </c>
      <c r="Q145" t="s">
        <v>69</v>
      </c>
      <c r="R145" t="s">
        <v>69</v>
      </c>
      <c r="S145" t="s">
        <v>69</v>
      </c>
      <c r="T145" t="s">
        <v>2864</v>
      </c>
      <c r="U145" t="s">
        <v>69</v>
      </c>
      <c r="V145" t="s">
        <v>2865</v>
      </c>
      <c r="W145" t="s">
        <v>2866</v>
      </c>
      <c r="X145" t="s">
        <v>2867</v>
      </c>
      <c r="Y145" t="s">
        <v>2868</v>
      </c>
      <c r="Z145" t="s">
        <v>69</v>
      </c>
      <c r="AA145" t="s">
        <v>69</v>
      </c>
      <c r="AB145" t="s">
        <v>69</v>
      </c>
      <c r="AC145" t="s">
        <v>69</v>
      </c>
      <c r="AD145" t="s">
        <v>69</v>
      </c>
      <c r="AE145">
        <v>30</v>
      </c>
      <c r="AF145">
        <v>6</v>
      </c>
      <c r="AG145">
        <v>6</v>
      </c>
      <c r="AH145">
        <v>0</v>
      </c>
      <c r="AI145">
        <v>0</v>
      </c>
      <c r="AJ145" t="s">
        <v>1480</v>
      </c>
      <c r="AK145" t="s">
        <v>1481</v>
      </c>
      <c r="AL145" t="s">
        <v>1482</v>
      </c>
      <c r="AM145" t="s">
        <v>2869</v>
      </c>
      <c r="AN145" t="s">
        <v>69</v>
      </c>
      <c r="AO145" t="s">
        <v>69</v>
      </c>
      <c r="AP145" t="s">
        <v>2870</v>
      </c>
      <c r="AQ145" t="s">
        <v>2871</v>
      </c>
      <c r="AR145" t="s">
        <v>69</v>
      </c>
      <c r="AS145">
        <v>2015</v>
      </c>
      <c r="AT145">
        <v>4</v>
      </c>
      <c r="AU145" t="s">
        <v>69</v>
      </c>
      <c r="AV145" t="s">
        <v>69</v>
      </c>
      <c r="AW145" t="s">
        <v>69</v>
      </c>
      <c r="AX145" t="s">
        <v>69</v>
      </c>
      <c r="AY145" t="s">
        <v>69</v>
      </c>
      <c r="AZ145" t="s">
        <v>69</v>
      </c>
      <c r="BA145" t="s">
        <v>69</v>
      </c>
      <c r="BB145">
        <v>9</v>
      </c>
      <c r="BC145" t="s">
        <v>2872</v>
      </c>
      <c r="BD145" t="s">
        <v>69</v>
      </c>
      <c r="BE145" t="s">
        <v>69</v>
      </c>
      <c r="BF145">
        <v>11</v>
      </c>
      <c r="BG145" t="s">
        <v>604</v>
      </c>
      <c r="BH145" t="s">
        <v>604</v>
      </c>
      <c r="BI145" t="s">
        <v>2873</v>
      </c>
      <c r="BJ145" t="s">
        <v>2874</v>
      </c>
      <c r="BK145" t="s">
        <v>69</v>
      </c>
      <c r="BL145" t="s">
        <v>336</v>
      </c>
      <c r="BM145" t="s">
        <v>69</v>
      </c>
      <c r="BN145" t="s">
        <v>69</v>
      </c>
      <c r="BO145" t="s">
        <v>95</v>
      </c>
      <c r="BP145" t="s">
        <v>69</v>
      </c>
    </row>
    <row r="146" spans="1:68" x14ac:dyDescent="0.15">
      <c r="A146" t="s">
        <v>67</v>
      </c>
      <c r="B146" t="s">
        <v>2875</v>
      </c>
      <c r="C146" t="s">
        <v>69</v>
      </c>
      <c r="D146" t="s">
        <v>69</v>
      </c>
      <c r="E146" t="s">
        <v>69</v>
      </c>
      <c r="F146" t="s">
        <v>2876</v>
      </c>
      <c r="G146" t="s">
        <v>69</v>
      </c>
      <c r="H146" t="s">
        <v>69</v>
      </c>
      <c r="I146" t="s">
        <v>2877</v>
      </c>
      <c r="J146" t="s">
        <v>2878</v>
      </c>
      <c r="K146" t="s">
        <v>69</v>
      </c>
      <c r="L146" t="s">
        <v>69</v>
      </c>
      <c r="M146" t="s">
        <v>73</v>
      </c>
      <c r="N146" t="s">
        <v>74</v>
      </c>
      <c r="O146" t="s">
        <v>69</v>
      </c>
      <c r="P146" t="s">
        <v>69</v>
      </c>
      <c r="Q146" t="s">
        <v>69</v>
      </c>
      <c r="R146" t="s">
        <v>69</v>
      </c>
      <c r="S146" t="s">
        <v>69</v>
      </c>
      <c r="T146" t="s">
        <v>2879</v>
      </c>
      <c r="U146" t="s">
        <v>2880</v>
      </c>
      <c r="V146" t="s">
        <v>2881</v>
      </c>
      <c r="W146" t="s">
        <v>2882</v>
      </c>
      <c r="X146" t="s">
        <v>2883</v>
      </c>
      <c r="Y146" t="s">
        <v>2884</v>
      </c>
      <c r="Z146" t="s">
        <v>69</v>
      </c>
      <c r="AA146" t="s">
        <v>69</v>
      </c>
      <c r="AB146" t="s">
        <v>69</v>
      </c>
      <c r="AC146" t="s">
        <v>69</v>
      </c>
      <c r="AD146" t="s">
        <v>69</v>
      </c>
      <c r="AE146">
        <v>73</v>
      </c>
      <c r="AF146">
        <v>25</v>
      </c>
      <c r="AG146">
        <v>26</v>
      </c>
      <c r="AH146">
        <v>0</v>
      </c>
      <c r="AI146">
        <v>19</v>
      </c>
      <c r="AJ146" t="s">
        <v>155</v>
      </c>
      <c r="AK146" t="s">
        <v>156</v>
      </c>
      <c r="AL146" t="s">
        <v>157</v>
      </c>
      <c r="AM146" t="s">
        <v>2885</v>
      </c>
      <c r="AN146" t="s">
        <v>2886</v>
      </c>
      <c r="AO146" t="s">
        <v>69</v>
      </c>
      <c r="AP146" t="s">
        <v>2887</v>
      </c>
      <c r="AQ146" t="s">
        <v>2888</v>
      </c>
      <c r="AR146" t="s">
        <v>731</v>
      </c>
      <c r="AS146">
        <v>2014</v>
      </c>
      <c r="AT146">
        <v>62</v>
      </c>
      <c r="AU146">
        <v>7</v>
      </c>
      <c r="AV146" t="s">
        <v>69</v>
      </c>
      <c r="AW146" t="s">
        <v>69</v>
      </c>
      <c r="AX146" t="s">
        <v>69</v>
      </c>
      <c r="AY146" t="s">
        <v>69</v>
      </c>
      <c r="AZ146">
        <v>1079</v>
      </c>
      <c r="BA146">
        <v>1096</v>
      </c>
      <c r="BB146" t="s">
        <v>69</v>
      </c>
      <c r="BC146" t="s">
        <v>2889</v>
      </c>
      <c r="BD146" t="s">
        <v>69</v>
      </c>
      <c r="BE146" t="s">
        <v>69</v>
      </c>
      <c r="BF146">
        <v>18</v>
      </c>
      <c r="BG146" t="s">
        <v>493</v>
      </c>
      <c r="BH146" t="s">
        <v>493</v>
      </c>
      <c r="BI146" t="s">
        <v>2890</v>
      </c>
      <c r="BJ146" t="s">
        <v>2891</v>
      </c>
      <c r="BK146" t="s">
        <v>69</v>
      </c>
      <c r="BL146" t="s">
        <v>69</v>
      </c>
      <c r="BM146" t="s">
        <v>69</v>
      </c>
      <c r="BN146" t="s">
        <v>69</v>
      </c>
      <c r="BO146" t="s">
        <v>95</v>
      </c>
      <c r="BP146" t="s">
        <v>69</v>
      </c>
    </row>
    <row r="147" spans="1:68" x14ac:dyDescent="0.15">
      <c r="A147" t="s">
        <v>67</v>
      </c>
      <c r="B147" t="s">
        <v>2892</v>
      </c>
      <c r="C147" t="s">
        <v>69</v>
      </c>
      <c r="D147" t="s">
        <v>69</v>
      </c>
      <c r="E147" t="s">
        <v>69</v>
      </c>
      <c r="F147" t="s">
        <v>2893</v>
      </c>
      <c r="G147" t="s">
        <v>69</v>
      </c>
      <c r="H147" t="s">
        <v>69</v>
      </c>
      <c r="I147" t="s">
        <v>2894</v>
      </c>
      <c r="J147" t="s">
        <v>2895</v>
      </c>
      <c r="K147" t="s">
        <v>69</v>
      </c>
      <c r="L147" t="s">
        <v>69</v>
      </c>
      <c r="M147" t="s">
        <v>73</v>
      </c>
      <c r="N147" t="s">
        <v>74</v>
      </c>
      <c r="O147" t="s">
        <v>69</v>
      </c>
      <c r="P147" t="s">
        <v>69</v>
      </c>
      <c r="Q147" t="s">
        <v>69</v>
      </c>
      <c r="R147" t="s">
        <v>69</v>
      </c>
      <c r="S147" t="s">
        <v>69</v>
      </c>
      <c r="T147" t="s">
        <v>2896</v>
      </c>
      <c r="U147" t="s">
        <v>2897</v>
      </c>
      <c r="V147" t="s">
        <v>2898</v>
      </c>
      <c r="W147" t="s">
        <v>2899</v>
      </c>
      <c r="X147" t="s">
        <v>2900</v>
      </c>
      <c r="Y147" t="s">
        <v>2901</v>
      </c>
      <c r="Z147" t="s">
        <v>69</v>
      </c>
      <c r="AA147" t="s">
        <v>69</v>
      </c>
      <c r="AB147" t="s">
        <v>69</v>
      </c>
      <c r="AC147" t="s">
        <v>69</v>
      </c>
      <c r="AD147" t="s">
        <v>69</v>
      </c>
      <c r="AE147">
        <v>96</v>
      </c>
      <c r="AF147">
        <v>8</v>
      </c>
      <c r="AG147">
        <v>8</v>
      </c>
      <c r="AH147">
        <v>0</v>
      </c>
      <c r="AI147">
        <v>17</v>
      </c>
      <c r="AJ147" t="s">
        <v>108</v>
      </c>
      <c r="AK147" t="s">
        <v>109</v>
      </c>
      <c r="AL147" t="s">
        <v>110</v>
      </c>
      <c r="AM147" t="s">
        <v>2902</v>
      </c>
      <c r="AN147" t="s">
        <v>2903</v>
      </c>
      <c r="AO147" t="s">
        <v>69</v>
      </c>
      <c r="AP147" t="s">
        <v>2895</v>
      </c>
      <c r="AQ147" t="s">
        <v>2904</v>
      </c>
      <c r="AR147" t="s">
        <v>2905</v>
      </c>
      <c r="AS147">
        <v>2014</v>
      </c>
      <c r="AT147">
        <v>21</v>
      </c>
      <c r="AU147">
        <v>6</v>
      </c>
      <c r="AV147" t="s">
        <v>69</v>
      </c>
      <c r="AW147" t="s">
        <v>69</v>
      </c>
      <c r="AX147" t="s">
        <v>69</v>
      </c>
      <c r="AY147" t="s">
        <v>69</v>
      </c>
      <c r="AZ147">
        <v>1091</v>
      </c>
      <c r="BA147">
        <v>1116</v>
      </c>
      <c r="BB147" t="s">
        <v>69</v>
      </c>
      <c r="BC147" t="s">
        <v>2906</v>
      </c>
      <c r="BD147" t="s">
        <v>69</v>
      </c>
      <c r="BE147" t="s">
        <v>69</v>
      </c>
      <c r="BF147">
        <v>26</v>
      </c>
      <c r="BG147" t="s">
        <v>2907</v>
      </c>
      <c r="BH147" t="s">
        <v>1116</v>
      </c>
      <c r="BI147" t="s">
        <v>2908</v>
      </c>
      <c r="BJ147" t="s">
        <v>2909</v>
      </c>
      <c r="BK147" t="s">
        <v>69</v>
      </c>
      <c r="BL147" t="s">
        <v>69</v>
      </c>
      <c r="BM147" t="s">
        <v>69</v>
      </c>
      <c r="BN147" t="s">
        <v>69</v>
      </c>
      <c r="BO147" t="s">
        <v>95</v>
      </c>
      <c r="BP147" t="s">
        <v>69</v>
      </c>
    </row>
    <row r="148" spans="1:68" x14ac:dyDescent="0.15">
      <c r="A148" t="s">
        <v>67</v>
      </c>
      <c r="B148" t="s">
        <v>2910</v>
      </c>
      <c r="C148" t="s">
        <v>69</v>
      </c>
      <c r="D148" t="s">
        <v>69</v>
      </c>
      <c r="E148" t="s">
        <v>69</v>
      </c>
      <c r="F148" t="s">
        <v>2911</v>
      </c>
      <c r="G148" t="s">
        <v>69</v>
      </c>
      <c r="H148" t="s">
        <v>69</v>
      </c>
      <c r="I148" t="s">
        <v>2912</v>
      </c>
      <c r="J148" t="s">
        <v>2587</v>
      </c>
      <c r="K148" t="s">
        <v>69</v>
      </c>
      <c r="L148" t="s">
        <v>69</v>
      </c>
      <c r="M148" t="s">
        <v>73</v>
      </c>
      <c r="N148" t="s">
        <v>318</v>
      </c>
      <c r="O148" t="s">
        <v>69</v>
      </c>
      <c r="P148" t="s">
        <v>69</v>
      </c>
      <c r="Q148" t="s">
        <v>69</v>
      </c>
      <c r="R148" t="s">
        <v>69</v>
      </c>
      <c r="S148" t="s">
        <v>69</v>
      </c>
      <c r="T148" t="s">
        <v>2913</v>
      </c>
      <c r="U148" t="s">
        <v>2914</v>
      </c>
      <c r="V148" t="s">
        <v>2915</v>
      </c>
      <c r="W148" t="s">
        <v>2916</v>
      </c>
      <c r="X148" t="s">
        <v>2917</v>
      </c>
      <c r="Y148" t="s">
        <v>2918</v>
      </c>
      <c r="Z148" t="s">
        <v>69</v>
      </c>
      <c r="AA148" t="s">
        <v>69</v>
      </c>
      <c r="AB148" t="s">
        <v>2919</v>
      </c>
      <c r="AC148" t="s">
        <v>69</v>
      </c>
      <c r="AD148" t="s">
        <v>69</v>
      </c>
      <c r="AE148">
        <v>68</v>
      </c>
      <c r="AF148">
        <v>34</v>
      </c>
      <c r="AG148">
        <v>34</v>
      </c>
      <c r="AH148">
        <v>0</v>
      </c>
      <c r="AI148">
        <v>19</v>
      </c>
      <c r="AJ148" t="s">
        <v>82</v>
      </c>
      <c r="AK148" t="s">
        <v>83</v>
      </c>
      <c r="AL148" t="s">
        <v>84</v>
      </c>
      <c r="AM148" t="s">
        <v>2595</v>
      </c>
      <c r="AN148" t="s">
        <v>69</v>
      </c>
      <c r="AO148" t="s">
        <v>69</v>
      </c>
      <c r="AP148" t="s">
        <v>2596</v>
      </c>
      <c r="AQ148" t="s">
        <v>2597</v>
      </c>
      <c r="AR148" t="s">
        <v>490</v>
      </c>
      <c r="AS148">
        <v>2014</v>
      </c>
      <c r="AT148">
        <v>11</v>
      </c>
      <c r="AU148">
        <v>8</v>
      </c>
      <c r="AV148" t="s">
        <v>69</v>
      </c>
      <c r="AW148" t="s">
        <v>69</v>
      </c>
      <c r="AX148" t="s">
        <v>69</v>
      </c>
      <c r="AY148" t="s">
        <v>69</v>
      </c>
      <c r="AZ148">
        <v>8038</v>
      </c>
      <c r="BA148">
        <v>8057</v>
      </c>
      <c r="BB148" t="s">
        <v>69</v>
      </c>
      <c r="BC148" t="s">
        <v>2920</v>
      </c>
      <c r="BD148" t="s">
        <v>69</v>
      </c>
      <c r="BE148" t="s">
        <v>69</v>
      </c>
      <c r="BF148">
        <v>20</v>
      </c>
      <c r="BG148" t="s">
        <v>2599</v>
      </c>
      <c r="BH148" t="s">
        <v>2600</v>
      </c>
      <c r="BI148" t="s">
        <v>2921</v>
      </c>
      <c r="BJ148" t="s">
        <v>2922</v>
      </c>
      <c r="BK148">
        <v>25111874</v>
      </c>
      <c r="BL148" t="s">
        <v>336</v>
      </c>
      <c r="BM148" t="s">
        <v>69</v>
      </c>
      <c r="BN148" t="s">
        <v>69</v>
      </c>
      <c r="BO148" t="s">
        <v>95</v>
      </c>
      <c r="BP148" t="s">
        <v>69</v>
      </c>
    </row>
    <row r="149" spans="1:68" x14ac:dyDescent="0.15">
      <c r="A149" t="s">
        <v>67</v>
      </c>
      <c r="B149" t="s">
        <v>2923</v>
      </c>
      <c r="C149" t="s">
        <v>69</v>
      </c>
      <c r="D149" t="s">
        <v>69</v>
      </c>
      <c r="E149" t="s">
        <v>69</v>
      </c>
      <c r="F149" t="s">
        <v>2924</v>
      </c>
      <c r="G149" t="s">
        <v>69</v>
      </c>
      <c r="H149" t="s">
        <v>69</v>
      </c>
      <c r="I149" t="s">
        <v>2925</v>
      </c>
      <c r="J149" t="s">
        <v>2926</v>
      </c>
      <c r="K149" t="s">
        <v>69</v>
      </c>
      <c r="L149" t="s">
        <v>69</v>
      </c>
      <c r="M149" t="s">
        <v>73</v>
      </c>
      <c r="N149" t="s">
        <v>74</v>
      </c>
      <c r="O149" t="s">
        <v>69</v>
      </c>
      <c r="P149" t="s">
        <v>69</v>
      </c>
      <c r="Q149" t="s">
        <v>69</v>
      </c>
      <c r="R149" t="s">
        <v>69</v>
      </c>
      <c r="S149" t="s">
        <v>69</v>
      </c>
      <c r="T149" t="s">
        <v>69</v>
      </c>
      <c r="U149" t="s">
        <v>2927</v>
      </c>
      <c r="V149" t="s">
        <v>2928</v>
      </c>
      <c r="W149" t="s">
        <v>2929</v>
      </c>
      <c r="X149" t="s">
        <v>2930</v>
      </c>
      <c r="Y149" t="s">
        <v>2931</v>
      </c>
      <c r="Z149" t="s">
        <v>2932</v>
      </c>
      <c r="AA149" t="s">
        <v>2933</v>
      </c>
      <c r="AB149" t="s">
        <v>2934</v>
      </c>
      <c r="AC149" t="s">
        <v>69</v>
      </c>
      <c r="AD149" t="s">
        <v>69</v>
      </c>
      <c r="AE149">
        <v>51</v>
      </c>
      <c r="AF149">
        <v>9</v>
      </c>
      <c r="AG149">
        <v>9</v>
      </c>
      <c r="AH149">
        <v>5</v>
      </c>
      <c r="AI149">
        <v>25</v>
      </c>
      <c r="AJ149" t="s">
        <v>2935</v>
      </c>
      <c r="AK149" t="s">
        <v>573</v>
      </c>
      <c r="AL149" t="s">
        <v>2936</v>
      </c>
      <c r="AM149" t="s">
        <v>2937</v>
      </c>
      <c r="AN149" t="s">
        <v>2938</v>
      </c>
      <c r="AO149" t="s">
        <v>69</v>
      </c>
      <c r="AP149" t="s">
        <v>2939</v>
      </c>
      <c r="AQ149" t="s">
        <v>2940</v>
      </c>
      <c r="AR149" t="s">
        <v>490</v>
      </c>
      <c r="AS149">
        <v>2014</v>
      </c>
      <c r="AT149">
        <v>26</v>
      </c>
      <c r="AU149">
        <v>4</v>
      </c>
      <c r="AV149" t="s">
        <v>69</v>
      </c>
      <c r="AW149" t="s">
        <v>69</v>
      </c>
      <c r="AX149" t="s">
        <v>69</v>
      </c>
      <c r="AY149" t="s">
        <v>69</v>
      </c>
      <c r="AZ149">
        <v>296</v>
      </c>
      <c r="BA149">
        <v>316</v>
      </c>
      <c r="BB149" t="s">
        <v>69</v>
      </c>
      <c r="BC149" t="s">
        <v>2941</v>
      </c>
      <c r="BD149" t="s">
        <v>69</v>
      </c>
      <c r="BE149" t="s">
        <v>69</v>
      </c>
      <c r="BF149">
        <v>21</v>
      </c>
      <c r="BG149" t="s">
        <v>2942</v>
      </c>
      <c r="BH149" t="s">
        <v>2942</v>
      </c>
      <c r="BI149" t="s">
        <v>2943</v>
      </c>
      <c r="BJ149" t="s">
        <v>2944</v>
      </c>
      <c r="BK149">
        <v>25068178</v>
      </c>
      <c r="BL149" t="s">
        <v>833</v>
      </c>
      <c r="BM149" t="s">
        <v>69</v>
      </c>
      <c r="BN149" t="s">
        <v>69</v>
      </c>
      <c r="BO149" t="s">
        <v>95</v>
      </c>
      <c r="BP149" t="s">
        <v>69</v>
      </c>
    </row>
    <row r="150" spans="1:68" x14ac:dyDescent="0.15">
      <c r="A150" t="s">
        <v>67</v>
      </c>
      <c r="B150" t="s">
        <v>2945</v>
      </c>
      <c r="C150" t="s">
        <v>69</v>
      </c>
      <c r="D150" t="s">
        <v>69</v>
      </c>
      <c r="E150" t="s">
        <v>69</v>
      </c>
      <c r="F150" t="s">
        <v>2946</v>
      </c>
      <c r="G150" t="s">
        <v>69</v>
      </c>
      <c r="H150" t="s">
        <v>69</v>
      </c>
      <c r="I150" t="s">
        <v>2947</v>
      </c>
      <c r="J150" t="s">
        <v>1726</v>
      </c>
      <c r="K150" t="s">
        <v>69</v>
      </c>
      <c r="L150" t="s">
        <v>69</v>
      </c>
      <c r="M150" t="s">
        <v>73</v>
      </c>
      <c r="N150" t="s">
        <v>74</v>
      </c>
      <c r="O150" t="s">
        <v>69</v>
      </c>
      <c r="P150" t="s">
        <v>69</v>
      </c>
      <c r="Q150" t="s">
        <v>69</v>
      </c>
      <c r="R150" t="s">
        <v>69</v>
      </c>
      <c r="S150" t="s">
        <v>69</v>
      </c>
      <c r="T150" t="s">
        <v>2948</v>
      </c>
      <c r="U150" t="s">
        <v>2949</v>
      </c>
      <c r="V150" t="s">
        <v>2950</v>
      </c>
      <c r="W150" t="s">
        <v>2951</v>
      </c>
      <c r="X150" t="s">
        <v>2952</v>
      </c>
      <c r="Y150" t="s">
        <v>2953</v>
      </c>
      <c r="Z150" t="s">
        <v>69</v>
      </c>
      <c r="AA150" t="s">
        <v>69</v>
      </c>
      <c r="AB150" t="s">
        <v>69</v>
      </c>
      <c r="AC150" t="s">
        <v>69</v>
      </c>
      <c r="AD150" t="s">
        <v>69</v>
      </c>
      <c r="AE150">
        <v>47</v>
      </c>
      <c r="AF150">
        <v>6</v>
      </c>
      <c r="AG150">
        <v>6</v>
      </c>
      <c r="AH150">
        <v>0</v>
      </c>
      <c r="AI150">
        <v>5</v>
      </c>
      <c r="AJ150" t="s">
        <v>108</v>
      </c>
      <c r="AK150" t="s">
        <v>109</v>
      </c>
      <c r="AL150" t="s">
        <v>110</v>
      </c>
      <c r="AM150" t="s">
        <v>1734</v>
      </c>
      <c r="AN150" t="s">
        <v>1735</v>
      </c>
      <c r="AO150" t="s">
        <v>69</v>
      </c>
      <c r="AP150" t="s">
        <v>1736</v>
      </c>
      <c r="AQ150" t="s">
        <v>1737</v>
      </c>
      <c r="AR150" t="s">
        <v>2954</v>
      </c>
      <c r="AS150">
        <v>2014</v>
      </c>
      <c r="AT150">
        <v>40</v>
      </c>
      <c r="AU150">
        <v>7</v>
      </c>
      <c r="AV150" t="s">
        <v>69</v>
      </c>
      <c r="AW150" t="s">
        <v>69</v>
      </c>
      <c r="AX150" t="s">
        <v>69</v>
      </c>
      <c r="AY150" t="s">
        <v>69</v>
      </c>
      <c r="AZ150">
        <v>1097</v>
      </c>
      <c r="BA150">
        <v>1115</v>
      </c>
      <c r="BB150" t="s">
        <v>69</v>
      </c>
      <c r="BC150" t="s">
        <v>2955</v>
      </c>
      <c r="BD150" t="s">
        <v>69</v>
      </c>
      <c r="BE150" t="s">
        <v>69</v>
      </c>
      <c r="BF150">
        <v>19</v>
      </c>
      <c r="BG150" t="s">
        <v>1739</v>
      </c>
      <c r="BH150" t="s">
        <v>1739</v>
      </c>
      <c r="BI150" t="s">
        <v>2956</v>
      </c>
      <c r="BJ150" t="s">
        <v>2957</v>
      </c>
      <c r="BK150" t="s">
        <v>69</v>
      </c>
      <c r="BL150" t="s">
        <v>69</v>
      </c>
      <c r="BM150" t="s">
        <v>69</v>
      </c>
      <c r="BN150" t="s">
        <v>69</v>
      </c>
      <c r="BO150" t="s">
        <v>95</v>
      </c>
      <c r="BP150" t="s">
        <v>69</v>
      </c>
    </row>
    <row r="151" spans="1:68" x14ac:dyDescent="0.15">
      <c r="A151" t="s">
        <v>67</v>
      </c>
      <c r="B151" t="s">
        <v>2958</v>
      </c>
      <c r="C151" t="s">
        <v>69</v>
      </c>
      <c r="D151" t="s">
        <v>69</v>
      </c>
      <c r="E151" t="s">
        <v>69</v>
      </c>
      <c r="F151" t="s">
        <v>2959</v>
      </c>
      <c r="G151" t="s">
        <v>69</v>
      </c>
      <c r="H151" t="s">
        <v>69</v>
      </c>
      <c r="I151" t="s">
        <v>2960</v>
      </c>
      <c r="J151" t="s">
        <v>2961</v>
      </c>
      <c r="K151" t="s">
        <v>69</v>
      </c>
      <c r="L151" t="s">
        <v>69</v>
      </c>
      <c r="M151" t="s">
        <v>73</v>
      </c>
      <c r="N151" t="s">
        <v>74</v>
      </c>
      <c r="O151" t="s">
        <v>69</v>
      </c>
      <c r="P151" t="s">
        <v>69</v>
      </c>
      <c r="Q151" t="s">
        <v>69</v>
      </c>
      <c r="R151" t="s">
        <v>69</v>
      </c>
      <c r="S151" t="s">
        <v>69</v>
      </c>
      <c r="T151" t="s">
        <v>2962</v>
      </c>
      <c r="U151" t="s">
        <v>2963</v>
      </c>
      <c r="V151" t="s">
        <v>2964</v>
      </c>
      <c r="W151" t="s">
        <v>2965</v>
      </c>
      <c r="X151" t="s">
        <v>2966</v>
      </c>
      <c r="Y151" t="s">
        <v>2967</v>
      </c>
      <c r="Z151" t="s">
        <v>69</v>
      </c>
      <c r="AA151" t="s">
        <v>69</v>
      </c>
      <c r="AB151" t="s">
        <v>2968</v>
      </c>
      <c r="AC151" t="s">
        <v>69</v>
      </c>
      <c r="AD151" t="s">
        <v>69</v>
      </c>
      <c r="AE151">
        <v>46</v>
      </c>
      <c r="AF151">
        <v>1</v>
      </c>
      <c r="AG151">
        <v>1</v>
      </c>
      <c r="AH151">
        <v>1</v>
      </c>
      <c r="AI151">
        <v>9</v>
      </c>
      <c r="AJ151" t="s">
        <v>1183</v>
      </c>
      <c r="AK151" t="s">
        <v>1184</v>
      </c>
      <c r="AL151" t="s">
        <v>1185</v>
      </c>
      <c r="AM151" t="s">
        <v>2969</v>
      </c>
      <c r="AN151" t="s">
        <v>2970</v>
      </c>
      <c r="AO151" t="s">
        <v>69</v>
      </c>
      <c r="AP151" t="s">
        <v>2971</v>
      </c>
      <c r="AQ151" t="s">
        <v>2972</v>
      </c>
      <c r="AR151" t="s">
        <v>579</v>
      </c>
      <c r="AS151">
        <v>2014</v>
      </c>
      <c r="AT151">
        <v>26</v>
      </c>
      <c r="AU151">
        <v>2</v>
      </c>
      <c r="AV151" t="s">
        <v>69</v>
      </c>
      <c r="AW151" t="s">
        <v>69</v>
      </c>
      <c r="AX151" t="s">
        <v>69</v>
      </c>
      <c r="AY151" t="s">
        <v>69</v>
      </c>
      <c r="AZ151">
        <v>493</v>
      </c>
      <c r="BA151">
        <v>512</v>
      </c>
      <c r="BB151" t="s">
        <v>69</v>
      </c>
      <c r="BC151" t="s">
        <v>2973</v>
      </c>
      <c r="BD151" t="s">
        <v>69</v>
      </c>
      <c r="BE151" t="s">
        <v>69</v>
      </c>
      <c r="BF151">
        <v>20</v>
      </c>
      <c r="BG151" t="s">
        <v>2974</v>
      </c>
      <c r="BH151" t="s">
        <v>288</v>
      </c>
      <c r="BI151" t="s">
        <v>2975</v>
      </c>
      <c r="BJ151" t="s">
        <v>2976</v>
      </c>
      <c r="BK151">
        <v>24512424</v>
      </c>
      <c r="BL151" t="s">
        <v>69</v>
      </c>
      <c r="BM151" t="s">
        <v>69</v>
      </c>
      <c r="BN151" t="s">
        <v>69</v>
      </c>
      <c r="BO151" t="s">
        <v>95</v>
      </c>
      <c r="BP151" t="s">
        <v>69</v>
      </c>
    </row>
    <row r="152" spans="1:68" x14ac:dyDescent="0.15">
      <c r="A152" t="s">
        <v>67</v>
      </c>
      <c r="B152" t="s">
        <v>2977</v>
      </c>
      <c r="C152" t="s">
        <v>69</v>
      </c>
      <c r="D152" t="s">
        <v>69</v>
      </c>
      <c r="E152" t="s">
        <v>69</v>
      </c>
      <c r="F152" t="s">
        <v>2978</v>
      </c>
      <c r="G152" t="s">
        <v>69</v>
      </c>
      <c r="H152" t="s">
        <v>69</v>
      </c>
      <c r="I152" t="s">
        <v>2979</v>
      </c>
      <c r="J152" t="s">
        <v>2752</v>
      </c>
      <c r="K152" t="s">
        <v>69</v>
      </c>
      <c r="L152" t="s">
        <v>69</v>
      </c>
      <c r="M152" t="s">
        <v>73</v>
      </c>
      <c r="N152" t="s">
        <v>74</v>
      </c>
      <c r="O152" t="s">
        <v>69</v>
      </c>
      <c r="P152" t="s">
        <v>69</v>
      </c>
      <c r="Q152" t="s">
        <v>69</v>
      </c>
      <c r="R152" t="s">
        <v>69</v>
      </c>
      <c r="S152" t="s">
        <v>69</v>
      </c>
      <c r="T152" t="s">
        <v>2980</v>
      </c>
      <c r="U152" t="s">
        <v>2981</v>
      </c>
      <c r="V152" t="s">
        <v>2982</v>
      </c>
      <c r="W152" t="s">
        <v>2983</v>
      </c>
      <c r="X152" t="s">
        <v>2984</v>
      </c>
      <c r="Y152" t="s">
        <v>2985</v>
      </c>
      <c r="Z152" t="s">
        <v>69</v>
      </c>
      <c r="AA152" t="s">
        <v>69</v>
      </c>
      <c r="AB152" t="s">
        <v>69</v>
      </c>
      <c r="AC152" t="s">
        <v>69</v>
      </c>
      <c r="AD152" t="s">
        <v>69</v>
      </c>
      <c r="AE152">
        <v>85</v>
      </c>
      <c r="AF152">
        <v>104</v>
      </c>
      <c r="AG152">
        <v>105</v>
      </c>
      <c r="AH152">
        <v>1</v>
      </c>
      <c r="AI152">
        <v>42</v>
      </c>
      <c r="AJ152" t="s">
        <v>108</v>
      </c>
      <c r="AK152" t="s">
        <v>109</v>
      </c>
      <c r="AL152" t="s">
        <v>2706</v>
      </c>
      <c r="AM152" t="s">
        <v>2759</v>
      </c>
      <c r="AN152" t="s">
        <v>2760</v>
      </c>
      <c r="AO152" t="s">
        <v>69</v>
      </c>
      <c r="AP152" t="s">
        <v>2761</v>
      </c>
      <c r="AQ152" t="s">
        <v>2762</v>
      </c>
      <c r="AR152" t="s">
        <v>2986</v>
      </c>
      <c r="AS152">
        <v>2014</v>
      </c>
      <c r="AT152">
        <v>25</v>
      </c>
      <c r="AU152">
        <v>9</v>
      </c>
      <c r="AV152" t="s">
        <v>69</v>
      </c>
      <c r="AW152" t="s">
        <v>69</v>
      </c>
      <c r="AX152" t="s">
        <v>69</v>
      </c>
      <c r="AY152" t="s">
        <v>69</v>
      </c>
      <c r="AZ152">
        <v>1281</v>
      </c>
      <c r="BA152">
        <v>1301</v>
      </c>
      <c r="BB152" t="s">
        <v>69</v>
      </c>
      <c r="BC152" t="s">
        <v>2987</v>
      </c>
      <c r="BD152" t="s">
        <v>69</v>
      </c>
      <c r="BE152" t="s">
        <v>69</v>
      </c>
      <c r="BF152">
        <v>21</v>
      </c>
      <c r="BG152" t="s">
        <v>268</v>
      </c>
      <c r="BH152" t="s">
        <v>232</v>
      </c>
      <c r="BI152" t="s">
        <v>2988</v>
      </c>
      <c r="BJ152" t="s">
        <v>2989</v>
      </c>
      <c r="BK152" t="s">
        <v>69</v>
      </c>
      <c r="BL152" t="s">
        <v>69</v>
      </c>
      <c r="BM152" t="s">
        <v>69</v>
      </c>
      <c r="BN152" t="s">
        <v>69</v>
      </c>
      <c r="BO152" t="s">
        <v>95</v>
      </c>
      <c r="BP152" t="s">
        <v>69</v>
      </c>
    </row>
    <row r="153" spans="1:68" x14ac:dyDescent="0.15">
      <c r="A153" t="s">
        <v>67</v>
      </c>
      <c r="B153" t="s">
        <v>2990</v>
      </c>
      <c r="C153" t="s">
        <v>69</v>
      </c>
      <c r="D153" t="s">
        <v>69</v>
      </c>
      <c r="E153" t="s">
        <v>69</v>
      </c>
      <c r="F153" t="s">
        <v>2991</v>
      </c>
      <c r="G153" t="s">
        <v>69</v>
      </c>
      <c r="H153" t="s">
        <v>69</v>
      </c>
      <c r="I153" t="s">
        <v>2992</v>
      </c>
      <c r="J153" t="s">
        <v>2993</v>
      </c>
      <c r="K153" t="s">
        <v>69</v>
      </c>
      <c r="L153" t="s">
        <v>69</v>
      </c>
      <c r="M153" t="s">
        <v>73</v>
      </c>
      <c r="N153" t="s">
        <v>74</v>
      </c>
      <c r="O153" t="s">
        <v>69</v>
      </c>
      <c r="P153" t="s">
        <v>69</v>
      </c>
      <c r="Q153" t="s">
        <v>69</v>
      </c>
      <c r="R153" t="s">
        <v>69</v>
      </c>
      <c r="S153" t="s">
        <v>69</v>
      </c>
      <c r="T153" t="s">
        <v>2994</v>
      </c>
      <c r="U153" t="s">
        <v>2995</v>
      </c>
      <c r="V153" t="s">
        <v>2996</v>
      </c>
      <c r="W153" t="s">
        <v>2997</v>
      </c>
      <c r="X153" t="s">
        <v>2998</v>
      </c>
      <c r="Y153" t="s">
        <v>2999</v>
      </c>
      <c r="Z153" t="s">
        <v>3000</v>
      </c>
      <c r="AA153" t="s">
        <v>69</v>
      </c>
      <c r="AB153" t="s">
        <v>69</v>
      </c>
      <c r="AC153" t="s">
        <v>69</v>
      </c>
      <c r="AD153" t="s">
        <v>69</v>
      </c>
      <c r="AE153">
        <v>24</v>
      </c>
      <c r="AF153">
        <v>9</v>
      </c>
      <c r="AG153">
        <v>9</v>
      </c>
      <c r="AH153">
        <v>0</v>
      </c>
      <c r="AI153">
        <v>10</v>
      </c>
      <c r="AJ153" t="s">
        <v>155</v>
      </c>
      <c r="AK153" t="s">
        <v>156</v>
      </c>
      <c r="AL153" t="s">
        <v>157</v>
      </c>
      <c r="AM153" t="s">
        <v>3001</v>
      </c>
      <c r="AN153" t="s">
        <v>3002</v>
      </c>
      <c r="AO153" t="s">
        <v>69</v>
      </c>
      <c r="AP153" t="s">
        <v>3003</v>
      </c>
      <c r="AQ153" t="s">
        <v>3004</v>
      </c>
      <c r="AR153" t="s">
        <v>511</v>
      </c>
      <c r="AS153">
        <v>2014</v>
      </c>
      <c r="AT153">
        <v>60</v>
      </c>
      <c r="AU153">
        <v>2</v>
      </c>
      <c r="AV153" t="s">
        <v>69</v>
      </c>
      <c r="AW153" t="s">
        <v>69</v>
      </c>
      <c r="AX153" t="s">
        <v>69</v>
      </c>
      <c r="AY153" t="s">
        <v>69</v>
      </c>
      <c r="AZ153">
        <v>175</v>
      </c>
      <c r="BA153">
        <v>177</v>
      </c>
      <c r="BB153" t="s">
        <v>69</v>
      </c>
      <c r="BC153" t="s">
        <v>3005</v>
      </c>
      <c r="BD153" t="s">
        <v>69</v>
      </c>
      <c r="BE153" t="s">
        <v>69</v>
      </c>
      <c r="BF153">
        <v>3</v>
      </c>
      <c r="BG153" t="s">
        <v>1213</v>
      </c>
      <c r="BH153" t="s">
        <v>1213</v>
      </c>
      <c r="BI153" t="s">
        <v>3006</v>
      </c>
      <c r="BJ153" t="s">
        <v>3007</v>
      </c>
      <c r="BK153">
        <v>23463802</v>
      </c>
      <c r="BL153" t="s">
        <v>69</v>
      </c>
      <c r="BM153" t="s">
        <v>69</v>
      </c>
      <c r="BN153" t="s">
        <v>69</v>
      </c>
      <c r="BO153" t="s">
        <v>95</v>
      </c>
      <c r="BP153" t="s">
        <v>69</v>
      </c>
    </row>
    <row r="154" spans="1:68" x14ac:dyDescent="0.15">
      <c r="A154" t="s">
        <v>67</v>
      </c>
      <c r="B154" t="s">
        <v>3008</v>
      </c>
      <c r="C154" t="s">
        <v>69</v>
      </c>
      <c r="D154" t="s">
        <v>69</v>
      </c>
      <c r="E154" t="s">
        <v>69</v>
      </c>
      <c r="F154" t="s">
        <v>3009</v>
      </c>
      <c r="G154" t="s">
        <v>69</v>
      </c>
      <c r="H154" t="s">
        <v>69</v>
      </c>
      <c r="I154" t="s">
        <v>3010</v>
      </c>
      <c r="J154" t="s">
        <v>2427</v>
      </c>
      <c r="K154" t="s">
        <v>69</v>
      </c>
      <c r="L154" t="s">
        <v>69</v>
      </c>
      <c r="M154" t="s">
        <v>73</v>
      </c>
      <c r="N154" t="s">
        <v>74</v>
      </c>
      <c r="O154" t="s">
        <v>69</v>
      </c>
      <c r="P154" t="s">
        <v>69</v>
      </c>
      <c r="Q154" t="s">
        <v>69</v>
      </c>
      <c r="R154" t="s">
        <v>69</v>
      </c>
      <c r="S154" t="s">
        <v>69</v>
      </c>
      <c r="T154" t="s">
        <v>3011</v>
      </c>
      <c r="U154" t="s">
        <v>3012</v>
      </c>
      <c r="V154" t="s">
        <v>3013</v>
      </c>
      <c r="W154" t="s">
        <v>3014</v>
      </c>
      <c r="X154" t="s">
        <v>3015</v>
      </c>
      <c r="Y154" t="s">
        <v>3016</v>
      </c>
      <c r="Z154" t="s">
        <v>69</v>
      </c>
      <c r="AA154" t="s">
        <v>2261</v>
      </c>
      <c r="AB154" t="s">
        <v>3017</v>
      </c>
      <c r="AC154" t="s">
        <v>69</v>
      </c>
      <c r="AD154" t="s">
        <v>69</v>
      </c>
      <c r="AE154">
        <v>84</v>
      </c>
      <c r="AF154">
        <v>57</v>
      </c>
      <c r="AG154">
        <v>57</v>
      </c>
      <c r="AH154">
        <v>1</v>
      </c>
      <c r="AI154">
        <v>23</v>
      </c>
      <c r="AJ154" t="s">
        <v>2434</v>
      </c>
      <c r="AK154" t="s">
        <v>1184</v>
      </c>
      <c r="AL154" t="s">
        <v>2435</v>
      </c>
      <c r="AM154" t="s">
        <v>2436</v>
      </c>
      <c r="AN154" t="s">
        <v>2437</v>
      </c>
      <c r="AO154" t="s">
        <v>69</v>
      </c>
      <c r="AP154" t="s">
        <v>2438</v>
      </c>
      <c r="AQ154" t="s">
        <v>2439</v>
      </c>
      <c r="AR154" t="s">
        <v>685</v>
      </c>
      <c r="AS154">
        <v>2014</v>
      </c>
      <c r="AT154">
        <v>20</v>
      </c>
      <c r="AU154">
        <v>1</v>
      </c>
      <c r="AV154" t="s">
        <v>69</v>
      </c>
      <c r="AW154" t="s">
        <v>69</v>
      </c>
      <c r="AX154" t="s">
        <v>69</v>
      </c>
      <c r="AY154" t="s">
        <v>69</v>
      </c>
      <c r="AZ154">
        <v>1</v>
      </c>
      <c r="BA154">
        <v>15</v>
      </c>
      <c r="BB154" t="s">
        <v>69</v>
      </c>
      <c r="BC154" t="s">
        <v>3018</v>
      </c>
      <c r="BD154" t="s">
        <v>69</v>
      </c>
      <c r="BE154" t="s">
        <v>69</v>
      </c>
      <c r="BF154">
        <v>15</v>
      </c>
      <c r="BG154" t="s">
        <v>2441</v>
      </c>
      <c r="BH154" t="s">
        <v>2442</v>
      </c>
      <c r="BI154" t="s">
        <v>3019</v>
      </c>
      <c r="BJ154" t="s">
        <v>3020</v>
      </c>
      <c r="BK154">
        <v>24099485</v>
      </c>
      <c r="BL154" t="s">
        <v>833</v>
      </c>
      <c r="BM154" t="s">
        <v>69</v>
      </c>
      <c r="BN154" t="s">
        <v>69</v>
      </c>
      <c r="BO154" t="s">
        <v>95</v>
      </c>
      <c r="BP154" t="s">
        <v>69</v>
      </c>
    </row>
    <row r="155" spans="1:68" x14ac:dyDescent="0.15">
      <c r="A155" t="s">
        <v>67</v>
      </c>
      <c r="B155" t="s">
        <v>3021</v>
      </c>
      <c r="C155" t="s">
        <v>69</v>
      </c>
      <c r="D155" t="s">
        <v>69</v>
      </c>
      <c r="E155" t="s">
        <v>69</v>
      </c>
      <c r="F155" t="s">
        <v>3022</v>
      </c>
      <c r="G155" t="s">
        <v>69</v>
      </c>
      <c r="H155" t="s">
        <v>69</v>
      </c>
      <c r="I155" t="s">
        <v>3023</v>
      </c>
      <c r="J155" t="s">
        <v>762</v>
      </c>
      <c r="K155" t="s">
        <v>69</v>
      </c>
      <c r="L155" t="s">
        <v>69</v>
      </c>
      <c r="M155" t="s">
        <v>73</v>
      </c>
      <c r="N155" t="s">
        <v>74</v>
      </c>
      <c r="O155" t="s">
        <v>69</v>
      </c>
      <c r="P155" t="s">
        <v>69</v>
      </c>
      <c r="Q155" t="s">
        <v>69</v>
      </c>
      <c r="R155" t="s">
        <v>69</v>
      </c>
      <c r="S155" t="s">
        <v>69</v>
      </c>
      <c r="T155" t="s">
        <v>3024</v>
      </c>
      <c r="U155" t="s">
        <v>3025</v>
      </c>
      <c r="V155" t="s">
        <v>3026</v>
      </c>
      <c r="W155" t="s">
        <v>3027</v>
      </c>
      <c r="X155" t="s">
        <v>3028</v>
      </c>
      <c r="Y155" t="s">
        <v>3029</v>
      </c>
      <c r="Z155" t="s">
        <v>3030</v>
      </c>
      <c r="AA155" t="s">
        <v>3031</v>
      </c>
      <c r="AB155" t="s">
        <v>69</v>
      </c>
      <c r="AC155" t="s">
        <v>69</v>
      </c>
      <c r="AD155" t="s">
        <v>69</v>
      </c>
      <c r="AE155">
        <v>46</v>
      </c>
      <c r="AF155">
        <v>20</v>
      </c>
      <c r="AG155">
        <v>20</v>
      </c>
      <c r="AH155">
        <v>0</v>
      </c>
      <c r="AI155">
        <v>22</v>
      </c>
      <c r="AJ155" t="s">
        <v>771</v>
      </c>
      <c r="AK155" t="s">
        <v>772</v>
      </c>
      <c r="AL155" t="s">
        <v>773</v>
      </c>
      <c r="AM155" t="s">
        <v>774</v>
      </c>
      <c r="AN155" t="s">
        <v>775</v>
      </c>
      <c r="AO155" t="s">
        <v>69</v>
      </c>
      <c r="AP155" t="s">
        <v>776</v>
      </c>
      <c r="AQ155" t="s">
        <v>777</v>
      </c>
      <c r="AR155" t="s">
        <v>685</v>
      </c>
      <c r="AS155">
        <v>2014</v>
      </c>
      <c r="AT155">
        <v>38</v>
      </c>
      <c r="AU155" t="s">
        <v>69</v>
      </c>
      <c r="AV155" t="s">
        <v>69</v>
      </c>
      <c r="AW155" t="s">
        <v>69</v>
      </c>
      <c r="AX155" t="s">
        <v>69</v>
      </c>
      <c r="AY155" t="s">
        <v>69</v>
      </c>
      <c r="AZ155">
        <v>120</v>
      </c>
      <c r="BA155">
        <v>132</v>
      </c>
      <c r="BB155" t="s">
        <v>69</v>
      </c>
      <c r="BC155" t="s">
        <v>3032</v>
      </c>
      <c r="BD155" t="s">
        <v>69</v>
      </c>
      <c r="BE155" t="s">
        <v>69</v>
      </c>
      <c r="BF155">
        <v>13</v>
      </c>
      <c r="BG155" t="s">
        <v>779</v>
      </c>
      <c r="BH155" t="s">
        <v>780</v>
      </c>
      <c r="BI155" t="s">
        <v>3033</v>
      </c>
      <c r="BJ155" t="s">
        <v>3034</v>
      </c>
      <c r="BK155" t="s">
        <v>69</v>
      </c>
      <c r="BL155" t="s">
        <v>69</v>
      </c>
      <c r="BM155" t="s">
        <v>69</v>
      </c>
      <c r="BN155" t="s">
        <v>69</v>
      </c>
      <c r="BO155" t="s">
        <v>95</v>
      </c>
      <c r="BP155" t="s">
        <v>69</v>
      </c>
    </row>
    <row r="156" spans="1:68" x14ac:dyDescent="0.15">
      <c r="A156" t="s">
        <v>67</v>
      </c>
      <c r="B156" t="s">
        <v>3035</v>
      </c>
      <c r="C156" t="s">
        <v>69</v>
      </c>
      <c r="D156" t="s">
        <v>69</v>
      </c>
      <c r="E156" t="s">
        <v>69</v>
      </c>
      <c r="F156" t="s">
        <v>3036</v>
      </c>
      <c r="G156" t="s">
        <v>69</v>
      </c>
      <c r="H156" t="s">
        <v>69</v>
      </c>
      <c r="I156" t="s">
        <v>3037</v>
      </c>
      <c r="J156" t="s">
        <v>3038</v>
      </c>
      <c r="K156" t="s">
        <v>69</v>
      </c>
      <c r="L156" t="s">
        <v>69</v>
      </c>
      <c r="M156" t="s">
        <v>73</v>
      </c>
      <c r="N156" t="s">
        <v>74</v>
      </c>
      <c r="O156" t="s">
        <v>69</v>
      </c>
      <c r="P156" t="s">
        <v>69</v>
      </c>
      <c r="Q156" t="s">
        <v>69</v>
      </c>
      <c r="R156" t="s">
        <v>69</v>
      </c>
      <c r="S156" t="s">
        <v>69</v>
      </c>
      <c r="T156" t="s">
        <v>69</v>
      </c>
      <c r="U156" t="s">
        <v>3039</v>
      </c>
      <c r="V156" t="s">
        <v>3040</v>
      </c>
      <c r="W156" t="s">
        <v>3041</v>
      </c>
      <c r="X156" t="s">
        <v>3042</v>
      </c>
      <c r="Y156" t="s">
        <v>69</v>
      </c>
      <c r="Z156" t="s">
        <v>69</v>
      </c>
      <c r="AA156" t="s">
        <v>69</v>
      </c>
      <c r="AB156" t="s">
        <v>69</v>
      </c>
      <c r="AC156" t="s">
        <v>69</v>
      </c>
      <c r="AD156" t="s">
        <v>69</v>
      </c>
      <c r="AE156">
        <v>82</v>
      </c>
      <c r="AF156">
        <v>4</v>
      </c>
      <c r="AG156">
        <v>4</v>
      </c>
      <c r="AH156">
        <v>0</v>
      </c>
      <c r="AI156">
        <v>10</v>
      </c>
      <c r="AJ156" t="s">
        <v>180</v>
      </c>
      <c r="AK156" t="s">
        <v>181</v>
      </c>
      <c r="AL156" t="s">
        <v>182</v>
      </c>
      <c r="AM156" t="s">
        <v>3043</v>
      </c>
      <c r="AN156" t="s">
        <v>3044</v>
      </c>
      <c r="AO156" t="s">
        <v>69</v>
      </c>
      <c r="AP156" t="s">
        <v>3045</v>
      </c>
      <c r="AQ156" t="s">
        <v>3046</v>
      </c>
      <c r="AR156" t="s">
        <v>1374</v>
      </c>
      <c r="AS156">
        <v>2013</v>
      </c>
      <c r="AT156">
        <v>47</v>
      </c>
      <c r="AU156">
        <v>3</v>
      </c>
      <c r="AV156" t="s">
        <v>69</v>
      </c>
      <c r="AW156" t="s">
        <v>69</v>
      </c>
      <c r="AX156" t="s">
        <v>69</v>
      </c>
      <c r="AY156" t="s">
        <v>69</v>
      </c>
      <c r="AZ156">
        <v>686</v>
      </c>
      <c r="BA156">
        <v>729</v>
      </c>
      <c r="BB156" t="s">
        <v>69</v>
      </c>
      <c r="BC156" t="s">
        <v>3047</v>
      </c>
      <c r="BD156" t="s">
        <v>69</v>
      </c>
      <c r="BE156" t="s">
        <v>69</v>
      </c>
      <c r="BF156">
        <v>44</v>
      </c>
      <c r="BG156" t="s">
        <v>604</v>
      </c>
      <c r="BH156" t="s">
        <v>604</v>
      </c>
      <c r="BI156" t="s">
        <v>3048</v>
      </c>
      <c r="BJ156" t="s">
        <v>3049</v>
      </c>
      <c r="BK156" t="s">
        <v>69</v>
      </c>
      <c r="BL156" t="s">
        <v>69</v>
      </c>
      <c r="BM156" t="s">
        <v>69</v>
      </c>
      <c r="BN156" t="s">
        <v>69</v>
      </c>
      <c r="BO156" t="s">
        <v>95</v>
      </c>
      <c r="BP156" t="s">
        <v>69</v>
      </c>
    </row>
    <row r="157" spans="1:68" x14ac:dyDescent="0.15">
      <c r="A157" t="s">
        <v>67</v>
      </c>
      <c r="B157" t="s">
        <v>3050</v>
      </c>
      <c r="C157" t="s">
        <v>69</v>
      </c>
      <c r="D157" t="s">
        <v>69</v>
      </c>
      <c r="E157" t="s">
        <v>69</v>
      </c>
      <c r="F157" t="s">
        <v>3051</v>
      </c>
      <c r="G157" t="s">
        <v>69</v>
      </c>
      <c r="H157" t="s">
        <v>69</v>
      </c>
      <c r="I157" t="s">
        <v>3052</v>
      </c>
      <c r="J157" t="s">
        <v>365</v>
      </c>
      <c r="K157" t="s">
        <v>69</v>
      </c>
      <c r="L157" t="s">
        <v>69</v>
      </c>
      <c r="M157" t="s">
        <v>73</v>
      </c>
      <c r="N157" t="s">
        <v>74</v>
      </c>
      <c r="O157" t="s">
        <v>69</v>
      </c>
      <c r="P157" t="s">
        <v>69</v>
      </c>
      <c r="Q157" t="s">
        <v>69</v>
      </c>
      <c r="R157" t="s">
        <v>69</v>
      </c>
      <c r="S157" t="s">
        <v>69</v>
      </c>
      <c r="T157" t="s">
        <v>3053</v>
      </c>
      <c r="U157" t="s">
        <v>3054</v>
      </c>
      <c r="V157" t="s">
        <v>3055</v>
      </c>
      <c r="W157" t="s">
        <v>3056</v>
      </c>
      <c r="X157" t="s">
        <v>3057</v>
      </c>
      <c r="Y157" t="s">
        <v>3058</v>
      </c>
      <c r="Z157" t="s">
        <v>69</v>
      </c>
      <c r="AA157" t="s">
        <v>3059</v>
      </c>
      <c r="AB157" t="s">
        <v>3060</v>
      </c>
      <c r="AC157" t="s">
        <v>69</v>
      </c>
      <c r="AD157" t="s">
        <v>69</v>
      </c>
      <c r="AE157">
        <v>43</v>
      </c>
      <c r="AF157">
        <v>5</v>
      </c>
      <c r="AG157">
        <v>5</v>
      </c>
      <c r="AH157">
        <v>0</v>
      </c>
      <c r="AI157">
        <v>33</v>
      </c>
      <c r="AJ157" t="s">
        <v>223</v>
      </c>
      <c r="AK157" t="s">
        <v>224</v>
      </c>
      <c r="AL157" t="s">
        <v>225</v>
      </c>
      <c r="AM157" t="s">
        <v>375</v>
      </c>
      <c r="AN157" t="s">
        <v>376</v>
      </c>
      <c r="AO157" t="s">
        <v>69</v>
      </c>
      <c r="AP157" t="s">
        <v>377</v>
      </c>
      <c r="AQ157" t="s">
        <v>378</v>
      </c>
      <c r="AR157" t="s">
        <v>1374</v>
      </c>
      <c r="AS157">
        <v>2013</v>
      </c>
      <c r="AT157">
        <v>52</v>
      </c>
      <c r="AU157" t="s">
        <v>3061</v>
      </c>
      <c r="AV157" t="s">
        <v>69</v>
      </c>
      <c r="AW157" t="s">
        <v>69</v>
      </c>
      <c r="AX157" t="s">
        <v>69</v>
      </c>
      <c r="AY157" t="s">
        <v>69</v>
      </c>
      <c r="AZ157">
        <v>185</v>
      </c>
      <c r="BA157">
        <v>196</v>
      </c>
      <c r="BB157" t="s">
        <v>69</v>
      </c>
      <c r="BC157" t="s">
        <v>3062</v>
      </c>
      <c r="BD157" t="s">
        <v>69</v>
      </c>
      <c r="BE157" t="s">
        <v>69</v>
      </c>
      <c r="BF157">
        <v>12</v>
      </c>
      <c r="BG157" t="s">
        <v>381</v>
      </c>
      <c r="BH157" t="s">
        <v>382</v>
      </c>
      <c r="BI157" t="s">
        <v>3063</v>
      </c>
      <c r="BJ157" t="s">
        <v>3064</v>
      </c>
      <c r="BK157">
        <v>23817792</v>
      </c>
      <c r="BL157" t="s">
        <v>69</v>
      </c>
      <c r="BM157" t="s">
        <v>69</v>
      </c>
      <c r="BN157" t="s">
        <v>69</v>
      </c>
      <c r="BO157" t="s">
        <v>95</v>
      </c>
      <c r="BP157" t="s">
        <v>69</v>
      </c>
    </row>
    <row r="158" spans="1:68" x14ac:dyDescent="0.15">
      <c r="A158" t="s">
        <v>67</v>
      </c>
      <c r="B158" t="s">
        <v>3065</v>
      </c>
      <c r="C158" t="s">
        <v>69</v>
      </c>
      <c r="D158" t="s">
        <v>69</v>
      </c>
      <c r="E158" t="s">
        <v>69</v>
      </c>
      <c r="F158" t="s">
        <v>3066</v>
      </c>
      <c r="G158" t="s">
        <v>69</v>
      </c>
      <c r="H158" t="s">
        <v>69</v>
      </c>
      <c r="I158" t="s">
        <v>3067</v>
      </c>
      <c r="J158" t="s">
        <v>1966</v>
      </c>
      <c r="K158" t="s">
        <v>69</v>
      </c>
      <c r="L158" t="s">
        <v>69</v>
      </c>
      <c r="M158" t="s">
        <v>73</v>
      </c>
      <c r="N158" t="s">
        <v>74</v>
      </c>
      <c r="O158" t="s">
        <v>69</v>
      </c>
      <c r="P158" t="s">
        <v>69</v>
      </c>
      <c r="Q158" t="s">
        <v>69</v>
      </c>
      <c r="R158" t="s">
        <v>69</v>
      </c>
      <c r="S158" t="s">
        <v>69</v>
      </c>
      <c r="T158" t="s">
        <v>3068</v>
      </c>
      <c r="U158" t="s">
        <v>3069</v>
      </c>
      <c r="V158" t="s">
        <v>3070</v>
      </c>
      <c r="W158" t="s">
        <v>3071</v>
      </c>
      <c r="X158" t="s">
        <v>3072</v>
      </c>
      <c r="Y158" t="s">
        <v>3073</v>
      </c>
      <c r="Z158" t="s">
        <v>3074</v>
      </c>
      <c r="AA158" t="s">
        <v>3075</v>
      </c>
      <c r="AB158" t="s">
        <v>3076</v>
      </c>
      <c r="AC158" t="s">
        <v>3077</v>
      </c>
      <c r="AD158" t="s">
        <v>69</v>
      </c>
      <c r="AE158">
        <v>37</v>
      </c>
      <c r="AF158">
        <v>12</v>
      </c>
      <c r="AG158">
        <v>12</v>
      </c>
      <c r="AH158">
        <v>0</v>
      </c>
      <c r="AI158">
        <v>11</v>
      </c>
      <c r="AJ158" t="s">
        <v>180</v>
      </c>
      <c r="AK158" t="s">
        <v>181</v>
      </c>
      <c r="AL158" t="s">
        <v>182</v>
      </c>
      <c r="AM158" t="s">
        <v>1974</v>
      </c>
      <c r="AN158" t="s">
        <v>1975</v>
      </c>
      <c r="AO158" t="s">
        <v>69</v>
      </c>
      <c r="AP158" t="s">
        <v>1976</v>
      </c>
      <c r="AQ158" t="s">
        <v>1977</v>
      </c>
      <c r="AR158" t="s">
        <v>88</v>
      </c>
      <c r="AS158">
        <v>2013</v>
      </c>
      <c r="AT158">
        <v>24</v>
      </c>
      <c r="AU158">
        <v>2</v>
      </c>
      <c r="AV158" t="s">
        <v>69</v>
      </c>
      <c r="AW158" t="s">
        <v>69</v>
      </c>
      <c r="AX158" t="s">
        <v>69</v>
      </c>
      <c r="AY158" t="s">
        <v>69</v>
      </c>
      <c r="AZ158">
        <v>134</v>
      </c>
      <c r="BA158">
        <v>143</v>
      </c>
      <c r="BB158" t="s">
        <v>69</v>
      </c>
      <c r="BC158" t="s">
        <v>3078</v>
      </c>
      <c r="BD158" t="s">
        <v>69</v>
      </c>
      <c r="BE158" t="s">
        <v>69</v>
      </c>
      <c r="BF158">
        <v>10</v>
      </c>
      <c r="BG158" t="s">
        <v>1979</v>
      </c>
      <c r="BH158" t="s">
        <v>1979</v>
      </c>
      <c r="BI158" t="s">
        <v>3079</v>
      </c>
      <c r="BJ158" t="s">
        <v>3080</v>
      </c>
      <c r="BK158">
        <v>23361579</v>
      </c>
      <c r="BL158" t="s">
        <v>833</v>
      </c>
      <c r="BM158" t="s">
        <v>69</v>
      </c>
      <c r="BN158" t="s">
        <v>69</v>
      </c>
      <c r="BO158" t="s">
        <v>95</v>
      </c>
      <c r="BP158" t="s">
        <v>69</v>
      </c>
    </row>
    <row r="159" spans="1:68" x14ac:dyDescent="0.15">
      <c r="A159" t="s">
        <v>67</v>
      </c>
      <c r="B159" t="s">
        <v>3081</v>
      </c>
      <c r="C159" t="s">
        <v>69</v>
      </c>
      <c r="D159" t="s">
        <v>69</v>
      </c>
      <c r="E159" t="s">
        <v>69</v>
      </c>
      <c r="F159" t="s">
        <v>3082</v>
      </c>
      <c r="G159" t="s">
        <v>69</v>
      </c>
      <c r="H159" t="s">
        <v>69</v>
      </c>
      <c r="I159" t="s">
        <v>3083</v>
      </c>
      <c r="J159" t="s">
        <v>3084</v>
      </c>
      <c r="K159" t="s">
        <v>69</v>
      </c>
      <c r="L159" t="s">
        <v>69</v>
      </c>
      <c r="M159" t="s">
        <v>73</v>
      </c>
      <c r="N159" t="s">
        <v>74</v>
      </c>
      <c r="O159" t="s">
        <v>69</v>
      </c>
      <c r="P159" t="s">
        <v>69</v>
      </c>
      <c r="Q159" t="s">
        <v>69</v>
      </c>
      <c r="R159" t="s">
        <v>69</v>
      </c>
      <c r="S159" t="s">
        <v>69</v>
      </c>
      <c r="T159" t="s">
        <v>3085</v>
      </c>
      <c r="U159" t="s">
        <v>3086</v>
      </c>
      <c r="V159" t="s">
        <v>3087</v>
      </c>
      <c r="W159" t="s">
        <v>3088</v>
      </c>
      <c r="X159" t="s">
        <v>3089</v>
      </c>
      <c r="Y159" t="s">
        <v>3090</v>
      </c>
      <c r="Z159" t="s">
        <v>69</v>
      </c>
      <c r="AA159" t="s">
        <v>69</v>
      </c>
      <c r="AB159" t="s">
        <v>69</v>
      </c>
      <c r="AC159" t="s">
        <v>69</v>
      </c>
      <c r="AD159" t="s">
        <v>69</v>
      </c>
      <c r="AE159">
        <v>45</v>
      </c>
      <c r="AF159">
        <v>41</v>
      </c>
      <c r="AG159">
        <v>41</v>
      </c>
      <c r="AH159">
        <v>0</v>
      </c>
      <c r="AI159">
        <v>31</v>
      </c>
      <c r="AJ159" t="s">
        <v>1183</v>
      </c>
      <c r="AK159" t="s">
        <v>1184</v>
      </c>
      <c r="AL159" t="s">
        <v>1185</v>
      </c>
      <c r="AM159" t="s">
        <v>3091</v>
      </c>
      <c r="AN159" t="s">
        <v>3092</v>
      </c>
      <c r="AO159" t="s">
        <v>69</v>
      </c>
      <c r="AP159" t="s">
        <v>3093</v>
      </c>
      <c r="AQ159" t="s">
        <v>3094</v>
      </c>
      <c r="AR159" t="s">
        <v>88</v>
      </c>
      <c r="AS159">
        <v>2013</v>
      </c>
      <c r="AT159">
        <v>60</v>
      </c>
      <c r="AU159">
        <v>2</v>
      </c>
      <c r="AV159" t="s">
        <v>69</v>
      </c>
      <c r="AW159" t="s">
        <v>69</v>
      </c>
      <c r="AX159" t="s">
        <v>69</v>
      </c>
      <c r="AY159" t="s">
        <v>69</v>
      </c>
      <c r="AZ159">
        <v>251</v>
      </c>
      <c r="BA159">
        <v>264</v>
      </c>
      <c r="BB159" t="s">
        <v>69</v>
      </c>
      <c r="BC159" t="s">
        <v>3095</v>
      </c>
      <c r="BD159" t="s">
        <v>69</v>
      </c>
      <c r="BE159" t="s">
        <v>69</v>
      </c>
      <c r="BF159">
        <v>14</v>
      </c>
      <c r="BG159" t="s">
        <v>3096</v>
      </c>
      <c r="BH159" t="s">
        <v>288</v>
      </c>
      <c r="BI159" t="s">
        <v>3097</v>
      </c>
      <c r="BJ159" t="s">
        <v>3098</v>
      </c>
      <c r="BK159">
        <v>23421773</v>
      </c>
      <c r="BL159" t="s">
        <v>69</v>
      </c>
      <c r="BM159" t="s">
        <v>69</v>
      </c>
      <c r="BN159" t="s">
        <v>69</v>
      </c>
      <c r="BO159" t="s">
        <v>95</v>
      </c>
      <c r="BP159" t="s">
        <v>69</v>
      </c>
    </row>
    <row r="160" spans="1:68" x14ac:dyDescent="0.15">
      <c r="A160" t="s">
        <v>67</v>
      </c>
      <c r="B160" t="s">
        <v>2386</v>
      </c>
      <c r="C160" t="s">
        <v>69</v>
      </c>
      <c r="D160" t="s">
        <v>69</v>
      </c>
      <c r="E160" t="s">
        <v>69</v>
      </c>
      <c r="F160" t="s">
        <v>2387</v>
      </c>
      <c r="G160" t="s">
        <v>69</v>
      </c>
      <c r="H160" t="s">
        <v>69</v>
      </c>
      <c r="I160" t="s">
        <v>3099</v>
      </c>
      <c r="J160" t="s">
        <v>1669</v>
      </c>
      <c r="K160" t="s">
        <v>69</v>
      </c>
      <c r="L160" t="s">
        <v>69</v>
      </c>
      <c r="M160" t="s">
        <v>73</v>
      </c>
      <c r="N160" t="s">
        <v>74</v>
      </c>
      <c r="O160" t="s">
        <v>69</v>
      </c>
      <c r="P160" t="s">
        <v>69</v>
      </c>
      <c r="Q160" t="s">
        <v>69</v>
      </c>
      <c r="R160" t="s">
        <v>69</v>
      </c>
      <c r="S160" t="s">
        <v>69</v>
      </c>
      <c r="T160" t="s">
        <v>3100</v>
      </c>
      <c r="U160" t="s">
        <v>3101</v>
      </c>
      <c r="V160" t="s">
        <v>3102</v>
      </c>
      <c r="W160" t="s">
        <v>3103</v>
      </c>
      <c r="X160" t="s">
        <v>3104</v>
      </c>
      <c r="Y160" t="s">
        <v>2193</v>
      </c>
      <c r="Z160" t="s">
        <v>2194</v>
      </c>
      <c r="AA160" t="s">
        <v>2195</v>
      </c>
      <c r="AB160" t="s">
        <v>69</v>
      </c>
      <c r="AC160" t="s">
        <v>69</v>
      </c>
      <c r="AD160" t="s">
        <v>69</v>
      </c>
      <c r="AE160">
        <v>54</v>
      </c>
      <c r="AF160">
        <v>39</v>
      </c>
      <c r="AG160">
        <v>39</v>
      </c>
      <c r="AH160">
        <v>2</v>
      </c>
      <c r="AI160">
        <v>67</v>
      </c>
      <c r="AJ160" t="s">
        <v>108</v>
      </c>
      <c r="AK160" t="s">
        <v>109</v>
      </c>
      <c r="AL160" t="s">
        <v>110</v>
      </c>
      <c r="AM160" t="s">
        <v>1678</v>
      </c>
      <c r="AN160" t="s">
        <v>1679</v>
      </c>
      <c r="AO160" t="s">
        <v>69</v>
      </c>
      <c r="AP160" t="s">
        <v>1680</v>
      </c>
      <c r="AQ160" t="s">
        <v>1681</v>
      </c>
      <c r="AR160" t="s">
        <v>3105</v>
      </c>
      <c r="AS160">
        <v>2013</v>
      </c>
      <c r="AT160">
        <v>80</v>
      </c>
      <c r="AU160">
        <v>1</v>
      </c>
      <c r="AV160" t="s">
        <v>69</v>
      </c>
      <c r="AW160" t="s">
        <v>69</v>
      </c>
      <c r="AX160" t="s">
        <v>69</v>
      </c>
      <c r="AY160" t="s">
        <v>69</v>
      </c>
      <c r="AZ160">
        <v>46</v>
      </c>
      <c r="BA160">
        <v>62</v>
      </c>
      <c r="BB160" t="s">
        <v>69</v>
      </c>
      <c r="BC160" t="s">
        <v>3106</v>
      </c>
      <c r="BD160" t="s">
        <v>69</v>
      </c>
      <c r="BE160" t="s">
        <v>69</v>
      </c>
      <c r="BF160">
        <v>17</v>
      </c>
      <c r="BG160" t="s">
        <v>117</v>
      </c>
      <c r="BH160" t="s">
        <v>117</v>
      </c>
      <c r="BI160" t="s">
        <v>3107</v>
      </c>
      <c r="BJ160" t="s">
        <v>3108</v>
      </c>
      <c r="BK160" t="s">
        <v>69</v>
      </c>
      <c r="BL160" t="s">
        <v>69</v>
      </c>
      <c r="BM160" t="s">
        <v>69</v>
      </c>
      <c r="BN160" t="s">
        <v>69</v>
      </c>
      <c r="BO160" t="s">
        <v>95</v>
      </c>
      <c r="BP160" t="s">
        <v>69</v>
      </c>
    </row>
    <row r="161" spans="1:68" x14ac:dyDescent="0.15">
      <c r="A161" t="s">
        <v>67</v>
      </c>
      <c r="B161" t="s">
        <v>3109</v>
      </c>
      <c r="C161" t="s">
        <v>69</v>
      </c>
      <c r="D161" t="s">
        <v>69</v>
      </c>
      <c r="E161" t="s">
        <v>69</v>
      </c>
      <c r="F161" t="s">
        <v>3110</v>
      </c>
      <c r="G161" t="s">
        <v>69</v>
      </c>
      <c r="H161" t="s">
        <v>69</v>
      </c>
      <c r="I161" t="s">
        <v>3111</v>
      </c>
      <c r="J161" t="s">
        <v>3112</v>
      </c>
      <c r="K161" t="s">
        <v>69</v>
      </c>
      <c r="L161" t="s">
        <v>69</v>
      </c>
      <c r="M161" t="s">
        <v>73</v>
      </c>
      <c r="N161" t="s">
        <v>74</v>
      </c>
      <c r="O161" t="s">
        <v>69</v>
      </c>
      <c r="P161" t="s">
        <v>69</v>
      </c>
      <c r="Q161" t="s">
        <v>69</v>
      </c>
      <c r="R161" t="s">
        <v>69</v>
      </c>
      <c r="S161" t="s">
        <v>69</v>
      </c>
      <c r="T161" t="s">
        <v>3113</v>
      </c>
      <c r="U161" t="s">
        <v>3114</v>
      </c>
      <c r="V161" t="s">
        <v>3115</v>
      </c>
      <c r="W161" t="s">
        <v>3116</v>
      </c>
      <c r="X161" t="s">
        <v>3117</v>
      </c>
      <c r="Y161" t="s">
        <v>3118</v>
      </c>
      <c r="Z161" t="s">
        <v>3119</v>
      </c>
      <c r="AA161" t="s">
        <v>3120</v>
      </c>
      <c r="AB161" t="s">
        <v>69</v>
      </c>
      <c r="AC161" t="s">
        <v>69</v>
      </c>
      <c r="AD161" t="s">
        <v>69</v>
      </c>
      <c r="AE161">
        <v>41</v>
      </c>
      <c r="AF161">
        <v>2</v>
      </c>
      <c r="AG161">
        <v>2</v>
      </c>
      <c r="AH161">
        <v>2</v>
      </c>
      <c r="AI161">
        <v>43</v>
      </c>
      <c r="AJ161" t="s">
        <v>2471</v>
      </c>
      <c r="AK161" t="s">
        <v>2472</v>
      </c>
      <c r="AL161" t="s">
        <v>2473</v>
      </c>
      <c r="AM161" t="s">
        <v>3121</v>
      </c>
      <c r="AN161" t="s">
        <v>69</v>
      </c>
      <c r="AO161" t="s">
        <v>69</v>
      </c>
      <c r="AP161" t="s">
        <v>3122</v>
      </c>
      <c r="AQ161" t="s">
        <v>3123</v>
      </c>
      <c r="AR161" t="s">
        <v>511</v>
      </c>
      <c r="AS161">
        <v>2013</v>
      </c>
      <c r="AT161">
        <v>74</v>
      </c>
      <c r="AU161" t="s">
        <v>69</v>
      </c>
      <c r="AV161" t="s">
        <v>69</v>
      </c>
      <c r="AW161" t="s">
        <v>69</v>
      </c>
      <c r="AX161" t="s">
        <v>69</v>
      </c>
      <c r="AY161" t="s">
        <v>69</v>
      </c>
      <c r="AZ161">
        <v>27</v>
      </c>
      <c r="BA161">
        <v>46</v>
      </c>
      <c r="BB161" t="s">
        <v>69</v>
      </c>
      <c r="BC161" t="s">
        <v>3124</v>
      </c>
      <c r="BD161" t="s">
        <v>69</v>
      </c>
      <c r="BE161" t="s">
        <v>69</v>
      </c>
      <c r="BF161">
        <v>20</v>
      </c>
      <c r="BG161" t="s">
        <v>3125</v>
      </c>
      <c r="BH161" t="s">
        <v>3126</v>
      </c>
      <c r="BI161" t="s">
        <v>3127</v>
      </c>
      <c r="BJ161" t="s">
        <v>3128</v>
      </c>
      <c r="BK161" t="s">
        <v>69</v>
      </c>
      <c r="BL161" t="s">
        <v>69</v>
      </c>
      <c r="BM161" t="s">
        <v>69</v>
      </c>
      <c r="BN161" t="s">
        <v>69</v>
      </c>
      <c r="BO161" t="s">
        <v>95</v>
      </c>
      <c r="BP161" t="s">
        <v>69</v>
      </c>
    </row>
    <row r="162" spans="1:68" x14ac:dyDescent="0.15">
      <c r="A162" t="s">
        <v>67</v>
      </c>
      <c r="B162" t="s">
        <v>3129</v>
      </c>
      <c r="C162" t="s">
        <v>69</v>
      </c>
      <c r="D162" t="s">
        <v>69</v>
      </c>
      <c r="E162" t="s">
        <v>69</v>
      </c>
      <c r="F162" t="s">
        <v>3130</v>
      </c>
      <c r="G162" t="s">
        <v>69</v>
      </c>
      <c r="H162" t="s">
        <v>69</v>
      </c>
      <c r="I162" t="s">
        <v>3131</v>
      </c>
      <c r="J162" t="s">
        <v>3132</v>
      </c>
      <c r="K162" t="s">
        <v>69</v>
      </c>
      <c r="L162" t="s">
        <v>69</v>
      </c>
      <c r="M162" t="s">
        <v>73</v>
      </c>
      <c r="N162" t="s">
        <v>2244</v>
      </c>
      <c r="O162" t="s">
        <v>69</v>
      </c>
      <c r="P162" t="s">
        <v>69</v>
      </c>
      <c r="Q162" t="s">
        <v>69</v>
      </c>
      <c r="R162" t="s">
        <v>69</v>
      </c>
      <c r="S162" t="s">
        <v>69</v>
      </c>
      <c r="T162" t="s">
        <v>3133</v>
      </c>
      <c r="U162" t="s">
        <v>3134</v>
      </c>
      <c r="V162" t="s">
        <v>3135</v>
      </c>
      <c r="W162" t="s">
        <v>3136</v>
      </c>
      <c r="X162" t="s">
        <v>3137</v>
      </c>
      <c r="Y162" t="s">
        <v>3138</v>
      </c>
      <c r="Z162" t="s">
        <v>69</v>
      </c>
      <c r="AA162" t="s">
        <v>3139</v>
      </c>
      <c r="AB162" t="s">
        <v>3140</v>
      </c>
      <c r="AC162" t="s">
        <v>69</v>
      </c>
      <c r="AD162" t="s">
        <v>69</v>
      </c>
      <c r="AE162">
        <v>68</v>
      </c>
      <c r="AF162">
        <v>18</v>
      </c>
      <c r="AG162">
        <v>19</v>
      </c>
      <c r="AH162">
        <v>0</v>
      </c>
      <c r="AI162">
        <v>39</v>
      </c>
      <c r="AJ162" t="s">
        <v>1087</v>
      </c>
      <c r="AK162" t="s">
        <v>1088</v>
      </c>
      <c r="AL162" t="s">
        <v>1089</v>
      </c>
      <c r="AM162" t="s">
        <v>3141</v>
      </c>
      <c r="AN162" t="s">
        <v>3142</v>
      </c>
      <c r="AO162" t="s">
        <v>69</v>
      </c>
      <c r="AP162" t="s">
        <v>3143</v>
      </c>
      <c r="AQ162" t="s">
        <v>3144</v>
      </c>
      <c r="AR162" t="s">
        <v>3145</v>
      </c>
      <c r="AS162">
        <v>2013</v>
      </c>
      <c r="AT162">
        <v>177</v>
      </c>
      <c r="AU162">
        <v>4</v>
      </c>
      <c r="AV162" t="s">
        <v>69</v>
      </c>
      <c r="AW162" t="s">
        <v>69</v>
      </c>
      <c r="AX162" t="s">
        <v>69</v>
      </c>
      <c r="AY162" t="s">
        <v>69</v>
      </c>
      <c r="AZ162">
        <v>310</v>
      </c>
      <c r="BA162">
        <v>315</v>
      </c>
      <c r="BB162" t="s">
        <v>69</v>
      </c>
      <c r="BC162" t="s">
        <v>3146</v>
      </c>
      <c r="BD162" t="s">
        <v>69</v>
      </c>
      <c r="BE162" t="s">
        <v>69</v>
      </c>
      <c r="BF162">
        <v>6</v>
      </c>
      <c r="BG162" t="s">
        <v>424</v>
      </c>
      <c r="BH162" t="s">
        <v>424</v>
      </c>
      <c r="BI162" t="s">
        <v>3147</v>
      </c>
      <c r="BJ162" t="s">
        <v>3148</v>
      </c>
      <c r="BK162">
        <v>23337313</v>
      </c>
      <c r="BL162" t="s">
        <v>1260</v>
      </c>
      <c r="BM162" t="s">
        <v>69</v>
      </c>
      <c r="BN162" t="s">
        <v>69</v>
      </c>
      <c r="BO162" t="s">
        <v>95</v>
      </c>
      <c r="BP162" t="s">
        <v>69</v>
      </c>
    </row>
    <row r="163" spans="1:68" x14ac:dyDescent="0.15">
      <c r="A163" t="s">
        <v>67</v>
      </c>
      <c r="B163" t="s">
        <v>3149</v>
      </c>
      <c r="C163" t="s">
        <v>69</v>
      </c>
      <c r="D163" t="s">
        <v>69</v>
      </c>
      <c r="E163" t="s">
        <v>69</v>
      </c>
      <c r="F163" t="s">
        <v>3150</v>
      </c>
      <c r="G163" t="s">
        <v>69</v>
      </c>
      <c r="H163" t="s">
        <v>69</v>
      </c>
      <c r="I163" t="s">
        <v>3151</v>
      </c>
      <c r="J163" t="s">
        <v>2606</v>
      </c>
      <c r="K163" t="s">
        <v>69</v>
      </c>
      <c r="L163" t="s">
        <v>69</v>
      </c>
      <c r="M163" t="s">
        <v>73</v>
      </c>
      <c r="N163" t="s">
        <v>74</v>
      </c>
      <c r="O163" t="s">
        <v>69</v>
      </c>
      <c r="P163" t="s">
        <v>69</v>
      </c>
      <c r="Q163" t="s">
        <v>69</v>
      </c>
      <c r="R163" t="s">
        <v>69</v>
      </c>
      <c r="S163" t="s">
        <v>69</v>
      </c>
      <c r="T163" t="s">
        <v>3152</v>
      </c>
      <c r="U163" t="s">
        <v>3153</v>
      </c>
      <c r="V163" t="s">
        <v>3154</v>
      </c>
      <c r="W163" t="s">
        <v>3155</v>
      </c>
      <c r="X163" t="s">
        <v>3156</v>
      </c>
      <c r="Y163" t="s">
        <v>3157</v>
      </c>
      <c r="Z163" t="s">
        <v>69</v>
      </c>
      <c r="AA163" t="s">
        <v>69</v>
      </c>
      <c r="AB163" t="s">
        <v>3158</v>
      </c>
      <c r="AC163" t="s">
        <v>3159</v>
      </c>
      <c r="AD163" t="s">
        <v>69</v>
      </c>
      <c r="AE163">
        <v>76</v>
      </c>
      <c r="AF163">
        <v>105</v>
      </c>
      <c r="AG163">
        <v>105</v>
      </c>
      <c r="AH163">
        <v>0</v>
      </c>
      <c r="AI163">
        <v>51</v>
      </c>
      <c r="AJ163" t="s">
        <v>771</v>
      </c>
      <c r="AK163" t="s">
        <v>772</v>
      </c>
      <c r="AL163" t="s">
        <v>773</v>
      </c>
      <c r="AM163" t="s">
        <v>2615</v>
      </c>
      <c r="AN163" t="s">
        <v>69</v>
      </c>
      <c r="AO163" t="s">
        <v>69</v>
      </c>
      <c r="AP163" t="s">
        <v>2617</v>
      </c>
      <c r="AQ163" t="s">
        <v>2618</v>
      </c>
      <c r="AR163" t="s">
        <v>355</v>
      </c>
      <c r="AS163">
        <v>2012</v>
      </c>
      <c r="AT163">
        <v>75</v>
      </c>
      <c r="AU163">
        <v>12</v>
      </c>
      <c r="AV163" t="s">
        <v>69</v>
      </c>
      <c r="AW163" t="s">
        <v>69</v>
      </c>
      <c r="AX163" t="s">
        <v>69</v>
      </c>
      <c r="AY163" t="s">
        <v>69</v>
      </c>
      <c r="AZ163">
        <v>2060</v>
      </c>
      <c r="BA163">
        <v>2068</v>
      </c>
      <c r="BB163" t="s">
        <v>69</v>
      </c>
      <c r="BC163" t="s">
        <v>3160</v>
      </c>
      <c r="BD163" t="s">
        <v>69</v>
      </c>
      <c r="BE163" t="s">
        <v>69</v>
      </c>
      <c r="BF163">
        <v>9</v>
      </c>
      <c r="BG163" t="s">
        <v>2620</v>
      </c>
      <c r="BH163" t="s">
        <v>2621</v>
      </c>
      <c r="BI163" t="s">
        <v>3161</v>
      </c>
      <c r="BJ163" t="s">
        <v>3162</v>
      </c>
      <c r="BK163">
        <v>22721965</v>
      </c>
      <c r="BL163" t="s">
        <v>69</v>
      </c>
      <c r="BM163" t="s">
        <v>69</v>
      </c>
      <c r="BN163" t="s">
        <v>69</v>
      </c>
      <c r="BO163" t="s">
        <v>95</v>
      </c>
      <c r="BP163" t="s">
        <v>69</v>
      </c>
    </row>
    <row r="164" spans="1:68" x14ac:dyDescent="0.15">
      <c r="A164" t="s">
        <v>67</v>
      </c>
      <c r="B164" t="s">
        <v>3163</v>
      </c>
      <c r="C164" t="s">
        <v>69</v>
      </c>
      <c r="D164" t="s">
        <v>69</v>
      </c>
      <c r="E164" t="s">
        <v>69</v>
      </c>
      <c r="F164" t="s">
        <v>3164</v>
      </c>
      <c r="G164" t="s">
        <v>69</v>
      </c>
      <c r="H164" t="s">
        <v>69</v>
      </c>
      <c r="I164" t="s">
        <v>3165</v>
      </c>
      <c r="J164" t="s">
        <v>2606</v>
      </c>
      <c r="K164" t="s">
        <v>69</v>
      </c>
      <c r="L164" t="s">
        <v>69</v>
      </c>
      <c r="M164" t="s">
        <v>73</v>
      </c>
      <c r="N164" t="s">
        <v>318</v>
      </c>
      <c r="O164" t="s">
        <v>69</v>
      </c>
      <c r="P164" t="s">
        <v>69</v>
      </c>
      <c r="Q164" t="s">
        <v>69</v>
      </c>
      <c r="R164" t="s">
        <v>69</v>
      </c>
      <c r="S164" t="s">
        <v>69</v>
      </c>
      <c r="T164" t="s">
        <v>3166</v>
      </c>
      <c r="U164" t="s">
        <v>3167</v>
      </c>
      <c r="V164" t="s">
        <v>3168</v>
      </c>
      <c r="W164" t="s">
        <v>3169</v>
      </c>
      <c r="X164" t="s">
        <v>3170</v>
      </c>
      <c r="Y164" t="s">
        <v>3171</v>
      </c>
      <c r="Z164" t="s">
        <v>69</v>
      </c>
      <c r="AA164" t="s">
        <v>3172</v>
      </c>
      <c r="AB164" t="s">
        <v>3173</v>
      </c>
      <c r="AC164" t="s">
        <v>3174</v>
      </c>
      <c r="AD164" t="s">
        <v>69</v>
      </c>
      <c r="AE164">
        <v>113</v>
      </c>
      <c r="AF164">
        <v>439</v>
      </c>
      <c r="AG164">
        <v>441</v>
      </c>
      <c r="AH164">
        <v>12</v>
      </c>
      <c r="AI164">
        <v>203</v>
      </c>
      <c r="AJ164" t="s">
        <v>771</v>
      </c>
      <c r="AK164" t="s">
        <v>772</v>
      </c>
      <c r="AL164" t="s">
        <v>773</v>
      </c>
      <c r="AM164" t="s">
        <v>2615</v>
      </c>
      <c r="AN164" t="s">
        <v>69</v>
      </c>
      <c r="AO164" t="s">
        <v>69</v>
      </c>
      <c r="AP164" t="s">
        <v>2617</v>
      </c>
      <c r="AQ164" t="s">
        <v>2618</v>
      </c>
      <c r="AR164" t="s">
        <v>355</v>
      </c>
      <c r="AS164">
        <v>2012</v>
      </c>
      <c r="AT164">
        <v>75</v>
      </c>
      <c r="AU164">
        <v>12</v>
      </c>
      <c r="AV164" t="s">
        <v>69</v>
      </c>
      <c r="AW164" t="s">
        <v>69</v>
      </c>
      <c r="AX164" t="s">
        <v>69</v>
      </c>
      <c r="AY164" t="s">
        <v>69</v>
      </c>
      <c r="AZ164">
        <v>2099</v>
      </c>
      <c r="BA164">
        <v>2106</v>
      </c>
      <c r="BB164" t="s">
        <v>69</v>
      </c>
      <c r="BC164" t="s">
        <v>3175</v>
      </c>
      <c r="BD164" t="s">
        <v>69</v>
      </c>
      <c r="BE164" t="s">
        <v>69</v>
      </c>
      <c r="BF164">
        <v>8</v>
      </c>
      <c r="BG164" t="s">
        <v>2620</v>
      </c>
      <c r="BH164" t="s">
        <v>2621</v>
      </c>
      <c r="BI164" t="s">
        <v>3161</v>
      </c>
      <c r="BJ164" t="s">
        <v>3176</v>
      </c>
      <c r="BK164">
        <v>22386617</v>
      </c>
      <c r="BL164" t="s">
        <v>69</v>
      </c>
      <c r="BM164" t="s">
        <v>3177</v>
      </c>
      <c r="BN164" t="s">
        <v>3178</v>
      </c>
      <c r="BO164" t="s">
        <v>95</v>
      </c>
      <c r="BP164" t="s">
        <v>69</v>
      </c>
    </row>
    <row r="165" spans="1:68" x14ac:dyDescent="0.15">
      <c r="A165" t="s">
        <v>67</v>
      </c>
      <c r="B165" t="s">
        <v>3179</v>
      </c>
      <c r="C165" t="s">
        <v>69</v>
      </c>
      <c r="D165" t="s">
        <v>69</v>
      </c>
      <c r="E165" t="s">
        <v>69</v>
      </c>
      <c r="F165" t="s">
        <v>3180</v>
      </c>
      <c r="G165" t="s">
        <v>69</v>
      </c>
      <c r="H165" t="s">
        <v>69</v>
      </c>
      <c r="I165" t="s">
        <v>3181</v>
      </c>
      <c r="J165" t="s">
        <v>2427</v>
      </c>
      <c r="K165" t="s">
        <v>69</v>
      </c>
      <c r="L165" t="s">
        <v>69</v>
      </c>
      <c r="M165" t="s">
        <v>73</v>
      </c>
      <c r="N165" t="s">
        <v>74</v>
      </c>
      <c r="O165" t="s">
        <v>69</v>
      </c>
      <c r="P165" t="s">
        <v>69</v>
      </c>
      <c r="Q165" t="s">
        <v>69</v>
      </c>
      <c r="R165" t="s">
        <v>69</v>
      </c>
      <c r="S165" t="s">
        <v>69</v>
      </c>
      <c r="T165" t="s">
        <v>3182</v>
      </c>
      <c r="U165" t="s">
        <v>3183</v>
      </c>
      <c r="V165" t="s">
        <v>3184</v>
      </c>
      <c r="W165" t="s">
        <v>3185</v>
      </c>
      <c r="X165" t="s">
        <v>3186</v>
      </c>
      <c r="Y165" t="s">
        <v>3187</v>
      </c>
      <c r="Z165" t="s">
        <v>3188</v>
      </c>
      <c r="AA165" t="s">
        <v>3189</v>
      </c>
      <c r="AB165" t="s">
        <v>3190</v>
      </c>
      <c r="AC165" t="s">
        <v>69</v>
      </c>
      <c r="AD165" t="s">
        <v>69</v>
      </c>
      <c r="AE165">
        <v>71</v>
      </c>
      <c r="AF165">
        <v>71</v>
      </c>
      <c r="AG165">
        <v>71</v>
      </c>
      <c r="AH165">
        <v>0</v>
      </c>
      <c r="AI165">
        <v>19</v>
      </c>
      <c r="AJ165" t="s">
        <v>2434</v>
      </c>
      <c r="AK165" t="s">
        <v>1184</v>
      </c>
      <c r="AL165" t="s">
        <v>2435</v>
      </c>
      <c r="AM165" t="s">
        <v>2436</v>
      </c>
      <c r="AN165" t="s">
        <v>2437</v>
      </c>
      <c r="AO165" t="s">
        <v>69</v>
      </c>
      <c r="AP165" t="s">
        <v>2438</v>
      </c>
      <c r="AQ165" t="s">
        <v>2439</v>
      </c>
      <c r="AR165" t="s">
        <v>934</v>
      </c>
      <c r="AS165">
        <v>2012</v>
      </c>
      <c r="AT165">
        <v>18</v>
      </c>
      <c r="AU165">
        <v>3</v>
      </c>
      <c r="AV165" t="s">
        <v>69</v>
      </c>
      <c r="AW165" t="s">
        <v>69</v>
      </c>
      <c r="AX165" t="s">
        <v>69</v>
      </c>
      <c r="AY165" t="s">
        <v>69</v>
      </c>
      <c r="AZ165">
        <v>285</v>
      </c>
      <c r="BA165">
        <v>296</v>
      </c>
      <c r="BB165" t="s">
        <v>69</v>
      </c>
      <c r="BC165" t="s">
        <v>3191</v>
      </c>
      <c r="BD165" t="s">
        <v>69</v>
      </c>
      <c r="BE165" t="s">
        <v>69</v>
      </c>
      <c r="BF165">
        <v>12</v>
      </c>
      <c r="BG165" t="s">
        <v>2441</v>
      </c>
      <c r="BH165" t="s">
        <v>2442</v>
      </c>
      <c r="BI165" t="s">
        <v>3192</v>
      </c>
      <c r="BJ165" t="s">
        <v>3193</v>
      </c>
      <c r="BK165">
        <v>22686147</v>
      </c>
      <c r="BL165" t="s">
        <v>833</v>
      </c>
      <c r="BM165" t="s">
        <v>69</v>
      </c>
      <c r="BN165" t="s">
        <v>69</v>
      </c>
      <c r="BO165" t="s">
        <v>95</v>
      </c>
      <c r="BP165" t="s">
        <v>69</v>
      </c>
    </row>
    <row r="166" spans="1:68" x14ac:dyDescent="0.15">
      <c r="A166" t="s">
        <v>67</v>
      </c>
      <c r="B166" t="s">
        <v>3194</v>
      </c>
      <c r="C166" t="s">
        <v>69</v>
      </c>
      <c r="D166" t="s">
        <v>69</v>
      </c>
      <c r="E166" t="s">
        <v>69</v>
      </c>
      <c r="F166" t="s">
        <v>3195</v>
      </c>
      <c r="G166" t="s">
        <v>69</v>
      </c>
      <c r="H166" t="s">
        <v>69</v>
      </c>
      <c r="I166" t="s">
        <v>3196</v>
      </c>
      <c r="J166" t="s">
        <v>762</v>
      </c>
      <c r="K166" t="s">
        <v>69</v>
      </c>
      <c r="L166" t="s">
        <v>69</v>
      </c>
      <c r="M166" t="s">
        <v>73</v>
      </c>
      <c r="N166" t="s">
        <v>74</v>
      </c>
      <c r="O166" t="s">
        <v>69</v>
      </c>
      <c r="P166" t="s">
        <v>69</v>
      </c>
      <c r="Q166" t="s">
        <v>69</v>
      </c>
      <c r="R166" t="s">
        <v>69</v>
      </c>
      <c r="S166" t="s">
        <v>69</v>
      </c>
      <c r="T166" t="s">
        <v>3197</v>
      </c>
      <c r="U166" t="s">
        <v>3198</v>
      </c>
      <c r="V166" t="s">
        <v>3199</v>
      </c>
      <c r="W166" t="s">
        <v>3200</v>
      </c>
      <c r="X166" t="s">
        <v>3201</v>
      </c>
      <c r="Y166" t="s">
        <v>3202</v>
      </c>
      <c r="Z166" t="s">
        <v>3203</v>
      </c>
      <c r="AA166" t="s">
        <v>3204</v>
      </c>
      <c r="AB166" t="s">
        <v>69</v>
      </c>
      <c r="AC166" t="s">
        <v>69</v>
      </c>
      <c r="AD166" t="s">
        <v>69</v>
      </c>
      <c r="AE166">
        <v>43</v>
      </c>
      <c r="AF166">
        <v>29</v>
      </c>
      <c r="AG166">
        <v>29</v>
      </c>
      <c r="AH166">
        <v>0</v>
      </c>
      <c r="AI166">
        <v>28</v>
      </c>
      <c r="AJ166" t="s">
        <v>771</v>
      </c>
      <c r="AK166" t="s">
        <v>772</v>
      </c>
      <c r="AL166" t="s">
        <v>773</v>
      </c>
      <c r="AM166" t="s">
        <v>774</v>
      </c>
      <c r="AN166" t="s">
        <v>775</v>
      </c>
      <c r="AO166" t="s">
        <v>69</v>
      </c>
      <c r="AP166" t="s">
        <v>776</v>
      </c>
      <c r="AQ166" t="s">
        <v>777</v>
      </c>
      <c r="AR166" t="s">
        <v>934</v>
      </c>
      <c r="AS166">
        <v>2012</v>
      </c>
      <c r="AT166">
        <v>36</v>
      </c>
      <c r="AU166">
        <v>4</v>
      </c>
      <c r="AV166" t="s">
        <v>69</v>
      </c>
      <c r="AW166" t="s">
        <v>69</v>
      </c>
      <c r="AX166" t="s">
        <v>69</v>
      </c>
      <c r="AY166" t="s">
        <v>69</v>
      </c>
      <c r="AZ166">
        <v>459</v>
      </c>
      <c r="BA166">
        <v>471</v>
      </c>
      <c r="BB166" t="s">
        <v>69</v>
      </c>
      <c r="BC166" t="s">
        <v>3205</v>
      </c>
      <c r="BD166" t="s">
        <v>69</v>
      </c>
      <c r="BE166" t="s">
        <v>69</v>
      </c>
      <c r="BF166">
        <v>13</v>
      </c>
      <c r="BG166" t="s">
        <v>779</v>
      </c>
      <c r="BH166" t="s">
        <v>780</v>
      </c>
      <c r="BI166" t="s">
        <v>3206</v>
      </c>
      <c r="BJ166" t="s">
        <v>3207</v>
      </c>
      <c r="BK166" t="s">
        <v>69</v>
      </c>
      <c r="BL166" t="s">
        <v>69</v>
      </c>
      <c r="BM166" t="s">
        <v>69</v>
      </c>
      <c r="BN166" t="s">
        <v>69</v>
      </c>
      <c r="BO166" t="s">
        <v>95</v>
      </c>
      <c r="BP166" t="s">
        <v>69</v>
      </c>
    </row>
    <row r="167" spans="1:68" x14ac:dyDescent="0.15">
      <c r="A167" t="s">
        <v>67</v>
      </c>
      <c r="B167" t="s">
        <v>3208</v>
      </c>
      <c r="C167" t="s">
        <v>69</v>
      </c>
      <c r="D167" t="s">
        <v>69</v>
      </c>
      <c r="E167" t="s">
        <v>69</v>
      </c>
      <c r="F167" t="s">
        <v>3209</v>
      </c>
      <c r="G167" t="s">
        <v>69</v>
      </c>
      <c r="H167" t="s">
        <v>69</v>
      </c>
      <c r="I167" t="s">
        <v>3210</v>
      </c>
      <c r="J167" t="s">
        <v>762</v>
      </c>
      <c r="K167" t="s">
        <v>69</v>
      </c>
      <c r="L167" t="s">
        <v>69</v>
      </c>
      <c r="M167" t="s">
        <v>73</v>
      </c>
      <c r="N167" t="s">
        <v>74</v>
      </c>
      <c r="O167" t="s">
        <v>69</v>
      </c>
      <c r="P167" t="s">
        <v>69</v>
      </c>
      <c r="Q167" t="s">
        <v>69</v>
      </c>
      <c r="R167" t="s">
        <v>69</v>
      </c>
      <c r="S167" t="s">
        <v>69</v>
      </c>
      <c r="T167" t="s">
        <v>3211</v>
      </c>
      <c r="U167" t="s">
        <v>3212</v>
      </c>
      <c r="V167" t="s">
        <v>3213</v>
      </c>
      <c r="W167" t="s">
        <v>3214</v>
      </c>
      <c r="X167" t="s">
        <v>3215</v>
      </c>
      <c r="Y167" t="s">
        <v>3216</v>
      </c>
      <c r="Z167" t="s">
        <v>3217</v>
      </c>
      <c r="AA167" t="s">
        <v>2454</v>
      </c>
      <c r="AB167" t="s">
        <v>69</v>
      </c>
      <c r="AC167" t="s">
        <v>69</v>
      </c>
      <c r="AD167" t="s">
        <v>69</v>
      </c>
      <c r="AE167">
        <v>70</v>
      </c>
      <c r="AF167">
        <v>74</v>
      </c>
      <c r="AG167">
        <v>73</v>
      </c>
      <c r="AH167">
        <v>3</v>
      </c>
      <c r="AI167">
        <v>59</v>
      </c>
      <c r="AJ167" t="s">
        <v>771</v>
      </c>
      <c r="AK167" t="s">
        <v>772</v>
      </c>
      <c r="AL167" t="s">
        <v>773</v>
      </c>
      <c r="AM167" t="s">
        <v>774</v>
      </c>
      <c r="AN167" t="s">
        <v>775</v>
      </c>
      <c r="AO167" t="s">
        <v>69</v>
      </c>
      <c r="AP167" t="s">
        <v>776</v>
      </c>
      <c r="AQ167" t="s">
        <v>777</v>
      </c>
      <c r="AR167" t="s">
        <v>934</v>
      </c>
      <c r="AS167">
        <v>2012</v>
      </c>
      <c r="AT167">
        <v>36</v>
      </c>
      <c r="AU167">
        <v>4</v>
      </c>
      <c r="AV167" t="s">
        <v>69</v>
      </c>
      <c r="AW167" t="s">
        <v>69</v>
      </c>
      <c r="AX167" t="s">
        <v>69</v>
      </c>
      <c r="AY167" t="s">
        <v>69</v>
      </c>
      <c r="AZ167">
        <v>472</v>
      </c>
      <c r="BA167">
        <v>485</v>
      </c>
      <c r="BB167" t="s">
        <v>69</v>
      </c>
      <c r="BC167" t="s">
        <v>3218</v>
      </c>
      <c r="BD167" t="s">
        <v>69</v>
      </c>
      <c r="BE167" t="s">
        <v>69</v>
      </c>
      <c r="BF167">
        <v>14</v>
      </c>
      <c r="BG167" t="s">
        <v>779</v>
      </c>
      <c r="BH167" t="s">
        <v>780</v>
      </c>
      <c r="BI167" t="s">
        <v>3206</v>
      </c>
      <c r="BJ167" t="s">
        <v>3219</v>
      </c>
      <c r="BK167" t="s">
        <v>69</v>
      </c>
      <c r="BL167" t="s">
        <v>69</v>
      </c>
      <c r="BM167" t="s">
        <v>69</v>
      </c>
      <c r="BN167" t="s">
        <v>69</v>
      </c>
      <c r="BO167" t="s">
        <v>95</v>
      </c>
      <c r="BP167" t="s">
        <v>69</v>
      </c>
    </row>
    <row r="168" spans="1:68" x14ac:dyDescent="0.15">
      <c r="A168" t="s">
        <v>67</v>
      </c>
      <c r="B168" t="s">
        <v>3220</v>
      </c>
      <c r="C168" t="s">
        <v>69</v>
      </c>
      <c r="D168" t="s">
        <v>69</v>
      </c>
      <c r="E168" t="s">
        <v>69</v>
      </c>
      <c r="F168" t="s">
        <v>3221</v>
      </c>
      <c r="G168" t="s">
        <v>69</v>
      </c>
      <c r="H168" t="s">
        <v>69</v>
      </c>
      <c r="I168" t="s">
        <v>3222</v>
      </c>
      <c r="J168" t="s">
        <v>3223</v>
      </c>
      <c r="K168" t="s">
        <v>69</v>
      </c>
      <c r="L168" t="s">
        <v>69</v>
      </c>
      <c r="M168" t="s">
        <v>73</v>
      </c>
      <c r="N168" t="s">
        <v>74</v>
      </c>
      <c r="O168" t="s">
        <v>69</v>
      </c>
      <c r="P168" t="s">
        <v>69</v>
      </c>
      <c r="Q168" t="s">
        <v>69</v>
      </c>
      <c r="R168" t="s">
        <v>69</v>
      </c>
      <c r="S168" t="s">
        <v>69</v>
      </c>
      <c r="T168" t="s">
        <v>3224</v>
      </c>
      <c r="U168" t="s">
        <v>3225</v>
      </c>
      <c r="V168" t="s">
        <v>3226</v>
      </c>
      <c r="W168" t="s">
        <v>3227</v>
      </c>
      <c r="X168" t="s">
        <v>3228</v>
      </c>
      <c r="Y168" t="s">
        <v>3229</v>
      </c>
      <c r="Z168" t="s">
        <v>69</v>
      </c>
      <c r="AA168" t="s">
        <v>3230</v>
      </c>
      <c r="AB168" t="s">
        <v>69</v>
      </c>
      <c r="AC168" t="s">
        <v>69</v>
      </c>
      <c r="AD168" t="s">
        <v>69</v>
      </c>
      <c r="AE168">
        <v>54</v>
      </c>
      <c r="AF168">
        <v>4</v>
      </c>
      <c r="AG168">
        <v>4</v>
      </c>
      <c r="AH168">
        <v>0</v>
      </c>
      <c r="AI168">
        <v>25</v>
      </c>
      <c r="AJ168" t="s">
        <v>2032</v>
      </c>
      <c r="AK168" t="s">
        <v>772</v>
      </c>
      <c r="AL168" t="s">
        <v>2033</v>
      </c>
      <c r="AM168" t="s">
        <v>3231</v>
      </c>
      <c r="AN168" t="s">
        <v>3232</v>
      </c>
      <c r="AO168" t="s">
        <v>69</v>
      </c>
      <c r="AP168" t="s">
        <v>3233</v>
      </c>
      <c r="AQ168" t="s">
        <v>3234</v>
      </c>
      <c r="AR168" t="s">
        <v>511</v>
      </c>
      <c r="AS168">
        <v>2012</v>
      </c>
      <c r="AT168">
        <v>27</v>
      </c>
      <c r="AU168">
        <v>1</v>
      </c>
      <c r="AV168" t="s">
        <v>69</v>
      </c>
      <c r="AW168" t="s">
        <v>69</v>
      </c>
      <c r="AX168" t="s">
        <v>69</v>
      </c>
      <c r="AY168" t="s">
        <v>69</v>
      </c>
      <c r="AZ168">
        <v>33</v>
      </c>
      <c r="BA168">
        <v>44</v>
      </c>
      <c r="BB168" t="s">
        <v>69</v>
      </c>
      <c r="BC168" t="s">
        <v>3235</v>
      </c>
      <c r="BD168" t="s">
        <v>69</v>
      </c>
      <c r="BE168" t="s">
        <v>69</v>
      </c>
      <c r="BF168">
        <v>12</v>
      </c>
      <c r="BG168" t="s">
        <v>3236</v>
      </c>
      <c r="BH168" t="s">
        <v>3237</v>
      </c>
      <c r="BI168" t="s">
        <v>3238</v>
      </c>
      <c r="BJ168" t="s">
        <v>3239</v>
      </c>
      <c r="BK168">
        <v>21421578</v>
      </c>
      <c r="BL168" t="s">
        <v>213</v>
      </c>
      <c r="BM168" t="s">
        <v>69</v>
      </c>
      <c r="BN168" t="s">
        <v>69</v>
      </c>
      <c r="BO168" t="s">
        <v>95</v>
      </c>
      <c r="BP168" t="s">
        <v>69</v>
      </c>
    </row>
    <row r="169" spans="1:68" x14ac:dyDescent="0.15">
      <c r="A169" t="s">
        <v>67</v>
      </c>
      <c r="B169" t="s">
        <v>3240</v>
      </c>
      <c r="C169" t="s">
        <v>69</v>
      </c>
      <c r="D169" t="s">
        <v>69</v>
      </c>
      <c r="E169" t="s">
        <v>69</v>
      </c>
      <c r="F169" t="s">
        <v>3241</v>
      </c>
      <c r="G169" t="s">
        <v>69</v>
      </c>
      <c r="H169" t="s">
        <v>69</v>
      </c>
      <c r="I169" t="s">
        <v>3242</v>
      </c>
      <c r="J169" t="s">
        <v>3243</v>
      </c>
      <c r="K169" t="s">
        <v>69</v>
      </c>
      <c r="L169" t="s">
        <v>69</v>
      </c>
      <c r="M169" t="s">
        <v>73</v>
      </c>
      <c r="N169" t="s">
        <v>74</v>
      </c>
      <c r="O169" t="s">
        <v>69</v>
      </c>
      <c r="P169" t="s">
        <v>69</v>
      </c>
      <c r="Q169" t="s">
        <v>69</v>
      </c>
      <c r="R169" t="s">
        <v>69</v>
      </c>
      <c r="S169" t="s">
        <v>69</v>
      </c>
      <c r="T169" t="s">
        <v>3244</v>
      </c>
      <c r="U169" t="s">
        <v>3245</v>
      </c>
      <c r="V169" t="s">
        <v>3246</v>
      </c>
      <c r="W169" t="s">
        <v>3247</v>
      </c>
      <c r="X169" t="s">
        <v>3248</v>
      </c>
      <c r="Y169" t="s">
        <v>3249</v>
      </c>
      <c r="Z169" t="s">
        <v>69</v>
      </c>
      <c r="AA169" t="s">
        <v>69</v>
      </c>
      <c r="AB169" t="s">
        <v>69</v>
      </c>
      <c r="AC169" t="s">
        <v>69</v>
      </c>
      <c r="AD169" t="s">
        <v>69</v>
      </c>
      <c r="AE169">
        <v>29</v>
      </c>
      <c r="AF169">
        <v>13</v>
      </c>
      <c r="AG169">
        <v>14</v>
      </c>
      <c r="AH169">
        <v>0</v>
      </c>
      <c r="AI169">
        <v>16</v>
      </c>
      <c r="AJ169" t="s">
        <v>2839</v>
      </c>
      <c r="AK169" t="s">
        <v>573</v>
      </c>
      <c r="AL169" t="s">
        <v>2840</v>
      </c>
      <c r="AM169" t="s">
        <v>3250</v>
      </c>
      <c r="AN169" t="s">
        <v>3251</v>
      </c>
      <c r="AO169" t="s">
        <v>69</v>
      </c>
      <c r="AP169" t="s">
        <v>3252</v>
      </c>
      <c r="AQ169" t="s">
        <v>3253</v>
      </c>
      <c r="AR169" t="s">
        <v>69</v>
      </c>
      <c r="AS169">
        <v>2012</v>
      </c>
      <c r="AT169">
        <v>27</v>
      </c>
      <c r="AU169">
        <v>4</v>
      </c>
      <c r="AV169" t="s">
        <v>69</v>
      </c>
      <c r="AW169" t="s">
        <v>69</v>
      </c>
      <c r="AX169" t="s">
        <v>69</v>
      </c>
      <c r="AY169" t="s">
        <v>69</v>
      </c>
      <c r="AZ169">
        <v>548</v>
      </c>
      <c r="BA169">
        <v>562</v>
      </c>
      <c r="BB169" t="s">
        <v>69</v>
      </c>
      <c r="BC169" t="s">
        <v>3254</v>
      </c>
      <c r="BD169" t="s">
        <v>69</v>
      </c>
      <c r="BE169" t="s">
        <v>69</v>
      </c>
      <c r="BF169">
        <v>15</v>
      </c>
      <c r="BG169" t="s">
        <v>3255</v>
      </c>
      <c r="BH169" t="s">
        <v>3255</v>
      </c>
      <c r="BI169" t="s">
        <v>3256</v>
      </c>
      <c r="BJ169" t="s">
        <v>3257</v>
      </c>
      <c r="BK169">
        <v>22978074</v>
      </c>
      <c r="BL169" t="s">
        <v>69</v>
      </c>
      <c r="BM169" t="s">
        <v>69</v>
      </c>
      <c r="BN169" t="s">
        <v>69</v>
      </c>
      <c r="BO169" t="s">
        <v>95</v>
      </c>
      <c r="BP169" t="s">
        <v>69</v>
      </c>
    </row>
    <row r="170" spans="1:68" x14ac:dyDescent="0.15">
      <c r="A170" t="s">
        <v>67</v>
      </c>
      <c r="B170" t="s">
        <v>3258</v>
      </c>
      <c r="C170" t="s">
        <v>69</v>
      </c>
      <c r="D170" t="s">
        <v>69</v>
      </c>
      <c r="E170" t="s">
        <v>69</v>
      </c>
      <c r="F170" t="s">
        <v>3259</v>
      </c>
      <c r="G170" t="s">
        <v>69</v>
      </c>
      <c r="H170" t="s">
        <v>69</v>
      </c>
      <c r="I170" t="s">
        <v>3260</v>
      </c>
      <c r="J170" t="s">
        <v>762</v>
      </c>
      <c r="K170" t="s">
        <v>69</v>
      </c>
      <c r="L170" t="s">
        <v>69</v>
      </c>
      <c r="M170" t="s">
        <v>73</v>
      </c>
      <c r="N170" t="s">
        <v>74</v>
      </c>
      <c r="O170" t="s">
        <v>69</v>
      </c>
      <c r="P170" t="s">
        <v>69</v>
      </c>
      <c r="Q170" t="s">
        <v>69</v>
      </c>
      <c r="R170" t="s">
        <v>69</v>
      </c>
      <c r="S170" t="s">
        <v>69</v>
      </c>
      <c r="T170" t="s">
        <v>3261</v>
      </c>
      <c r="U170" t="s">
        <v>3262</v>
      </c>
      <c r="V170" t="s">
        <v>3263</v>
      </c>
      <c r="W170" t="s">
        <v>3264</v>
      </c>
      <c r="X170" t="s">
        <v>3265</v>
      </c>
      <c r="Y170" t="s">
        <v>3266</v>
      </c>
      <c r="Z170" t="s">
        <v>69</v>
      </c>
      <c r="AA170" t="s">
        <v>69</v>
      </c>
      <c r="AB170" t="s">
        <v>69</v>
      </c>
      <c r="AC170" t="s">
        <v>69</v>
      </c>
      <c r="AD170" t="s">
        <v>69</v>
      </c>
      <c r="AE170">
        <v>78</v>
      </c>
      <c r="AF170">
        <v>30</v>
      </c>
      <c r="AG170">
        <v>30</v>
      </c>
      <c r="AH170">
        <v>0</v>
      </c>
      <c r="AI170">
        <v>20</v>
      </c>
      <c r="AJ170" t="s">
        <v>771</v>
      </c>
      <c r="AK170" t="s">
        <v>772</v>
      </c>
      <c r="AL170" t="s">
        <v>773</v>
      </c>
      <c r="AM170" t="s">
        <v>774</v>
      </c>
      <c r="AN170" t="s">
        <v>775</v>
      </c>
      <c r="AO170" t="s">
        <v>69</v>
      </c>
      <c r="AP170" t="s">
        <v>776</v>
      </c>
      <c r="AQ170" t="s">
        <v>777</v>
      </c>
      <c r="AR170" t="s">
        <v>685</v>
      </c>
      <c r="AS170">
        <v>2012</v>
      </c>
      <c r="AT170">
        <v>36</v>
      </c>
      <c r="AU170">
        <v>1</v>
      </c>
      <c r="AV170" t="s">
        <v>69</v>
      </c>
      <c r="AW170" t="s">
        <v>69</v>
      </c>
      <c r="AX170" t="s">
        <v>69</v>
      </c>
      <c r="AY170" t="s">
        <v>69</v>
      </c>
      <c r="AZ170">
        <v>83</v>
      </c>
      <c r="BA170">
        <v>99</v>
      </c>
      <c r="BB170" t="s">
        <v>69</v>
      </c>
      <c r="BC170" t="s">
        <v>3267</v>
      </c>
      <c r="BD170" t="s">
        <v>69</v>
      </c>
      <c r="BE170" t="s">
        <v>69</v>
      </c>
      <c r="BF170">
        <v>17</v>
      </c>
      <c r="BG170" t="s">
        <v>779</v>
      </c>
      <c r="BH170" t="s">
        <v>780</v>
      </c>
      <c r="BI170" t="s">
        <v>3268</v>
      </c>
      <c r="BJ170" t="s">
        <v>3269</v>
      </c>
      <c r="BK170" t="s">
        <v>69</v>
      </c>
      <c r="BL170" t="s">
        <v>69</v>
      </c>
      <c r="BM170" t="s">
        <v>69</v>
      </c>
      <c r="BN170" t="s">
        <v>69</v>
      </c>
      <c r="BO170" t="s">
        <v>95</v>
      </c>
      <c r="BP170" t="s">
        <v>69</v>
      </c>
    </row>
    <row r="171" spans="1:68" x14ac:dyDescent="0.15">
      <c r="A171" t="s">
        <v>67</v>
      </c>
      <c r="B171" t="s">
        <v>3270</v>
      </c>
      <c r="C171" t="s">
        <v>69</v>
      </c>
      <c r="D171" t="s">
        <v>69</v>
      </c>
      <c r="E171" t="s">
        <v>69</v>
      </c>
      <c r="F171" t="s">
        <v>3271</v>
      </c>
      <c r="G171" t="s">
        <v>69</v>
      </c>
      <c r="H171" t="s">
        <v>69</v>
      </c>
      <c r="I171" t="s">
        <v>3272</v>
      </c>
      <c r="J171" t="s">
        <v>3273</v>
      </c>
      <c r="K171" t="s">
        <v>69</v>
      </c>
      <c r="L171" t="s">
        <v>69</v>
      </c>
      <c r="M171" t="s">
        <v>73</v>
      </c>
      <c r="N171" t="s">
        <v>74</v>
      </c>
      <c r="O171" t="s">
        <v>69</v>
      </c>
      <c r="P171" t="s">
        <v>69</v>
      </c>
      <c r="Q171" t="s">
        <v>69</v>
      </c>
      <c r="R171" t="s">
        <v>69</v>
      </c>
      <c r="S171" t="s">
        <v>69</v>
      </c>
      <c r="T171" t="s">
        <v>69</v>
      </c>
      <c r="U171" t="s">
        <v>3274</v>
      </c>
      <c r="V171" t="s">
        <v>3275</v>
      </c>
      <c r="W171" t="s">
        <v>3276</v>
      </c>
      <c r="X171" t="s">
        <v>3277</v>
      </c>
      <c r="Y171" t="s">
        <v>3278</v>
      </c>
      <c r="Z171" t="s">
        <v>3279</v>
      </c>
      <c r="AA171" t="s">
        <v>3280</v>
      </c>
      <c r="AB171" t="s">
        <v>3281</v>
      </c>
      <c r="AC171" t="s">
        <v>3282</v>
      </c>
      <c r="AD171" t="s">
        <v>69</v>
      </c>
      <c r="AE171">
        <v>140</v>
      </c>
      <c r="AF171">
        <v>85</v>
      </c>
      <c r="AG171">
        <v>85</v>
      </c>
      <c r="AH171">
        <v>0</v>
      </c>
      <c r="AI171">
        <v>30</v>
      </c>
      <c r="AJ171" t="s">
        <v>3283</v>
      </c>
      <c r="AK171" t="s">
        <v>3284</v>
      </c>
      <c r="AL171" t="s">
        <v>3285</v>
      </c>
      <c r="AM171" t="s">
        <v>3286</v>
      </c>
      <c r="AN171" t="s">
        <v>3287</v>
      </c>
      <c r="AO171" t="s">
        <v>69</v>
      </c>
      <c r="AP171" t="s">
        <v>3288</v>
      </c>
      <c r="AQ171" t="s">
        <v>3289</v>
      </c>
      <c r="AR171" t="s">
        <v>69</v>
      </c>
      <c r="AS171">
        <v>2012</v>
      </c>
      <c r="AT171">
        <v>12</v>
      </c>
      <c r="AU171">
        <v>4</v>
      </c>
      <c r="AV171" t="s">
        <v>69</v>
      </c>
      <c r="AW171" t="s">
        <v>69</v>
      </c>
      <c r="AX171" t="s">
        <v>69</v>
      </c>
      <c r="AY171" t="s">
        <v>69</v>
      </c>
      <c r="AZ171">
        <v>2117</v>
      </c>
      <c r="BA171">
        <v>2147</v>
      </c>
      <c r="BB171" t="s">
        <v>69</v>
      </c>
      <c r="BC171" t="s">
        <v>3290</v>
      </c>
      <c r="BD171" t="s">
        <v>69</v>
      </c>
      <c r="BE171" t="s">
        <v>69</v>
      </c>
      <c r="BF171">
        <v>31</v>
      </c>
      <c r="BG171" t="s">
        <v>3291</v>
      </c>
      <c r="BH171" t="s">
        <v>3292</v>
      </c>
      <c r="BI171" t="s">
        <v>3293</v>
      </c>
      <c r="BJ171" t="s">
        <v>3294</v>
      </c>
      <c r="BK171" t="s">
        <v>69</v>
      </c>
      <c r="BL171" t="s">
        <v>94</v>
      </c>
      <c r="BM171" t="s">
        <v>69</v>
      </c>
      <c r="BN171" t="s">
        <v>69</v>
      </c>
      <c r="BO171" t="s">
        <v>95</v>
      </c>
      <c r="BP171" t="s">
        <v>69</v>
      </c>
    </row>
    <row r="172" spans="1:68" x14ac:dyDescent="0.15">
      <c r="A172" t="s">
        <v>67</v>
      </c>
      <c r="B172" t="s">
        <v>3295</v>
      </c>
      <c r="C172" t="s">
        <v>69</v>
      </c>
      <c r="D172" t="s">
        <v>69</v>
      </c>
      <c r="E172" t="s">
        <v>69</v>
      </c>
      <c r="F172" t="s">
        <v>3296</v>
      </c>
      <c r="G172" t="s">
        <v>69</v>
      </c>
      <c r="H172" t="s">
        <v>69</v>
      </c>
      <c r="I172" t="s">
        <v>3297</v>
      </c>
      <c r="J172" t="s">
        <v>3298</v>
      </c>
      <c r="K172" t="s">
        <v>69</v>
      </c>
      <c r="L172" t="s">
        <v>69</v>
      </c>
      <c r="M172" t="s">
        <v>73</v>
      </c>
      <c r="N172" t="s">
        <v>74</v>
      </c>
      <c r="O172" t="s">
        <v>69</v>
      </c>
      <c r="P172" t="s">
        <v>69</v>
      </c>
      <c r="Q172" t="s">
        <v>69</v>
      </c>
      <c r="R172" t="s">
        <v>69</v>
      </c>
      <c r="S172" t="s">
        <v>69</v>
      </c>
      <c r="T172" t="s">
        <v>3299</v>
      </c>
      <c r="U172" t="s">
        <v>3300</v>
      </c>
      <c r="V172" t="s">
        <v>3301</v>
      </c>
      <c r="W172" t="s">
        <v>3302</v>
      </c>
      <c r="X172" t="s">
        <v>3303</v>
      </c>
      <c r="Y172" t="s">
        <v>3304</v>
      </c>
      <c r="Z172" t="s">
        <v>3305</v>
      </c>
      <c r="AA172" t="s">
        <v>3306</v>
      </c>
      <c r="AB172" t="s">
        <v>69</v>
      </c>
      <c r="AC172" t="s">
        <v>69</v>
      </c>
      <c r="AD172" t="s">
        <v>69</v>
      </c>
      <c r="AE172">
        <v>33</v>
      </c>
      <c r="AF172">
        <v>6</v>
      </c>
      <c r="AG172">
        <v>6</v>
      </c>
      <c r="AH172">
        <v>0</v>
      </c>
      <c r="AI172">
        <v>4</v>
      </c>
      <c r="AJ172" t="s">
        <v>155</v>
      </c>
      <c r="AK172" t="s">
        <v>156</v>
      </c>
      <c r="AL172" t="s">
        <v>157</v>
      </c>
      <c r="AM172" t="s">
        <v>3307</v>
      </c>
      <c r="AN172" t="s">
        <v>69</v>
      </c>
      <c r="AO172" t="s">
        <v>69</v>
      </c>
      <c r="AP172" t="s">
        <v>3308</v>
      </c>
      <c r="AQ172" t="s">
        <v>3309</v>
      </c>
      <c r="AR172" t="s">
        <v>685</v>
      </c>
      <c r="AS172">
        <v>2012</v>
      </c>
      <c r="AT172">
        <v>17</v>
      </c>
      <c r="AU172">
        <v>1</v>
      </c>
      <c r="AV172" t="s">
        <v>69</v>
      </c>
      <c r="AW172" t="s">
        <v>69</v>
      </c>
      <c r="AX172" t="s">
        <v>69</v>
      </c>
      <c r="AY172" t="s">
        <v>69</v>
      </c>
      <c r="AZ172">
        <v>77</v>
      </c>
      <c r="BA172">
        <v>86</v>
      </c>
      <c r="BB172" t="s">
        <v>69</v>
      </c>
      <c r="BC172" t="s">
        <v>3310</v>
      </c>
      <c r="BD172" t="s">
        <v>69</v>
      </c>
      <c r="BE172" t="s">
        <v>69</v>
      </c>
      <c r="BF172">
        <v>10</v>
      </c>
      <c r="BG172" t="s">
        <v>2974</v>
      </c>
      <c r="BH172" t="s">
        <v>288</v>
      </c>
      <c r="BI172" t="s">
        <v>3311</v>
      </c>
      <c r="BJ172" t="s">
        <v>3312</v>
      </c>
      <c r="BK172">
        <v>21752861</v>
      </c>
      <c r="BL172" t="s">
        <v>69</v>
      </c>
      <c r="BM172" t="s">
        <v>69</v>
      </c>
      <c r="BN172" t="s">
        <v>69</v>
      </c>
      <c r="BO172" t="s">
        <v>95</v>
      </c>
      <c r="BP172" t="s">
        <v>69</v>
      </c>
    </row>
    <row r="173" spans="1:68" x14ac:dyDescent="0.15">
      <c r="A173" t="s">
        <v>67</v>
      </c>
      <c r="B173" t="s">
        <v>3313</v>
      </c>
      <c r="C173" t="s">
        <v>69</v>
      </c>
      <c r="D173" t="s">
        <v>69</v>
      </c>
      <c r="E173" t="s">
        <v>69</v>
      </c>
      <c r="F173" t="s">
        <v>3314</v>
      </c>
      <c r="G173" t="s">
        <v>69</v>
      </c>
      <c r="H173" t="s">
        <v>69</v>
      </c>
      <c r="I173" t="s">
        <v>3315</v>
      </c>
      <c r="J173" t="s">
        <v>1726</v>
      </c>
      <c r="K173" t="s">
        <v>69</v>
      </c>
      <c r="L173" t="s">
        <v>69</v>
      </c>
      <c r="M173" t="s">
        <v>73</v>
      </c>
      <c r="N173" t="s">
        <v>74</v>
      </c>
      <c r="O173" t="s">
        <v>69</v>
      </c>
      <c r="P173" t="s">
        <v>69</v>
      </c>
      <c r="Q173" t="s">
        <v>69</v>
      </c>
      <c r="R173" t="s">
        <v>69</v>
      </c>
      <c r="S173" t="s">
        <v>69</v>
      </c>
      <c r="T173" t="s">
        <v>3316</v>
      </c>
      <c r="U173" t="s">
        <v>3317</v>
      </c>
      <c r="V173" t="s">
        <v>3318</v>
      </c>
      <c r="W173" t="s">
        <v>3319</v>
      </c>
      <c r="X173" t="s">
        <v>3320</v>
      </c>
      <c r="Y173" t="s">
        <v>3321</v>
      </c>
      <c r="Z173" t="s">
        <v>3322</v>
      </c>
      <c r="AA173" t="s">
        <v>69</v>
      </c>
      <c r="AB173" t="s">
        <v>69</v>
      </c>
      <c r="AC173" t="s">
        <v>69</v>
      </c>
      <c r="AD173" t="s">
        <v>69</v>
      </c>
      <c r="AE173">
        <v>66</v>
      </c>
      <c r="AF173">
        <v>41</v>
      </c>
      <c r="AG173">
        <v>41</v>
      </c>
      <c r="AH173">
        <v>0</v>
      </c>
      <c r="AI173">
        <v>25</v>
      </c>
      <c r="AJ173" t="s">
        <v>108</v>
      </c>
      <c r="AK173" t="s">
        <v>109</v>
      </c>
      <c r="AL173" t="s">
        <v>110</v>
      </c>
      <c r="AM173" t="s">
        <v>1734</v>
      </c>
      <c r="AN173" t="s">
        <v>1735</v>
      </c>
      <c r="AO173" t="s">
        <v>69</v>
      </c>
      <c r="AP173" t="s">
        <v>1736</v>
      </c>
      <c r="AQ173" t="s">
        <v>1737</v>
      </c>
      <c r="AR173" t="s">
        <v>69</v>
      </c>
      <c r="AS173">
        <v>2012</v>
      </c>
      <c r="AT173">
        <v>38</v>
      </c>
      <c r="AU173">
        <v>4</v>
      </c>
      <c r="AV173" t="s">
        <v>69</v>
      </c>
      <c r="AW173" t="s">
        <v>69</v>
      </c>
      <c r="AX173" t="s">
        <v>69</v>
      </c>
      <c r="AY173" t="s">
        <v>69</v>
      </c>
      <c r="AZ173">
        <v>631</v>
      </c>
      <c r="BA173">
        <v>649</v>
      </c>
      <c r="BB173" t="s">
        <v>69</v>
      </c>
      <c r="BC173" t="s">
        <v>3323</v>
      </c>
      <c r="BD173" t="s">
        <v>69</v>
      </c>
      <c r="BE173" t="s">
        <v>69</v>
      </c>
      <c r="BF173">
        <v>19</v>
      </c>
      <c r="BG173" t="s">
        <v>1739</v>
      </c>
      <c r="BH173" t="s">
        <v>1739</v>
      </c>
      <c r="BI173" t="s">
        <v>3324</v>
      </c>
      <c r="BJ173" t="s">
        <v>3325</v>
      </c>
      <c r="BK173" t="s">
        <v>69</v>
      </c>
      <c r="BL173" t="s">
        <v>69</v>
      </c>
      <c r="BM173" t="s">
        <v>69</v>
      </c>
      <c r="BN173" t="s">
        <v>69</v>
      </c>
      <c r="BO173" t="s">
        <v>95</v>
      </c>
      <c r="BP173" t="s">
        <v>69</v>
      </c>
    </row>
    <row r="174" spans="1:68" x14ac:dyDescent="0.15">
      <c r="A174" t="s">
        <v>67</v>
      </c>
      <c r="B174" t="s">
        <v>3326</v>
      </c>
      <c r="C174" t="s">
        <v>69</v>
      </c>
      <c r="D174" t="s">
        <v>69</v>
      </c>
      <c r="E174" t="s">
        <v>69</v>
      </c>
      <c r="F174" t="s">
        <v>3327</v>
      </c>
      <c r="G174" t="s">
        <v>69</v>
      </c>
      <c r="H174" t="s">
        <v>69</v>
      </c>
      <c r="I174" t="s">
        <v>3328</v>
      </c>
      <c r="J174" t="s">
        <v>3329</v>
      </c>
      <c r="K174" t="s">
        <v>69</v>
      </c>
      <c r="L174" t="s">
        <v>69</v>
      </c>
      <c r="M174" t="s">
        <v>73</v>
      </c>
      <c r="N174" t="s">
        <v>74</v>
      </c>
      <c r="O174" t="s">
        <v>69</v>
      </c>
      <c r="P174" t="s">
        <v>69</v>
      </c>
      <c r="Q174" t="s">
        <v>69</v>
      </c>
      <c r="R174" t="s">
        <v>69</v>
      </c>
      <c r="S174" t="s">
        <v>69</v>
      </c>
      <c r="T174" t="s">
        <v>3330</v>
      </c>
      <c r="U174" t="s">
        <v>3331</v>
      </c>
      <c r="V174" t="s">
        <v>3332</v>
      </c>
      <c r="W174" t="s">
        <v>3333</v>
      </c>
      <c r="X174" t="s">
        <v>3334</v>
      </c>
      <c r="Y174" t="s">
        <v>3335</v>
      </c>
      <c r="Z174" t="s">
        <v>69</v>
      </c>
      <c r="AA174" t="s">
        <v>69</v>
      </c>
      <c r="AB174" t="s">
        <v>69</v>
      </c>
      <c r="AC174" t="s">
        <v>69</v>
      </c>
      <c r="AD174" t="s">
        <v>69</v>
      </c>
      <c r="AE174">
        <v>50</v>
      </c>
      <c r="AF174">
        <v>27</v>
      </c>
      <c r="AG174">
        <v>27</v>
      </c>
      <c r="AH174">
        <v>0</v>
      </c>
      <c r="AI174">
        <v>16</v>
      </c>
      <c r="AJ174" t="s">
        <v>223</v>
      </c>
      <c r="AK174" t="s">
        <v>224</v>
      </c>
      <c r="AL174" t="s">
        <v>225</v>
      </c>
      <c r="AM174" t="s">
        <v>3336</v>
      </c>
      <c r="AN174" t="s">
        <v>3337</v>
      </c>
      <c r="AO174" t="s">
        <v>69</v>
      </c>
      <c r="AP174" t="s">
        <v>3338</v>
      </c>
      <c r="AQ174" t="s">
        <v>3339</v>
      </c>
      <c r="AR174" t="s">
        <v>685</v>
      </c>
      <c r="AS174">
        <v>2012</v>
      </c>
      <c r="AT174">
        <v>8</v>
      </c>
      <c r="AU174">
        <v>1</v>
      </c>
      <c r="AV174" t="s">
        <v>69</v>
      </c>
      <c r="AW174" t="s">
        <v>69</v>
      </c>
      <c r="AX174" t="s">
        <v>69</v>
      </c>
      <c r="AY174" t="s">
        <v>69</v>
      </c>
      <c r="AZ174">
        <v>72</v>
      </c>
      <c r="BA174">
        <v>87</v>
      </c>
      <c r="BB174" t="s">
        <v>69</v>
      </c>
      <c r="BC174" t="s">
        <v>3340</v>
      </c>
      <c r="BD174" t="s">
        <v>69</v>
      </c>
      <c r="BE174" t="s">
        <v>69</v>
      </c>
      <c r="BF174">
        <v>16</v>
      </c>
      <c r="BG174" t="s">
        <v>3341</v>
      </c>
      <c r="BH174" t="s">
        <v>3341</v>
      </c>
      <c r="BI174" t="s">
        <v>3342</v>
      </c>
      <c r="BJ174" t="s">
        <v>3343</v>
      </c>
      <c r="BK174">
        <v>22136221</v>
      </c>
      <c r="BL174" t="s">
        <v>1532</v>
      </c>
      <c r="BM174" t="s">
        <v>69</v>
      </c>
      <c r="BN174" t="s">
        <v>69</v>
      </c>
      <c r="BO174" t="s">
        <v>95</v>
      </c>
      <c r="BP174" t="s">
        <v>69</v>
      </c>
    </row>
    <row r="175" spans="1:68" x14ac:dyDescent="0.15">
      <c r="A175" t="s">
        <v>67</v>
      </c>
      <c r="B175" t="s">
        <v>3344</v>
      </c>
      <c r="C175" t="s">
        <v>69</v>
      </c>
      <c r="D175" t="s">
        <v>69</v>
      </c>
      <c r="E175" t="s">
        <v>69</v>
      </c>
      <c r="F175" t="s">
        <v>3345</v>
      </c>
      <c r="G175" t="s">
        <v>69</v>
      </c>
      <c r="H175" t="s">
        <v>69</v>
      </c>
      <c r="I175" t="s">
        <v>3346</v>
      </c>
      <c r="J175" t="s">
        <v>3347</v>
      </c>
      <c r="K175" t="s">
        <v>69</v>
      </c>
      <c r="L175" t="s">
        <v>69</v>
      </c>
      <c r="M175" t="s">
        <v>73</v>
      </c>
      <c r="N175" t="s">
        <v>318</v>
      </c>
      <c r="O175" t="s">
        <v>69</v>
      </c>
      <c r="P175" t="s">
        <v>69</v>
      </c>
      <c r="Q175" t="s">
        <v>69</v>
      </c>
      <c r="R175" t="s">
        <v>69</v>
      </c>
      <c r="S175" t="s">
        <v>69</v>
      </c>
      <c r="T175" t="s">
        <v>3348</v>
      </c>
      <c r="U175" t="s">
        <v>3349</v>
      </c>
      <c r="V175" t="s">
        <v>3350</v>
      </c>
      <c r="W175" t="s">
        <v>3351</v>
      </c>
      <c r="X175" t="s">
        <v>3352</v>
      </c>
      <c r="Y175" t="s">
        <v>3353</v>
      </c>
      <c r="Z175" t="s">
        <v>69</v>
      </c>
      <c r="AA175" t="s">
        <v>69</v>
      </c>
      <c r="AB175" t="s">
        <v>69</v>
      </c>
      <c r="AC175" t="s">
        <v>69</v>
      </c>
      <c r="AD175" t="s">
        <v>69</v>
      </c>
      <c r="AE175">
        <v>104</v>
      </c>
      <c r="AF175">
        <v>12</v>
      </c>
      <c r="AG175">
        <v>12</v>
      </c>
      <c r="AH175">
        <v>0</v>
      </c>
      <c r="AI175">
        <v>1</v>
      </c>
      <c r="AJ175" t="s">
        <v>82</v>
      </c>
      <c r="AK175" t="s">
        <v>83</v>
      </c>
      <c r="AL175" t="s">
        <v>84</v>
      </c>
      <c r="AM175" t="s">
        <v>69</v>
      </c>
      <c r="AN175" t="s">
        <v>3354</v>
      </c>
      <c r="AO175" t="s">
        <v>69</v>
      </c>
      <c r="AP175" t="s">
        <v>3347</v>
      </c>
      <c r="AQ175" t="s">
        <v>3355</v>
      </c>
      <c r="AR175" t="s">
        <v>1374</v>
      </c>
      <c r="AS175">
        <v>2011</v>
      </c>
      <c r="AT175">
        <v>2</v>
      </c>
      <c r="AU175">
        <v>3</v>
      </c>
      <c r="AV175" t="s">
        <v>69</v>
      </c>
      <c r="AW175" t="s">
        <v>69</v>
      </c>
      <c r="AX175" t="s">
        <v>69</v>
      </c>
      <c r="AY175" t="s">
        <v>69</v>
      </c>
      <c r="AZ175">
        <v>312</v>
      </c>
      <c r="BA175">
        <v>329</v>
      </c>
      <c r="BB175" t="s">
        <v>69</v>
      </c>
      <c r="BC175" t="s">
        <v>3356</v>
      </c>
      <c r="BD175" t="s">
        <v>69</v>
      </c>
      <c r="BE175" t="s">
        <v>69</v>
      </c>
      <c r="BF175">
        <v>18</v>
      </c>
      <c r="BG175" t="s">
        <v>401</v>
      </c>
      <c r="BH175" t="s">
        <v>401</v>
      </c>
      <c r="BI175" t="s">
        <v>3357</v>
      </c>
      <c r="BJ175" t="s">
        <v>3358</v>
      </c>
      <c r="BK175" t="s">
        <v>69</v>
      </c>
      <c r="BL175" t="s">
        <v>94</v>
      </c>
      <c r="BM175" t="s">
        <v>69</v>
      </c>
      <c r="BN175" t="s">
        <v>69</v>
      </c>
      <c r="BO175" t="s">
        <v>95</v>
      </c>
      <c r="BP175" t="s">
        <v>69</v>
      </c>
    </row>
    <row r="176" spans="1:68" x14ac:dyDescent="0.15">
      <c r="A176" t="s">
        <v>67</v>
      </c>
      <c r="B176" t="s">
        <v>3359</v>
      </c>
      <c r="C176" t="s">
        <v>69</v>
      </c>
      <c r="D176" t="s">
        <v>69</v>
      </c>
      <c r="E176" t="s">
        <v>69</v>
      </c>
      <c r="F176" t="s">
        <v>3360</v>
      </c>
      <c r="G176" t="s">
        <v>69</v>
      </c>
      <c r="H176" t="s">
        <v>69</v>
      </c>
      <c r="I176" t="s">
        <v>3361</v>
      </c>
      <c r="J176" t="s">
        <v>762</v>
      </c>
      <c r="K176" t="s">
        <v>69</v>
      </c>
      <c r="L176" t="s">
        <v>69</v>
      </c>
      <c r="M176" t="s">
        <v>73</v>
      </c>
      <c r="N176" t="s">
        <v>74</v>
      </c>
      <c r="O176" t="s">
        <v>69</v>
      </c>
      <c r="P176" t="s">
        <v>69</v>
      </c>
      <c r="Q176" t="s">
        <v>69</v>
      </c>
      <c r="R176" t="s">
        <v>69</v>
      </c>
      <c r="S176" t="s">
        <v>69</v>
      </c>
      <c r="T176" t="s">
        <v>3362</v>
      </c>
      <c r="U176" t="s">
        <v>3363</v>
      </c>
      <c r="V176" t="s">
        <v>3364</v>
      </c>
      <c r="W176" t="s">
        <v>3365</v>
      </c>
      <c r="X176" t="s">
        <v>3366</v>
      </c>
      <c r="Y176" t="s">
        <v>3367</v>
      </c>
      <c r="Z176" t="s">
        <v>69</v>
      </c>
      <c r="AA176" t="s">
        <v>69</v>
      </c>
      <c r="AB176" t="s">
        <v>69</v>
      </c>
      <c r="AC176" t="s">
        <v>69</v>
      </c>
      <c r="AD176" t="s">
        <v>69</v>
      </c>
      <c r="AE176">
        <v>50</v>
      </c>
      <c r="AF176">
        <v>44</v>
      </c>
      <c r="AG176">
        <v>44</v>
      </c>
      <c r="AH176">
        <v>2</v>
      </c>
      <c r="AI176">
        <v>38</v>
      </c>
      <c r="AJ176" t="s">
        <v>771</v>
      </c>
      <c r="AK176" t="s">
        <v>772</v>
      </c>
      <c r="AL176" t="s">
        <v>773</v>
      </c>
      <c r="AM176" t="s">
        <v>774</v>
      </c>
      <c r="AN176" t="s">
        <v>69</v>
      </c>
      <c r="AO176" t="s">
        <v>69</v>
      </c>
      <c r="AP176" t="s">
        <v>776</v>
      </c>
      <c r="AQ176" t="s">
        <v>777</v>
      </c>
      <c r="AR176" t="s">
        <v>468</v>
      </c>
      <c r="AS176">
        <v>2011</v>
      </c>
      <c r="AT176">
        <v>35</v>
      </c>
      <c r="AU176">
        <v>3</v>
      </c>
      <c r="AV176" t="s">
        <v>69</v>
      </c>
      <c r="AW176" t="s">
        <v>69</v>
      </c>
      <c r="AX176" t="s">
        <v>69</v>
      </c>
      <c r="AY176" t="s">
        <v>69</v>
      </c>
      <c r="AZ176">
        <v>334</v>
      </c>
      <c r="BA176">
        <v>345</v>
      </c>
      <c r="BB176" t="s">
        <v>69</v>
      </c>
      <c r="BC176" t="s">
        <v>3368</v>
      </c>
      <c r="BD176" t="s">
        <v>69</v>
      </c>
      <c r="BE176" t="s">
        <v>69</v>
      </c>
      <c r="BF176">
        <v>12</v>
      </c>
      <c r="BG176" t="s">
        <v>779</v>
      </c>
      <c r="BH176" t="s">
        <v>780</v>
      </c>
      <c r="BI176" t="s">
        <v>3369</v>
      </c>
      <c r="BJ176" t="s">
        <v>3370</v>
      </c>
      <c r="BK176" t="s">
        <v>69</v>
      </c>
      <c r="BL176" t="s">
        <v>69</v>
      </c>
      <c r="BM176" t="s">
        <v>69</v>
      </c>
      <c r="BN176" t="s">
        <v>69</v>
      </c>
      <c r="BO176" t="s">
        <v>95</v>
      </c>
      <c r="BP176" t="s">
        <v>69</v>
      </c>
    </row>
    <row r="177" spans="1:68" x14ac:dyDescent="0.15">
      <c r="A177" t="s">
        <v>67</v>
      </c>
      <c r="B177" t="s">
        <v>3371</v>
      </c>
      <c r="C177" t="s">
        <v>69</v>
      </c>
      <c r="D177" t="s">
        <v>69</v>
      </c>
      <c r="E177" t="s">
        <v>69</v>
      </c>
      <c r="F177" t="s">
        <v>3372</v>
      </c>
      <c r="G177" t="s">
        <v>69</v>
      </c>
      <c r="H177" t="s">
        <v>69</v>
      </c>
      <c r="I177" t="s">
        <v>3373</v>
      </c>
      <c r="J177" t="s">
        <v>2464</v>
      </c>
      <c r="K177" t="s">
        <v>69</v>
      </c>
      <c r="L177" t="s">
        <v>69</v>
      </c>
      <c r="M177" t="s">
        <v>73</v>
      </c>
      <c r="N177" t="s">
        <v>74</v>
      </c>
      <c r="O177" t="s">
        <v>69</v>
      </c>
      <c r="P177" t="s">
        <v>69</v>
      </c>
      <c r="Q177" t="s">
        <v>69</v>
      </c>
      <c r="R177" t="s">
        <v>69</v>
      </c>
      <c r="S177" t="s">
        <v>69</v>
      </c>
      <c r="T177" t="s">
        <v>3374</v>
      </c>
      <c r="U177" t="s">
        <v>3375</v>
      </c>
      <c r="V177" t="s">
        <v>3376</v>
      </c>
      <c r="W177" t="s">
        <v>3377</v>
      </c>
      <c r="X177" t="s">
        <v>3378</v>
      </c>
      <c r="Y177" t="s">
        <v>3379</v>
      </c>
      <c r="Z177" t="s">
        <v>69</v>
      </c>
      <c r="AA177" t="s">
        <v>69</v>
      </c>
      <c r="AB177" t="s">
        <v>3380</v>
      </c>
      <c r="AC177" t="s">
        <v>69</v>
      </c>
      <c r="AD177" t="s">
        <v>69</v>
      </c>
      <c r="AE177">
        <v>75</v>
      </c>
      <c r="AF177">
        <v>45</v>
      </c>
      <c r="AG177">
        <v>46</v>
      </c>
      <c r="AH177">
        <v>1</v>
      </c>
      <c r="AI177">
        <v>47</v>
      </c>
      <c r="AJ177" t="s">
        <v>2471</v>
      </c>
      <c r="AK177" t="s">
        <v>2472</v>
      </c>
      <c r="AL177" t="s">
        <v>2473</v>
      </c>
      <c r="AM177" t="s">
        <v>2474</v>
      </c>
      <c r="AN177" t="s">
        <v>2475</v>
      </c>
      <c r="AO177" t="s">
        <v>69</v>
      </c>
      <c r="AP177" t="s">
        <v>2476</v>
      </c>
      <c r="AQ177" t="s">
        <v>2477</v>
      </c>
      <c r="AR177" t="s">
        <v>468</v>
      </c>
      <c r="AS177">
        <v>2011</v>
      </c>
      <c r="AT177">
        <v>40</v>
      </c>
      <c r="AU177">
        <v>3</v>
      </c>
      <c r="AV177" t="s">
        <v>69</v>
      </c>
      <c r="AW177" t="s">
        <v>69</v>
      </c>
      <c r="AX177" t="s">
        <v>69</v>
      </c>
      <c r="AY177" t="s">
        <v>69</v>
      </c>
      <c r="AZ177">
        <v>965</v>
      </c>
      <c r="BA177">
        <v>984</v>
      </c>
      <c r="BB177" t="s">
        <v>69</v>
      </c>
      <c r="BC177" t="s">
        <v>3381</v>
      </c>
      <c r="BD177" t="s">
        <v>69</v>
      </c>
      <c r="BE177" t="s">
        <v>69</v>
      </c>
      <c r="BF177">
        <v>20</v>
      </c>
      <c r="BG177" t="s">
        <v>493</v>
      </c>
      <c r="BH177" t="s">
        <v>493</v>
      </c>
      <c r="BI177" t="s">
        <v>3382</v>
      </c>
      <c r="BJ177" t="s">
        <v>3383</v>
      </c>
      <c r="BK177">
        <v>21572546</v>
      </c>
      <c r="BL177" t="s">
        <v>833</v>
      </c>
      <c r="BM177" t="s">
        <v>69</v>
      </c>
      <c r="BN177" t="s">
        <v>69</v>
      </c>
      <c r="BO177" t="s">
        <v>95</v>
      </c>
      <c r="BP177" t="s">
        <v>69</v>
      </c>
    </row>
    <row r="178" spans="1:68" x14ac:dyDescent="0.15">
      <c r="A178" t="s">
        <v>67</v>
      </c>
      <c r="B178" t="s">
        <v>3384</v>
      </c>
      <c r="C178" t="s">
        <v>69</v>
      </c>
      <c r="D178" t="s">
        <v>69</v>
      </c>
      <c r="E178" t="s">
        <v>69</v>
      </c>
      <c r="F178" t="s">
        <v>3385</v>
      </c>
      <c r="G178" t="s">
        <v>69</v>
      </c>
      <c r="H178" t="s">
        <v>69</v>
      </c>
      <c r="I178" t="s">
        <v>3386</v>
      </c>
      <c r="J178" t="s">
        <v>857</v>
      </c>
      <c r="K178" t="s">
        <v>69</v>
      </c>
      <c r="L178" t="s">
        <v>69</v>
      </c>
      <c r="M178" t="s">
        <v>73</v>
      </c>
      <c r="N178" t="s">
        <v>74</v>
      </c>
      <c r="O178" t="s">
        <v>69</v>
      </c>
      <c r="P178" t="s">
        <v>69</v>
      </c>
      <c r="Q178" t="s">
        <v>69</v>
      </c>
      <c r="R178" t="s">
        <v>69</v>
      </c>
      <c r="S178" t="s">
        <v>69</v>
      </c>
      <c r="T178" t="s">
        <v>3387</v>
      </c>
      <c r="U178" t="s">
        <v>69</v>
      </c>
      <c r="V178" t="s">
        <v>3388</v>
      </c>
      <c r="W178" t="s">
        <v>3389</v>
      </c>
      <c r="X178" t="s">
        <v>3390</v>
      </c>
      <c r="Y178" t="s">
        <v>3391</v>
      </c>
      <c r="Z178" t="s">
        <v>69</v>
      </c>
      <c r="AA178" t="s">
        <v>69</v>
      </c>
      <c r="AB178" t="s">
        <v>69</v>
      </c>
      <c r="AC178" t="s">
        <v>69</v>
      </c>
      <c r="AD178" t="s">
        <v>69</v>
      </c>
      <c r="AE178">
        <v>21</v>
      </c>
      <c r="AF178">
        <v>17</v>
      </c>
      <c r="AG178">
        <v>17</v>
      </c>
      <c r="AH178">
        <v>0</v>
      </c>
      <c r="AI178">
        <v>10</v>
      </c>
      <c r="AJ178" t="s">
        <v>3392</v>
      </c>
      <c r="AK178" t="s">
        <v>156</v>
      </c>
      <c r="AL178" t="s">
        <v>3393</v>
      </c>
      <c r="AM178" t="s">
        <v>868</v>
      </c>
      <c r="AN178" t="s">
        <v>69</v>
      </c>
      <c r="AO178" t="s">
        <v>69</v>
      </c>
      <c r="AP178" t="s">
        <v>870</v>
      </c>
      <c r="AQ178" t="s">
        <v>871</v>
      </c>
      <c r="AR178" t="s">
        <v>69</v>
      </c>
      <c r="AS178">
        <v>2011</v>
      </c>
      <c r="AT178">
        <v>32</v>
      </c>
      <c r="AU178">
        <v>2</v>
      </c>
      <c r="AV178" t="s">
        <v>69</v>
      </c>
      <c r="AW178" t="s">
        <v>69</v>
      </c>
      <c r="AX178" t="s">
        <v>356</v>
      </c>
      <c r="AY178" t="s">
        <v>69</v>
      </c>
      <c r="AZ178">
        <v>111</v>
      </c>
      <c r="BA178">
        <v>120</v>
      </c>
      <c r="BB178" t="s">
        <v>3394</v>
      </c>
      <c r="BC178" t="s">
        <v>3395</v>
      </c>
      <c r="BD178" t="s">
        <v>69</v>
      </c>
      <c r="BE178" t="s">
        <v>69</v>
      </c>
      <c r="BF178">
        <v>10</v>
      </c>
      <c r="BG178" t="s">
        <v>875</v>
      </c>
      <c r="BH178" t="s">
        <v>876</v>
      </c>
      <c r="BI178" t="s">
        <v>3396</v>
      </c>
      <c r="BJ178" t="s">
        <v>3397</v>
      </c>
      <c r="BK178" t="s">
        <v>69</v>
      </c>
      <c r="BL178" t="s">
        <v>69</v>
      </c>
      <c r="BM178" t="s">
        <v>69</v>
      </c>
      <c r="BN178" t="s">
        <v>69</v>
      </c>
      <c r="BO178" t="s">
        <v>95</v>
      </c>
      <c r="BP178" t="s">
        <v>69</v>
      </c>
    </row>
    <row r="179" spans="1:68" x14ac:dyDescent="0.15">
      <c r="A179" t="s">
        <v>67</v>
      </c>
      <c r="B179" t="s">
        <v>3398</v>
      </c>
      <c r="C179" t="s">
        <v>69</v>
      </c>
      <c r="D179" t="s">
        <v>69</v>
      </c>
      <c r="E179" t="s">
        <v>69</v>
      </c>
      <c r="F179" t="s">
        <v>3399</v>
      </c>
      <c r="G179" t="s">
        <v>69</v>
      </c>
      <c r="H179" t="s">
        <v>69</v>
      </c>
      <c r="I179" t="s">
        <v>3400</v>
      </c>
      <c r="J179" t="s">
        <v>3401</v>
      </c>
      <c r="K179" t="s">
        <v>69</v>
      </c>
      <c r="L179" t="s">
        <v>69</v>
      </c>
      <c r="M179" t="s">
        <v>73</v>
      </c>
      <c r="N179" t="s">
        <v>74</v>
      </c>
      <c r="O179" t="s">
        <v>69</v>
      </c>
      <c r="P179" t="s">
        <v>69</v>
      </c>
      <c r="Q179" t="s">
        <v>69</v>
      </c>
      <c r="R179" t="s">
        <v>69</v>
      </c>
      <c r="S179" t="s">
        <v>69</v>
      </c>
      <c r="T179" t="s">
        <v>3402</v>
      </c>
      <c r="U179" t="s">
        <v>3403</v>
      </c>
      <c r="V179" t="s">
        <v>3404</v>
      </c>
      <c r="W179" t="s">
        <v>3405</v>
      </c>
      <c r="X179" t="s">
        <v>3406</v>
      </c>
      <c r="Y179" t="s">
        <v>3407</v>
      </c>
      <c r="Z179" t="s">
        <v>69</v>
      </c>
      <c r="AA179" t="s">
        <v>69</v>
      </c>
      <c r="AB179" t="s">
        <v>69</v>
      </c>
      <c r="AC179" t="s">
        <v>69</v>
      </c>
      <c r="AD179" t="s">
        <v>69</v>
      </c>
      <c r="AE179">
        <v>87</v>
      </c>
      <c r="AF179">
        <v>87</v>
      </c>
      <c r="AG179">
        <v>88</v>
      </c>
      <c r="AH179">
        <v>0</v>
      </c>
      <c r="AI179">
        <v>15</v>
      </c>
      <c r="AJ179" t="s">
        <v>108</v>
      </c>
      <c r="AK179" t="s">
        <v>109</v>
      </c>
      <c r="AL179" t="s">
        <v>110</v>
      </c>
      <c r="AM179" t="s">
        <v>3408</v>
      </c>
      <c r="AN179" t="s">
        <v>3409</v>
      </c>
      <c r="AO179" t="s">
        <v>69</v>
      </c>
      <c r="AP179" t="s">
        <v>3410</v>
      </c>
      <c r="AQ179" t="s">
        <v>3411</v>
      </c>
      <c r="AR179" t="s">
        <v>69</v>
      </c>
      <c r="AS179">
        <v>2011</v>
      </c>
      <c r="AT179">
        <v>14</v>
      </c>
      <c r="AU179">
        <v>3</v>
      </c>
      <c r="AV179" t="s">
        <v>69</v>
      </c>
      <c r="AW179" t="s">
        <v>69</v>
      </c>
      <c r="AX179" t="s">
        <v>356</v>
      </c>
      <c r="AY179" t="s">
        <v>69</v>
      </c>
      <c r="AZ179">
        <v>223</v>
      </c>
      <c r="BA179">
        <v>244</v>
      </c>
      <c r="BB179" t="s">
        <v>69</v>
      </c>
      <c r="BC179" t="s">
        <v>3412</v>
      </c>
      <c r="BD179" t="s">
        <v>69</v>
      </c>
      <c r="BE179" t="s">
        <v>69</v>
      </c>
      <c r="BF179">
        <v>22</v>
      </c>
      <c r="BG179" t="s">
        <v>850</v>
      </c>
      <c r="BH179" t="s">
        <v>232</v>
      </c>
      <c r="BI179" t="s">
        <v>3413</v>
      </c>
      <c r="BJ179" t="s">
        <v>3414</v>
      </c>
      <c r="BK179" t="s">
        <v>69</v>
      </c>
      <c r="BL179" t="s">
        <v>833</v>
      </c>
      <c r="BM179" t="s">
        <v>69</v>
      </c>
      <c r="BN179" t="s">
        <v>69</v>
      </c>
      <c r="BO179" t="s">
        <v>95</v>
      </c>
      <c r="BP179" t="s">
        <v>69</v>
      </c>
    </row>
    <row r="180" spans="1:68" x14ac:dyDescent="0.15">
      <c r="A180" t="s">
        <v>67</v>
      </c>
      <c r="B180" t="s">
        <v>3415</v>
      </c>
      <c r="C180" t="s">
        <v>69</v>
      </c>
      <c r="D180" t="s">
        <v>69</v>
      </c>
      <c r="E180" t="s">
        <v>69</v>
      </c>
      <c r="F180" t="s">
        <v>3416</v>
      </c>
      <c r="G180" t="s">
        <v>69</v>
      </c>
      <c r="H180" t="s">
        <v>69</v>
      </c>
      <c r="I180" t="s">
        <v>3417</v>
      </c>
      <c r="J180" t="s">
        <v>3418</v>
      </c>
      <c r="K180" t="s">
        <v>69</v>
      </c>
      <c r="L180" t="s">
        <v>69</v>
      </c>
      <c r="M180" t="s">
        <v>73</v>
      </c>
      <c r="N180" t="s">
        <v>74</v>
      </c>
      <c r="O180" t="s">
        <v>69</v>
      </c>
      <c r="P180" t="s">
        <v>69</v>
      </c>
      <c r="Q180" t="s">
        <v>69</v>
      </c>
      <c r="R180" t="s">
        <v>69</v>
      </c>
      <c r="S180" t="s">
        <v>69</v>
      </c>
      <c r="T180" t="s">
        <v>69</v>
      </c>
      <c r="U180" t="s">
        <v>3419</v>
      </c>
      <c r="V180" t="s">
        <v>3420</v>
      </c>
      <c r="W180" t="s">
        <v>3421</v>
      </c>
      <c r="X180" t="s">
        <v>3422</v>
      </c>
      <c r="Y180" t="s">
        <v>3423</v>
      </c>
      <c r="Z180" t="s">
        <v>69</v>
      </c>
      <c r="AA180" t="s">
        <v>69</v>
      </c>
      <c r="AB180" t="s">
        <v>69</v>
      </c>
      <c r="AC180" t="s">
        <v>69</v>
      </c>
      <c r="AD180" t="s">
        <v>69</v>
      </c>
      <c r="AE180">
        <v>60</v>
      </c>
      <c r="AF180">
        <v>12</v>
      </c>
      <c r="AG180">
        <v>12</v>
      </c>
      <c r="AH180">
        <v>0</v>
      </c>
      <c r="AI180">
        <v>20</v>
      </c>
      <c r="AJ180" t="s">
        <v>2232</v>
      </c>
      <c r="AK180" t="s">
        <v>109</v>
      </c>
      <c r="AL180" t="s">
        <v>2233</v>
      </c>
      <c r="AM180" t="s">
        <v>3424</v>
      </c>
      <c r="AN180" t="s">
        <v>3425</v>
      </c>
      <c r="AO180" t="s">
        <v>69</v>
      </c>
      <c r="AP180" t="s">
        <v>3426</v>
      </c>
      <c r="AQ180" t="s">
        <v>3427</v>
      </c>
      <c r="AR180" t="s">
        <v>69</v>
      </c>
      <c r="AS180">
        <v>2011</v>
      </c>
      <c r="AT180">
        <v>23</v>
      </c>
      <c r="AU180">
        <v>6</v>
      </c>
      <c r="AV180" t="s">
        <v>69</v>
      </c>
      <c r="AW180" t="s">
        <v>69</v>
      </c>
      <c r="AX180" t="s">
        <v>69</v>
      </c>
      <c r="AY180" t="s">
        <v>69</v>
      </c>
      <c r="AZ180">
        <v>555</v>
      </c>
      <c r="BA180">
        <v>564</v>
      </c>
      <c r="BB180" t="s">
        <v>69</v>
      </c>
      <c r="BC180" t="s">
        <v>3428</v>
      </c>
      <c r="BD180" t="s">
        <v>69</v>
      </c>
      <c r="BE180" t="s">
        <v>69</v>
      </c>
      <c r="BF180">
        <v>10</v>
      </c>
      <c r="BG180" t="s">
        <v>1213</v>
      </c>
      <c r="BH180" t="s">
        <v>1213</v>
      </c>
      <c r="BI180" t="s">
        <v>3429</v>
      </c>
      <c r="BJ180" t="s">
        <v>3430</v>
      </c>
      <c r="BK180">
        <v>22272594</v>
      </c>
      <c r="BL180" t="s">
        <v>69</v>
      </c>
      <c r="BM180" t="s">
        <v>69</v>
      </c>
      <c r="BN180" t="s">
        <v>69</v>
      </c>
      <c r="BO180" t="s">
        <v>95</v>
      </c>
      <c r="BP180" t="s">
        <v>69</v>
      </c>
    </row>
    <row r="181" spans="1:68" x14ac:dyDescent="0.15">
      <c r="A181" t="s">
        <v>67</v>
      </c>
      <c r="B181" t="s">
        <v>3431</v>
      </c>
      <c r="C181" t="s">
        <v>69</v>
      </c>
      <c r="D181" t="s">
        <v>69</v>
      </c>
      <c r="E181" t="s">
        <v>69</v>
      </c>
      <c r="F181" t="s">
        <v>3432</v>
      </c>
      <c r="G181" t="s">
        <v>69</v>
      </c>
      <c r="H181" t="s">
        <v>69</v>
      </c>
      <c r="I181" t="s">
        <v>3433</v>
      </c>
      <c r="J181" t="s">
        <v>3434</v>
      </c>
      <c r="K181" t="s">
        <v>69</v>
      </c>
      <c r="L181" t="s">
        <v>69</v>
      </c>
      <c r="M181" t="s">
        <v>73</v>
      </c>
      <c r="N181" t="s">
        <v>74</v>
      </c>
      <c r="O181" t="s">
        <v>69</v>
      </c>
      <c r="P181" t="s">
        <v>69</v>
      </c>
      <c r="Q181" t="s">
        <v>69</v>
      </c>
      <c r="R181" t="s">
        <v>69</v>
      </c>
      <c r="S181" t="s">
        <v>69</v>
      </c>
      <c r="T181" t="s">
        <v>3435</v>
      </c>
      <c r="U181" t="s">
        <v>3436</v>
      </c>
      <c r="V181" t="s">
        <v>3437</v>
      </c>
      <c r="W181" t="s">
        <v>3438</v>
      </c>
      <c r="X181" t="s">
        <v>3439</v>
      </c>
      <c r="Y181" t="s">
        <v>3440</v>
      </c>
      <c r="Z181" t="s">
        <v>69</v>
      </c>
      <c r="AA181" t="s">
        <v>69</v>
      </c>
      <c r="AB181" t="s">
        <v>69</v>
      </c>
      <c r="AC181" t="s">
        <v>69</v>
      </c>
      <c r="AD181" t="s">
        <v>69</v>
      </c>
      <c r="AE181">
        <v>91</v>
      </c>
      <c r="AF181">
        <v>20</v>
      </c>
      <c r="AG181">
        <v>20</v>
      </c>
      <c r="AH181">
        <v>0</v>
      </c>
      <c r="AI181">
        <v>12</v>
      </c>
      <c r="AJ181" t="s">
        <v>108</v>
      </c>
      <c r="AK181" t="s">
        <v>109</v>
      </c>
      <c r="AL181" t="s">
        <v>110</v>
      </c>
      <c r="AM181" t="s">
        <v>3441</v>
      </c>
      <c r="AN181" t="s">
        <v>3442</v>
      </c>
      <c r="AO181" t="s">
        <v>69</v>
      </c>
      <c r="AP181" t="s">
        <v>3443</v>
      </c>
      <c r="AQ181" t="s">
        <v>3444</v>
      </c>
      <c r="AR181" t="s">
        <v>69</v>
      </c>
      <c r="AS181">
        <v>2011</v>
      </c>
      <c r="AT181">
        <v>20</v>
      </c>
      <c r="AU181">
        <v>2</v>
      </c>
      <c r="AV181" t="s">
        <v>69</v>
      </c>
      <c r="AW181" t="s">
        <v>69</v>
      </c>
      <c r="AX181" t="s">
        <v>69</v>
      </c>
      <c r="AY181" t="s">
        <v>69</v>
      </c>
      <c r="AZ181">
        <v>218</v>
      </c>
      <c r="BA181">
        <v>243</v>
      </c>
      <c r="BB181" t="s">
        <v>3445</v>
      </c>
      <c r="BC181" t="s">
        <v>3446</v>
      </c>
      <c r="BD181" t="s">
        <v>69</v>
      </c>
      <c r="BE181" t="s">
        <v>69</v>
      </c>
      <c r="BF181">
        <v>26</v>
      </c>
      <c r="BG181" t="s">
        <v>3447</v>
      </c>
      <c r="BH181" t="s">
        <v>3448</v>
      </c>
      <c r="BI181" t="s">
        <v>3449</v>
      </c>
      <c r="BJ181" t="s">
        <v>3450</v>
      </c>
      <c r="BK181">
        <v>21442534</v>
      </c>
      <c r="BL181" t="s">
        <v>69</v>
      </c>
      <c r="BM181" t="s">
        <v>69</v>
      </c>
      <c r="BN181" t="s">
        <v>69</v>
      </c>
      <c r="BO181" t="s">
        <v>95</v>
      </c>
      <c r="BP181" t="s">
        <v>69</v>
      </c>
    </row>
    <row r="182" spans="1:68" x14ac:dyDescent="0.15">
      <c r="A182" t="s">
        <v>67</v>
      </c>
      <c r="B182" t="s">
        <v>3451</v>
      </c>
      <c r="C182" t="s">
        <v>69</v>
      </c>
      <c r="D182" t="s">
        <v>69</v>
      </c>
      <c r="E182" t="s">
        <v>69</v>
      </c>
      <c r="F182" t="s">
        <v>3452</v>
      </c>
      <c r="G182" t="s">
        <v>69</v>
      </c>
      <c r="H182" t="s">
        <v>69</v>
      </c>
      <c r="I182" t="s">
        <v>3453</v>
      </c>
      <c r="J182" t="s">
        <v>3454</v>
      </c>
      <c r="K182" t="s">
        <v>69</v>
      </c>
      <c r="L182" t="s">
        <v>69</v>
      </c>
      <c r="M182" t="s">
        <v>73</v>
      </c>
      <c r="N182" t="s">
        <v>318</v>
      </c>
      <c r="O182" t="s">
        <v>69</v>
      </c>
      <c r="P182" t="s">
        <v>69</v>
      </c>
      <c r="Q182" t="s">
        <v>69</v>
      </c>
      <c r="R182" t="s">
        <v>69</v>
      </c>
      <c r="S182" t="s">
        <v>69</v>
      </c>
      <c r="T182" t="s">
        <v>3455</v>
      </c>
      <c r="U182" t="s">
        <v>3456</v>
      </c>
      <c r="V182" t="s">
        <v>3457</v>
      </c>
      <c r="W182" t="s">
        <v>3458</v>
      </c>
      <c r="X182" t="s">
        <v>3459</v>
      </c>
      <c r="Y182" t="s">
        <v>3460</v>
      </c>
      <c r="Z182" t="s">
        <v>3461</v>
      </c>
      <c r="AA182" t="s">
        <v>3462</v>
      </c>
      <c r="AB182" t="s">
        <v>3463</v>
      </c>
      <c r="AC182" t="s">
        <v>3464</v>
      </c>
      <c r="AD182" t="s">
        <v>69</v>
      </c>
      <c r="AE182">
        <v>135</v>
      </c>
      <c r="AF182">
        <v>42</v>
      </c>
      <c r="AG182">
        <v>42</v>
      </c>
      <c r="AH182">
        <v>2</v>
      </c>
      <c r="AI182">
        <v>43</v>
      </c>
      <c r="AJ182" t="s">
        <v>982</v>
      </c>
      <c r="AK182" t="s">
        <v>573</v>
      </c>
      <c r="AL182" t="s">
        <v>983</v>
      </c>
      <c r="AM182" t="s">
        <v>3465</v>
      </c>
      <c r="AN182" t="s">
        <v>3466</v>
      </c>
      <c r="AO182" t="s">
        <v>69</v>
      </c>
      <c r="AP182" t="s">
        <v>3467</v>
      </c>
      <c r="AQ182" t="s">
        <v>3468</v>
      </c>
      <c r="AR182" t="s">
        <v>355</v>
      </c>
      <c r="AS182">
        <v>2010</v>
      </c>
      <c r="AT182">
        <v>157</v>
      </c>
      <c r="AU182">
        <v>4</v>
      </c>
      <c r="AV182" t="s">
        <v>69</v>
      </c>
      <c r="AW182" t="s">
        <v>69</v>
      </c>
      <c r="AX182" t="s">
        <v>69</v>
      </c>
      <c r="AY182" t="s">
        <v>69</v>
      </c>
      <c r="AZ182">
        <v>297</v>
      </c>
      <c r="BA182">
        <v>309</v>
      </c>
      <c r="BB182" t="s">
        <v>69</v>
      </c>
      <c r="BC182" t="s">
        <v>3469</v>
      </c>
      <c r="BD182" t="s">
        <v>69</v>
      </c>
      <c r="BE182" t="s">
        <v>69</v>
      </c>
      <c r="BF182">
        <v>13</v>
      </c>
      <c r="BG182" t="s">
        <v>3470</v>
      </c>
      <c r="BH182" t="s">
        <v>3470</v>
      </c>
      <c r="BI182" t="s">
        <v>3471</v>
      </c>
      <c r="BJ182" t="s">
        <v>3472</v>
      </c>
      <c r="BK182">
        <v>20561892</v>
      </c>
      <c r="BL182" t="s">
        <v>69</v>
      </c>
      <c r="BM182" t="s">
        <v>69</v>
      </c>
      <c r="BN182" t="s">
        <v>69</v>
      </c>
      <c r="BO182" t="s">
        <v>95</v>
      </c>
      <c r="BP182" t="s">
        <v>69</v>
      </c>
    </row>
    <row r="183" spans="1:68" x14ac:dyDescent="0.15">
      <c r="A183" t="s">
        <v>67</v>
      </c>
      <c r="B183" t="s">
        <v>3473</v>
      </c>
      <c r="C183" t="s">
        <v>69</v>
      </c>
      <c r="D183" t="s">
        <v>69</v>
      </c>
      <c r="E183" t="s">
        <v>69</v>
      </c>
      <c r="F183" t="s">
        <v>3474</v>
      </c>
      <c r="G183" t="s">
        <v>69</v>
      </c>
      <c r="H183" t="s">
        <v>69</v>
      </c>
      <c r="I183" t="s">
        <v>3475</v>
      </c>
      <c r="J183" t="s">
        <v>3476</v>
      </c>
      <c r="K183" t="s">
        <v>69</v>
      </c>
      <c r="L183" t="s">
        <v>69</v>
      </c>
      <c r="M183" t="s">
        <v>544</v>
      </c>
      <c r="N183" t="s">
        <v>74</v>
      </c>
      <c r="O183" t="s">
        <v>69</v>
      </c>
      <c r="P183" t="s">
        <v>69</v>
      </c>
      <c r="Q183" t="s">
        <v>69</v>
      </c>
      <c r="R183" t="s">
        <v>69</v>
      </c>
      <c r="S183" t="s">
        <v>69</v>
      </c>
      <c r="T183" t="s">
        <v>3477</v>
      </c>
      <c r="U183" t="s">
        <v>69</v>
      </c>
      <c r="V183" t="s">
        <v>3478</v>
      </c>
      <c r="W183" t="s">
        <v>3479</v>
      </c>
      <c r="X183" t="s">
        <v>3480</v>
      </c>
      <c r="Y183" t="s">
        <v>3481</v>
      </c>
      <c r="Z183" t="s">
        <v>69</v>
      </c>
      <c r="AA183" t="s">
        <v>69</v>
      </c>
      <c r="AB183" t="s">
        <v>69</v>
      </c>
      <c r="AC183" t="s">
        <v>69</v>
      </c>
      <c r="AD183" t="s">
        <v>69</v>
      </c>
      <c r="AE183">
        <v>50</v>
      </c>
      <c r="AF183">
        <v>1</v>
      </c>
      <c r="AG183">
        <v>1</v>
      </c>
      <c r="AH183">
        <v>0</v>
      </c>
      <c r="AI183">
        <v>13</v>
      </c>
      <c r="AJ183" t="s">
        <v>1771</v>
      </c>
      <c r="AK183" t="s">
        <v>1772</v>
      </c>
      <c r="AL183" t="s">
        <v>1773</v>
      </c>
      <c r="AM183" t="s">
        <v>3482</v>
      </c>
      <c r="AN183" t="s">
        <v>3483</v>
      </c>
      <c r="AO183" t="s">
        <v>69</v>
      </c>
      <c r="AP183" t="s">
        <v>3484</v>
      </c>
      <c r="AQ183" t="s">
        <v>3485</v>
      </c>
      <c r="AR183" t="s">
        <v>579</v>
      </c>
      <c r="AS183">
        <v>2010</v>
      </c>
      <c r="AT183">
        <v>20</v>
      </c>
      <c r="AU183">
        <v>2</v>
      </c>
      <c r="AV183" t="s">
        <v>69</v>
      </c>
      <c r="AW183" t="s">
        <v>69</v>
      </c>
      <c r="AX183" t="s">
        <v>69</v>
      </c>
      <c r="AY183" t="s">
        <v>69</v>
      </c>
      <c r="AZ183">
        <v>257</v>
      </c>
      <c r="BA183">
        <v>279</v>
      </c>
      <c r="BB183" t="s">
        <v>69</v>
      </c>
      <c r="BC183" t="s">
        <v>3486</v>
      </c>
      <c r="BD183" t="s">
        <v>69</v>
      </c>
      <c r="BE183" t="s">
        <v>69</v>
      </c>
      <c r="BF183">
        <v>23</v>
      </c>
      <c r="BG183" t="s">
        <v>493</v>
      </c>
      <c r="BH183" t="s">
        <v>493</v>
      </c>
      <c r="BI183" t="s">
        <v>3487</v>
      </c>
      <c r="BJ183" t="s">
        <v>3488</v>
      </c>
      <c r="BK183" t="s">
        <v>69</v>
      </c>
      <c r="BL183" t="s">
        <v>69</v>
      </c>
      <c r="BM183" t="s">
        <v>69</v>
      </c>
      <c r="BN183" t="s">
        <v>69</v>
      </c>
      <c r="BO183" t="s">
        <v>95</v>
      </c>
      <c r="BP183" t="s">
        <v>69</v>
      </c>
    </row>
    <row r="184" spans="1:68" x14ac:dyDescent="0.15">
      <c r="A184" t="s">
        <v>67</v>
      </c>
      <c r="B184" t="s">
        <v>3489</v>
      </c>
      <c r="C184" t="s">
        <v>69</v>
      </c>
      <c r="D184" t="s">
        <v>69</v>
      </c>
      <c r="E184" t="s">
        <v>69</v>
      </c>
      <c r="F184" t="s">
        <v>3490</v>
      </c>
      <c r="G184" t="s">
        <v>69</v>
      </c>
      <c r="H184" t="s">
        <v>69</v>
      </c>
      <c r="I184" t="s">
        <v>3491</v>
      </c>
      <c r="J184" t="s">
        <v>3492</v>
      </c>
      <c r="K184" t="s">
        <v>69</v>
      </c>
      <c r="L184" t="s">
        <v>69</v>
      </c>
      <c r="M184" t="s">
        <v>73</v>
      </c>
      <c r="N184" t="s">
        <v>74</v>
      </c>
      <c r="O184" t="s">
        <v>69</v>
      </c>
      <c r="P184" t="s">
        <v>69</v>
      </c>
      <c r="Q184" t="s">
        <v>69</v>
      </c>
      <c r="R184" t="s">
        <v>69</v>
      </c>
      <c r="S184" t="s">
        <v>69</v>
      </c>
      <c r="T184" t="s">
        <v>3493</v>
      </c>
      <c r="U184" t="s">
        <v>3494</v>
      </c>
      <c r="V184" t="s">
        <v>3495</v>
      </c>
      <c r="W184" t="s">
        <v>3496</v>
      </c>
      <c r="X184" t="s">
        <v>3497</v>
      </c>
      <c r="Y184" t="s">
        <v>3016</v>
      </c>
      <c r="Z184" t="s">
        <v>69</v>
      </c>
      <c r="AA184" t="s">
        <v>2261</v>
      </c>
      <c r="AB184" t="s">
        <v>3498</v>
      </c>
      <c r="AC184" t="s">
        <v>69</v>
      </c>
      <c r="AD184" t="s">
        <v>69</v>
      </c>
      <c r="AE184">
        <v>116</v>
      </c>
      <c r="AF184">
        <v>924</v>
      </c>
      <c r="AG184">
        <v>932</v>
      </c>
      <c r="AH184">
        <v>15</v>
      </c>
      <c r="AI184">
        <v>293</v>
      </c>
      <c r="AJ184" t="s">
        <v>1183</v>
      </c>
      <c r="AK184" t="s">
        <v>1184</v>
      </c>
      <c r="AL184" t="s">
        <v>1185</v>
      </c>
      <c r="AM184" t="s">
        <v>3499</v>
      </c>
      <c r="AN184" t="s">
        <v>3500</v>
      </c>
      <c r="AO184" t="s">
        <v>69</v>
      </c>
      <c r="AP184" t="s">
        <v>3501</v>
      </c>
      <c r="AQ184" t="s">
        <v>3502</v>
      </c>
      <c r="AR184" t="s">
        <v>3503</v>
      </c>
      <c r="AS184">
        <v>2010</v>
      </c>
      <c r="AT184">
        <v>65</v>
      </c>
      <c r="AU184">
        <v>4</v>
      </c>
      <c r="AV184" t="s">
        <v>69</v>
      </c>
      <c r="AW184" t="s">
        <v>69</v>
      </c>
      <c r="AX184" t="s">
        <v>69</v>
      </c>
      <c r="AY184" t="s">
        <v>69</v>
      </c>
      <c r="AZ184">
        <v>237</v>
      </c>
      <c r="BA184">
        <v>251</v>
      </c>
      <c r="BB184" t="s">
        <v>69</v>
      </c>
      <c r="BC184" t="s">
        <v>3504</v>
      </c>
      <c r="BD184" t="s">
        <v>69</v>
      </c>
      <c r="BE184" t="s">
        <v>69</v>
      </c>
      <c r="BF184">
        <v>15</v>
      </c>
      <c r="BG184" t="s">
        <v>449</v>
      </c>
      <c r="BH184" t="s">
        <v>288</v>
      </c>
      <c r="BI184" t="s">
        <v>3505</v>
      </c>
      <c r="BJ184" t="s">
        <v>3506</v>
      </c>
      <c r="BK184">
        <v>20455618</v>
      </c>
      <c r="BL184" t="s">
        <v>833</v>
      </c>
      <c r="BM184" t="s">
        <v>3177</v>
      </c>
      <c r="BN184" t="s">
        <v>3178</v>
      </c>
      <c r="BO184" t="s">
        <v>95</v>
      </c>
      <c r="BP184" t="s">
        <v>69</v>
      </c>
    </row>
    <row r="185" spans="1:68" x14ac:dyDescent="0.15">
      <c r="A185" t="s">
        <v>67</v>
      </c>
      <c r="B185" t="s">
        <v>3507</v>
      </c>
      <c r="C185" t="s">
        <v>69</v>
      </c>
      <c r="D185" t="s">
        <v>69</v>
      </c>
      <c r="E185" t="s">
        <v>69</v>
      </c>
      <c r="F185" t="s">
        <v>3508</v>
      </c>
      <c r="G185" t="s">
        <v>69</v>
      </c>
      <c r="H185" t="s">
        <v>69</v>
      </c>
      <c r="I185" t="s">
        <v>3509</v>
      </c>
      <c r="J185" t="s">
        <v>762</v>
      </c>
      <c r="K185" t="s">
        <v>69</v>
      </c>
      <c r="L185" t="s">
        <v>69</v>
      </c>
      <c r="M185" t="s">
        <v>73</v>
      </c>
      <c r="N185" t="s">
        <v>2244</v>
      </c>
      <c r="O185" t="s">
        <v>69</v>
      </c>
      <c r="P185" t="s">
        <v>69</v>
      </c>
      <c r="Q185" t="s">
        <v>69</v>
      </c>
      <c r="R185" t="s">
        <v>69</v>
      </c>
      <c r="S185" t="s">
        <v>69</v>
      </c>
      <c r="T185" t="s">
        <v>3510</v>
      </c>
      <c r="U185" t="s">
        <v>69</v>
      </c>
      <c r="V185" t="s">
        <v>3511</v>
      </c>
      <c r="W185" t="s">
        <v>3512</v>
      </c>
      <c r="X185" t="s">
        <v>3513</v>
      </c>
      <c r="Y185" t="s">
        <v>3514</v>
      </c>
      <c r="Z185" t="s">
        <v>69</v>
      </c>
      <c r="AA185" t="s">
        <v>2454</v>
      </c>
      <c r="AB185" t="s">
        <v>3515</v>
      </c>
      <c r="AC185" t="s">
        <v>69</v>
      </c>
      <c r="AD185" t="s">
        <v>69</v>
      </c>
      <c r="AE185">
        <v>13</v>
      </c>
      <c r="AF185">
        <v>8</v>
      </c>
      <c r="AG185">
        <v>12</v>
      </c>
      <c r="AH185">
        <v>0</v>
      </c>
      <c r="AI185">
        <v>11</v>
      </c>
      <c r="AJ185" t="s">
        <v>771</v>
      </c>
      <c r="AK185" t="s">
        <v>772</v>
      </c>
      <c r="AL185" t="s">
        <v>773</v>
      </c>
      <c r="AM185" t="s">
        <v>774</v>
      </c>
      <c r="AN185" t="s">
        <v>69</v>
      </c>
      <c r="AO185" t="s">
        <v>69</v>
      </c>
      <c r="AP185" t="s">
        <v>776</v>
      </c>
      <c r="AQ185" t="s">
        <v>777</v>
      </c>
      <c r="AR185" t="s">
        <v>511</v>
      </c>
      <c r="AS185">
        <v>2010</v>
      </c>
      <c r="AT185">
        <v>34</v>
      </c>
      <c r="AU185">
        <v>2</v>
      </c>
      <c r="AV185" t="s">
        <v>69</v>
      </c>
      <c r="AW185" t="s">
        <v>69</v>
      </c>
      <c r="AX185" t="s">
        <v>356</v>
      </c>
      <c r="AY185" t="s">
        <v>69</v>
      </c>
      <c r="AZ185">
        <v>97</v>
      </c>
      <c r="BA185">
        <v>100</v>
      </c>
      <c r="BB185" t="s">
        <v>69</v>
      </c>
      <c r="BC185" t="s">
        <v>3516</v>
      </c>
      <c r="BD185" t="s">
        <v>69</v>
      </c>
      <c r="BE185" t="s">
        <v>69</v>
      </c>
      <c r="BF185">
        <v>4</v>
      </c>
      <c r="BG185" t="s">
        <v>779</v>
      </c>
      <c r="BH185" t="s">
        <v>780</v>
      </c>
      <c r="BI185" t="s">
        <v>3517</v>
      </c>
      <c r="BJ185" t="s">
        <v>3518</v>
      </c>
      <c r="BK185" t="s">
        <v>69</v>
      </c>
      <c r="BL185" t="s">
        <v>69</v>
      </c>
      <c r="BM185" t="s">
        <v>69</v>
      </c>
      <c r="BN185" t="s">
        <v>69</v>
      </c>
      <c r="BO185" t="s">
        <v>95</v>
      </c>
      <c r="BP185" t="s">
        <v>69</v>
      </c>
    </row>
    <row r="186" spans="1:68" x14ac:dyDescent="0.15">
      <c r="A186" t="s">
        <v>67</v>
      </c>
      <c r="B186" t="s">
        <v>3519</v>
      </c>
      <c r="C186" t="s">
        <v>69</v>
      </c>
      <c r="D186" t="s">
        <v>69</v>
      </c>
      <c r="E186" t="s">
        <v>69</v>
      </c>
      <c r="F186" t="s">
        <v>3520</v>
      </c>
      <c r="G186" t="s">
        <v>69</v>
      </c>
      <c r="H186" t="s">
        <v>69</v>
      </c>
      <c r="I186" t="s">
        <v>3521</v>
      </c>
      <c r="J186" t="s">
        <v>2427</v>
      </c>
      <c r="K186" t="s">
        <v>69</v>
      </c>
      <c r="L186" t="s">
        <v>69</v>
      </c>
      <c r="M186" t="s">
        <v>73</v>
      </c>
      <c r="N186" t="s">
        <v>74</v>
      </c>
      <c r="O186" t="s">
        <v>69</v>
      </c>
      <c r="P186" t="s">
        <v>69</v>
      </c>
      <c r="Q186" t="s">
        <v>69</v>
      </c>
      <c r="R186" t="s">
        <v>69</v>
      </c>
      <c r="S186" t="s">
        <v>69</v>
      </c>
      <c r="T186" t="s">
        <v>3522</v>
      </c>
      <c r="U186" t="s">
        <v>3523</v>
      </c>
      <c r="V186" t="s">
        <v>3524</v>
      </c>
      <c r="W186" t="s">
        <v>3525</v>
      </c>
      <c r="X186" t="s">
        <v>3526</v>
      </c>
      <c r="Y186" t="s">
        <v>3187</v>
      </c>
      <c r="Z186" t="s">
        <v>3188</v>
      </c>
      <c r="AA186" t="s">
        <v>3527</v>
      </c>
      <c r="AB186" t="s">
        <v>3528</v>
      </c>
      <c r="AC186" t="s">
        <v>69</v>
      </c>
      <c r="AD186" t="s">
        <v>69</v>
      </c>
      <c r="AE186">
        <v>43</v>
      </c>
      <c r="AF186">
        <v>136</v>
      </c>
      <c r="AG186">
        <v>136</v>
      </c>
      <c r="AH186">
        <v>0</v>
      </c>
      <c r="AI186">
        <v>28</v>
      </c>
      <c r="AJ186" t="s">
        <v>2434</v>
      </c>
      <c r="AK186" t="s">
        <v>1184</v>
      </c>
      <c r="AL186" t="s">
        <v>2435</v>
      </c>
      <c r="AM186" t="s">
        <v>2436</v>
      </c>
      <c r="AN186" t="s">
        <v>2437</v>
      </c>
      <c r="AO186" t="s">
        <v>69</v>
      </c>
      <c r="AP186" t="s">
        <v>2438</v>
      </c>
      <c r="AQ186" t="s">
        <v>2439</v>
      </c>
      <c r="AR186" t="s">
        <v>685</v>
      </c>
      <c r="AS186">
        <v>2010</v>
      </c>
      <c r="AT186">
        <v>16</v>
      </c>
      <c r="AU186">
        <v>1</v>
      </c>
      <c r="AV186" t="s">
        <v>69</v>
      </c>
      <c r="AW186" t="s">
        <v>69</v>
      </c>
      <c r="AX186" t="s">
        <v>69</v>
      </c>
      <c r="AY186" t="s">
        <v>69</v>
      </c>
      <c r="AZ186">
        <v>77</v>
      </c>
      <c r="BA186">
        <v>86</v>
      </c>
      <c r="BB186" t="s">
        <v>69</v>
      </c>
      <c r="BC186" t="s">
        <v>3529</v>
      </c>
      <c r="BD186" t="s">
        <v>69</v>
      </c>
      <c r="BE186" t="s">
        <v>69</v>
      </c>
      <c r="BF186">
        <v>10</v>
      </c>
      <c r="BG186" t="s">
        <v>2441</v>
      </c>
      <c r="BH186" t="s">
        <v>2442</v>
      </c>
      <c r="BI186" t="s">
        <v>3530</v>
      </c>
      <c r="BJ186" t="s">
        <v>3531</v>
      </c>
      <c r="BK186">
        <v>20099967</v>
      </c>
      <c r="BL186" t="s">
        <v>833</v>
      </c>
      <c r="BM186" t="s">
        <v>69</v>
      </c>
      <c r="BN186" t="s">
        <v>69</v>
      </c>
      <c r="BO186" t="s">
        <v>95</v>
      </c>
      <c r="BP186" t="s">
        <v>69</v>
      </c>
    </row>
    <row r="187" spans="1:68" x14ac:dyDescent="0.15">
      <c r="A187" t="s">
        <v>67</v>
      </c>
      <c r="B187" t="s">
        <v>3532</v>
      </c>
      <c r="C187" t="s">
        <v>69</v>
      </c>
      <c r="D187" t="s">
        <v>69</v>
      </c>
      <c r="E187" t="s">
        <v>69</v>
      </c>
      <c r="F187" t="s">
        <v>3533</v>
      </c>
      <c r="G187" t="s">
        <v>69</v>
      </c>
      <c r="H187" t="s">
        <v>69</v>
      </c>
      <c r="I187" t="s">
        <v>3534</v>
      </c>
      <c r="J187" t="s">
        <v>197</v>
      </c>
      <c r="K187" t="s">
        <v>69</v>
      </c>
      <c r="L187" t="s">
        <v>69</v>
      </c>
      <c r="M187" t="s">
        <v>73</v>
      </c>
      <c r="N187" t="s">
        <v>74</v>
      </c>
      <c r="O187" t="s">
        <v>69</v>
      </c>
      <c r="P187" t="s">
        <v>69</v>
      </c>
      <c r="Q187" t="s">
        <v>69</v>
      </c>
      <c r="R187" t="s">
        <v>69</v>
      </c>
      <c r="S187" t="s">
        <v>69</v>
      </c>
      <c r="T187" t="s">
        <v>3535</v>
      </c>
      <c r="U187" t="s">
        <v>3536</v>
      </c>
      <c r="V187" t="s">
        <v>3537</v>
      </c>
      <c r="W187" t="s">
        <v>3538</v>
      </c>
      <c r="X187" t="s">
        <v>3539</v>
      </c>
      <c r="Y187" t="s">
        <v>3540</v>
      </c>
      <c r="Z187" t="s">
        <v>3541</v>
      </c>
      <c r="AA187" t="s">
        <v>2336</v>
      </c>
      <c r="AB187" t="s">
        <v>69</v>
      </c>
      <c r="AC187" t="s">
        <v>69</v>
      </c>
      <c r="AD187" t="s">
        <v>69</v>
      </c>
      <c r="AE187">
        <v>37</v>
      </c>
      <c r="AF187">
        <v>146</v>
      </c>
      <c r="AG187">
        <v>146</v>
      </c>
      <c r="AH187">
        <v>4</v>
      </c>
      <c r="AI187">
        <v>63</v>
      </c>
      <c r="AJ187" t="s">
        <v>108</v>
      </c>
      <c r="AK187" t="s">
        <v>109</v>
      </c>
      <c r="AL187" t="s">
        <v>110</v>
      </c>
      <c r="AM187" t="s">
        <v>205</v>
      </c>
      <c r="AN187" t="s">
        <v>206</v>
      </c>
      <c r="AO187" t="s">
        <v>69</v>
      </c>
      <c r="AP187" t="s">
        <v>207</v>
      </c>
      <c r="AQ187" t="s">
        <v>208</v>
      </c>
      <c r="AR187" t="s">
        <v>69</v>
      </c>
      <c r="AS187">
        <v>2010</v>
      </c>
      <c r="AT187">
        <v>33</v>
      </c>
      <c r="AU187">
        <v>7</v>
      </c>
      <c r="AV187" t="s">
        <v>69</v>
      </c>
      <c r="AW187" t="s">
        <v>69</v>
      </c>
      <c r="AX187" t="s">
        <v>69</v>
      </c>
      <c r="AY187" t="s">
        <v>69</v>
      </c>
      <c r="AZ187">
        <v>1249</v>
      </c>
      <c r="BA187">
        <v>1268</v>
      </c>
      <c r="BB187" t="s">
        <v>3542</v>
      </c>
      <c r="BC187" t="s">
        <v>3543</v>
      </c>
      <c r="BD187" t="s">
        <v>69</v>
      </c>
      <c r="BE187" t="s">
        <v>69</v>
      </c>
      <c r="BF187">
        <v>20</v>
      </c>
      <c r="BG187" t="s">
        <v>210</v>
      </c>
      <c r="BH187" t="s">
        <v>210</v>
      </c>
      <c r="BI187" t="s">
        <v>3544</v>
      </c>
      <c r="BJ187" t="s">
        <v>3545</v>
      </c>
      <c r="BK187" t="s">
        <v>69</v>
      </c>
      <c r="BL187" t="s">
        <v>69</v>
      </c>
      <c r="BM187" t="s">
        <v>69</v>
      </c>
      <c r="BN187" t="s">
        <v>69</v>
      </c>
      <c r="BO187" t="s">
        <v>95</v>
      </c>
      <c r="BP187" t="s">
        <v>69</v>
      </c>
    </row>
    <row r="188" spans="1:68" x14ac:dyDescent="0.15">
      <c r="A188" t="s">
        <v>67</v>
      </c>
      <c r="B188" t="s">
        <v>3546</v>
      </c>
      <c r="C188" t="s">
        <v>69</v>
      </c>
      <c r="D188" t="s">
        <v>69</v>
      </c>
      <c r="E188" t="s">
        <v>69</v>
      </c>
      <c r="F188" t="s">
        <v>3547</v>
      </c>
      <c r="G188" t="s">
        <v>69</v>
      </c>
      <c r="H188" t="s">
        <v>69</v>
      </c>
      <c r="I188" t="s">
        <v>3548</v>
      </c>
      <c r="J188" t="s">
        <v>717</v>
      </c>
      <c r="K188" t="s">
        <v>69</v>
      </c>
      <c r="L188" t="s">
        <v>69</v>
      </c>
      <c r="M188" t="s">
        <v>73</v>
      </c>
      <c r="N188" t="s">
        <v>74</v>
      </c>
      <c r="O188" t="s">
        <v>69</v>
      </c>
      <c r="P188" t="s">
        <v>69</v>
      </c>
      <c r="Q188" t="s">
        <v>69</v>
      </c>
      <c r="R188" t="s">
        <v>69</v>
      </c>
      <c r="S188" t="s">
        <v>69</v>
      </c>
      <c r="T188" t="s">
        <v>3549</v>
      </c>
      <c r="U188" t="s">
        <v>3550</v>
      </c>
      <c r="V188" t="s">
        <v>3551</v>
      </c>
      <c r="W188" t="s">
        <v>3552</v>
      </c>
      <c r="X188" t="s">
        <v>3553</v>
      </c>
      <c r="Y188" t="s">
        <v>3554</v>
      </c>
      <c r="Z188" t="s">
        <v>69</v>
      </c>
      <c r="AA188" t="s">
        <v>69</v>
      </c>
      <c r="AB188" t="s">
        <v>69</v>
      </c>
      <c r="AC188" t="s">
        <v>69</v>
      </c>
      <c r="AD188" t="s">
        <v>69</v>
      </c>
      <c r="AE188">
        <v>57</v>
      </c>
      <c r="AF188">
        <v>34</v>
      </c>
      <c r="AG188">
        <v>34</v>
      </c>
      <c r="AH188">
        <v>0</v>
      </c>
      <c r="AI188">
        <v>22</v>
      </c>
      <c r="AJ188" t="s">
        <v>725</v>
      </c>
      <c r="AK188" t="s">
        <v>83</v>
      </c>
      <c r="AL188" t="s">
        <v>726</v>
      </c>
      <c r="AM188" t="s">
        <v>727</v>
      </c>
      <c r="AN188" t="s">
        <v>728</v>
      </c>
      <c r="AO188" t="s">
        <v>69</v>
      </c>
      <c r="AP188" t="s">
        <v>729</v>
      </c>
      <c r="AQ188" t="s">
        <v>730</v>
      </c>
      <c r="AR188" t="s">
        <v>69</v>
      </c>
      <c r="AS188">
        <v>2010</v>
      </c>
      <c r="AT188">
        <v>53</v>
      </c>
      <c r="AU188">
        <v>1</v>
      </c>
      <c r="AV188" t="s">
        <v>69</v>
      </c>
      <c r="AW188" t="s">
        <v>69</v>
      </c>
      <c r="AX188" t="s">
        <v>69</v>
      </c>
      <c r="AY188" t="s">
        <v>69</v>
      </c>
      <c r="AZ188">
        <v>5</v>
      </c>
      <c r="BA188">
        <v>25</v>
      </c>
      <c r="BB188" t="s">
        <v>69</v>
      </c>
      <c r="BC188" t="s">
        <v>3555</v>
      </c>
      <c r="BD188" t="s">
        <v>69</v>
      </c>
      <c r="BE188" t="s">
        <v>69</v>
      </c>
      <c r="BF188">
        <v>21</v>
      </c>
      <c r="BG188" t="s">
        <v>733</v>
      </c>
      <c r="BH188" t="s">
        <v>288</v>
      </c>
      <c r="BI188" t="s">
        <v>3556</v>
      </c>
      <c r="BJ188" t="s">
        <v>3557</v>
      </c>
      <c r="BK188" t="s">
        <v>69</v>
      </c>
      <c r="BL188" t="s">
        <v>69</v>
      </c>
      <c r="BM188" t="s">
        <v>69</v>
      </c>
      <c r="BN188" t="s">
        <v>69</v>
      </c>
      <c r="BO188" t="s">
        <v>95</v>
      </c>
      <c r="BP188" t="s">
        <v>69</v>
      </c>
    </row>
    <row r="189" spans="1:68" x14ac:dyDescent="0.15">
      <c r="A189" t="s">
        <v>67</v>
      </c>
      <c r="B189" t="s">
        <v>3558</v>
      </c>
      <c r="C189" t="s">
        <v>69</v>
      </c>
      <c r="D189" t="s">
        <v>69</v>
      </c>
      <c r="E189" t="s">
        <v>69</v>
      </c>
      <c r="F189" t="s">
        <v>3559</v>
      </c>
      <c r="G189" t="s">
        <v>69</v>
      </c>
      <c r="H189" t="s">
        <v>69</v>
      </c>
      <c r="I189" t="s">
        <v>3560</v>
      </c>
      <c r="J189" t="s">
        <v>1726</v>
      </c>
      <c r="K189" t="s">
        <v>69</v>
      </c>
      <c r="L189" t="s">
        <v>69</v>
      </c>
      <c r="M189" t="s">
        <v>73</v>
      </c>
      <c r="N189" t="s">
        <v>74</v>
      </c>
      <c r="O189" t="s">
        <v>69</v>
      </c>
      <c r="P189" t="s">
        <v>69</v>
      </c>
      <c r="Q189" t="s">
        <v>69</v>
      </c>
      <c r="R189" t="s">
        <v>69</v>
      </c>
      <c r="S189" t="s">
        <v>69</v>
      </c>
      <c r="T189" t="s">
        <v>3561</v>
      </c>
      <c r="U189" t="s">
        <v>3562</v>
      </c>
      <c r="V189" t="s">
        <v>3563</v>
      </c>
      <c r="W189" t="s">
        <v>3564</v>
      </c>
      <c r="X189" t="s">
        <v>3565</v>
      </c>
      <c r="Y189" t="s">
        <v>3566</v>
      </c>
      <c r="Z189" t="s">
        <v>69</v>
      </c>
      <c r="AA189" t="s">
        <v>69</v>
      </c>
      <c r="AB189" t="s">
        <v>69</v>
      </c>
      <c r="AC189" t="s">
        <v>69</v>
      </c>
      <c r="AD189" t="s">
        <v>69</v>
      </c>
      <c r="AE189">
        <v>143</v>
      </c>
      <c r="AF189">
        <v>79</v>
      </c>
      <c r="AG189">
        <v>80</v>
      </c>
      <c r="AH189">
        <v>2</v>
      </c>
      <c r="AI189">
        <v>37</v>
      </c>
      <c r="AJ189" t="s">
        <v>108</v>
      </c>
      <c r="AK189" t="s">
        <v>109</v>
      </c>
      <c r="AL189" t="s">
        <v>110</v>
      </c>
      <c r="AM189" t="s">
        <v>1734</v>
      </c>
      <c r="AN189" t="s">
        <v>1735</v>
      </c>
      <c r="AO189" t="s">
        <v>69</v>
      </c>
      <c r="AP189" t="s">
        <v>1736</v>
      </c>
      <c r="AQ189" t="s">
        <v>1737</v>
      </c>
      <c r="AR189" t="s">
        <v>69</v>
      </c>
      <c r="AS189">
        <v>2010</v>
      </c>
      <c r="AT189">
        <v>36</v>
      </c>
      <c r="AU189">
        <v>10</v>
      </c>
      <c r="AV189" t="s">
        <v>69</v>
      </c>
      <c r="AW189" t="s">
        <v>69</v>
      </c>
      <c r="AX189" t="s">
        <v>356</v>
      </c>
      <c r="AY189" t="s">
        <v>69</v>
      </c>
      <c r="AZ189">
        <v>1537</v>
      </c>
      <c r="BA189">
        <v>1563</v>
      </c>
      <c r="BB189" t="s">
        <v>3567</v>
      </c>
      <c r="BC189" t="s">
        <v>3568</v>
      </c>
      <c r="BD189" t="s">
        <v>69</v>
      </c>
      <c r="BE189" t="s">
        <v>69</v>
      </c>
      <c r="BF189">
        <v>27</v>
      </c>
      <c r="BG189" t="s">
        <v>1739</v>
      </c>
      <c r="BH189" t="s">
        <v>1739</v>
      </c>
      <c r="BI189" t="s">
        <v>3569</v>
      </c>
      <c r="BJ189" t="s">
        <v>3570</v>
      </c>
      <c r="BK189" t="s">
        <v>69</v>
      </c>
      <c r="BL189" t="s">
        <v>69</v>
      </c>
      <c r="BM189" t="s">
        <v>69</v>
      </c>
      <c r="BN189" t="s">
        <v>69</v>
      </c>
      <c r="BO189" t="s">
        <v>95</v>
      </c>
      <c r="BP189" t="s">
        <v>69</v>
      </c>
    </row>
    <row r="190" spans="1:68" x14ac:dyDescent="0.15">
      <c r="A190" t="s">
        <v>67</v>
      </c>
      <c r="B190" t="s">
        <v>3571</v>
      </c>
      <c r="C190" t="s">
        <v>69</v>
      </c>
      <c r="D190" t="s">
        <v>69</v>
      </c>
      <c r="E190" t="s">
        <v>69</v>
      </c>
      <c r="F190" t="s">
        <v>3572</v>
      </c>
      <c r="G190" t="s">
        <v>69</v>
      </c>
      <c r="H190" t="s">
        <v>69</v>
      </c>
      <c r="I190" t="s">
        <v>3573</v>
      </c>
      <c r="J190" t="s">
        <v>1726</v>
      </c>
      <c r="K190" t="s">
        <v>69</v>
      </c>
      <c r="L190" t="s">
        <v>69</v>
      </c>
      <c r="M190" t="s">
        <v>73</v>
      </c>
      <c r="N190" t="s">
        <v>74</v>
      </c>
      <c r="O190" t="s">
        <v>69</v>
      </c>
      <c r="P190" t="s">
        <v>69</v>
      </c>
      <c r="Q190" t="s">
        <v>69</v>
      </c>
      <c r="R190" t="s">
        <v>69</v>
      </c>
      <c r="S190" t="s">
        <v>69</v>
      </c>
      <c r="T190" t="s">
        <v>3574</v>
      </c>
      <c r="U190" t="s">
        <v>69</v>
      </c>
      <c r="V190" t="s">
        <v>3575</v>
      </c>
      <c r="W190" t="s">
        <v>3576</v>
      </c>
      <c r="X190" t="s">
        <v>3577</v>
      </c>
      <c r="Y190" t="s">
        <v>3578</v>
      </c>
      <c r="Z190" t="s">
        <v>69</v>
      </c>
      <c r="AA190" t="s">
        <v>69</v>
      </c>
      <c r="AB190" t="s">
        <v>69</v>
      </c>
      <c r="AC190" t="s">
        <v>69</v>
      </c>
      <c r="AD190" t="s">
        <v>69</v>
      </c>
      <c r="AE190">
        <v>64</v>
      </c>
      <c r="AF190">
        <v>62</v>
      </c>
      <c r="AG190">
        <v>64</v>
      </c>
      <c r="AH190">
        <v>0</v>
      </c>
      <c r="AI190">
        <v>20</v>
      </c>
      <c r="AJ190" t="s">
        <v>108</v>
      </c>
      <c r="AK190" t="s">
        <v>109</v>
      </c>
      <c r="AL190" t="s">
        <v>110</v>
      </c>
      <c r="AM190" t="s">
        <v>1734</v>
      </c>
      <c r="AN190" t="s">
        <v>1735</v>
      </c>
      <c r="AO190" t="s">
        <v>69</v>
      </c>
      <c r="AP190" t="s">
        <v>1736</v>
      </c>
      <c r="AQ190" t="s">
        <v>1737</v>
      </c>
      <c r="AR190" t="s">
        <v>69</v>
      </c>
      <c r="AS190">
        <v>2010</v>
      </c>
      <c r="AT190">
        <v>36</v>
      </c>
      <c r="AU190">
        <v>10</v>
      </c>
      <c r="AV190" t="s">
        <v>69</v>
      </c>
      <c r="AW190" t="s">
        <v>69</v>
      </c>
      <c r="AX190" t="s">
        <v>356</v>
      </c>
      <c r="AY190" t="s">
        <v>69</v>
      </c>
      <c r="AZ190">
        <v>1665</v>
      </c>
      <c r="BA190">
        <v>1687</v>
      </c>
      <c r="BB190" t="s">
        <v>3579</v>
      </c>
      <c r="BC190" t="s">
        <v>3580</v>
      </c>
      <c r="BD190" t="s">
        <v>69</v>
      </c>
      <c r="BE190" t="s">
        <v>69</v>
      </c>
      <c r="BF190">
        <v>23</v>
      </c>
      <c r="BG190" t="s">
        <v>1739</v>
      </c>
      <c r="BH190" t="s">
        <v>1739</v>
      </c>
      <c r="BI190" t="s">
        <v>3569</v>
      </c>
      <c r="BJ190" t="s">
        <v>3581</v>
      </c>
      <c r="BK190" t="s">
        <v>69</v>
      </c>
      <c r="BL190" t="s">
        <v>69</v>
      </c>
      <c r="BM190" t="s">
        <v>69</v>
      </c>
      <c r="BN190" t="s">
        <v>69</v>
      </c>
      <c r="BO190" t="s">
        <v>95</v>
      </c>
      <c r="BP190" t="s">
        <v>69</v>
      </c>
    </row>
    <row r="191" spans="1:68" x14ac:dyDescent="0.15">
      <c r="A191" t="s">
        <v>67</v>
      </c>
      <c r="B191" t="s">
        <v>3582</v>
      </c>
      <c r="C191" t="s">
        <v>69</v>
      </c>
      <c r="D191" t="s">
        <v>69</v>
      </c>
      <c r="E191" t="s">
        <v>69</v>
      </c>
      <c r="F191" t="s">
        <v>3583</v>
      </c>
      <c r="G191" t="s">
        <v>69</v>
      </c>
      <c r="H191" t="s">
        <v>69</v>
      </c>
      <c r="I191" t="s">
        <v>3584</v>
      </c>
      <c r="J191" t="s">
        <v>3585</v>
      </c>
      <c r="K191" t="s">
        <v>69</v>
      </c>
      <c r="L191" t="s">
        <v>69</v>
      </c>
      <c r="M191" t="s">
        <v>73</v>
      </c>
      <c r="N191" t="s">
        <v>74</v>
      </c>
      <c r="O191" t="s">
        <v>69</v>
      </c>
      <c r="P191" t="s">
        <v>69</v>
      </c>
      <c r="Q191" t="s">
        <v>69</v>
      </c>
      <c r="R191" t="s">
        <v>69</v>
      </c>
      <c r="S191" t="s">
        <v>69</v>
      </c>
      <c r="T191" t="s">
        <v>69</v>
      </c>
      <c r="U191" t="s">
        <v>3586</v>
      </c>
      <c r="V191" t="s">
        <v>3587</v>
      </c>
      <c r="W191" t="s">
        <v>3588</v>
      </c>
      <c r="X191" t="s">
        <v>3589</v>
      </c>
      <c r="Y191" t="s">
        <v>3171</v>
      </c>
      <c r="Z191" t="s">
        <v>69</v>
      </c>
      <c r="AA191" t="s">
        <v>69</v>
      </c>
      <c r="AB191" t="s">
        <v>3590</v>
      </c>
      <c r="AC191" t="s">
        <v>3591</v>
      </c>
      <c r="AD191" t="s">
        <v>69</v>
      </c>
      <c r="AE191">
        <v>95</v>
      </c>
      <c r="AF191">
        <v>103</v>
      </c>
      <c r="AG191">
        <v>103</v>
      </c>
      <c r="AH191">
        <v>1</v>
      </c>
      <c r="AI191">
        <v>34</v>
      </c>
      <c r="AJ191" t="s">
        <v>3592</v>
      </c>
      <c r="AK191" t="s">
        <v>1184</v>
      </c>
      <c r="AL191" t="s">
        <v>3593</v>
      </c>
      <c r="AM191" t="s">
        <v>3594</v>
      </c>
      <c r="AN191" t="s">
        <v>3595</v>
      </c>
      <c r="AO191" t="s">
        <v>69</v>
      </c>
      <c r="AP191" t="s">
        <v>3596</v>
      </c>
      <c r="AQ191" t="s">
        <v>3597</v>
      </c>
      <c r="AR191" t="s">
        <v>355</v>
      </c>
      <c r="AS191">
        <v>2009</v>
      </c>
      <c r="AT191">
        <v>99</v>
      </c>
      <c r="AU191">
        <v>12</v>
      </c>
      <c r="AV191" t="s">
        <v>69</v>
      </c>
      <c r="AW191" t="s">
        <v>69</v>
      </c>
      <c r="AX191" t="s">
        <v>69</v>
      </c>
      <c r="AY191" t="s">
        <v>69</v>
      </c>
      <c r="AZ191">
        <v>2167</v>
      </c>
      <c r="BA191">
        <v>2175</v>
      </c>
      <c r="BB191" t="s">
        <v>69</v>
      </c>
      <c r="BC191" t="s">
        <v>3598</v>
      </c>
      <c r="BD191" t="s">
        <v>69</v>
      </c>
      <c r="BE191" t="s">
        <v>69</v>
      </c>
      <c r="BF191">
        <v>9</v>
      </c>
      <c r="BG191" t="s">
        <v>424</v>
      </c>
      <c r="BH191" t="s">
        <v>424</v>
      </c>
      <c r="BI191" t="s">
        <v>3599</v>
      </c>
      <c r="BJ191" t="s">
        <v>3600</v>
      </c>
      <c r="BK191">
        <v>19833986</v>
      </c>
      <c r="BL191" t="s">
        <v>1532</v>
      </c>
      <c r="BM191" t="s">
        <v>69</v>
      </c>
      <c r="BN191" t="s">
        <v>69</v>
      </c>
      <c r="BO191" t="s">
        <v>95</v>
      </c>
      <c r="BP191" t="s">
        <v>69</v>
      </c>
    </row>
    <row r="192" spans="1:68" x14ac:dyDescent="0.15">
      <c r="A192" t="s">
        <v>67</v>
      </c>
      <c r="B192" t="s">
        <v>3601</v>
      </c>
      <c r="C192" t="s">
        <v>69</v>
      </c>
      <c r="D192" t="s">
        <v>69</v>
      </c>
      <c r="E192" t="s">
        <v>69</v>
      </c>
      <c r="F192" t="s">
        <v>3602</v>
      </c>
      <c r="G192" t="s">
        <v>69</v>
      </c>
      <c r="H192" t="s">
        <v>69</v>
      </c>
      <c r="I192" t="s">
        <v>3603</v>
      </c>
      <c r="J192" t="s">
        <v>2993</v>
      </c>
      <c r="K192" t="s">
        <v>69</v>
      </c>
      <c r="L192" t="s">
        <v>69</v>
      </c>
      <c r="M192" t="s">
        <v>73</v>
      </c>
      <c r="N192" t="s">
        <v>74</v>
      </c>
      <c r="O192" t="s">
        <v>69</v>
      </c>
      <c r="P192" t="s">
        <v>69</v>
      </c>
      <c r="Q192" t="s">
        <v>69</v>
      </c>
      <c r="R192" t="s">
        <v>69</v>
      </c>
      <c r="S192" t="s">
        <v>69</v>
      </c>
      <c r="T192" t="s">
        <v>3604</v>
      </c>
      <c r="U192" t="s">
        <v>3605</v>
      </c>
      <c r="V192" t="s">
        <v>3606</v>
      </c>
      <c r="W192" t="s">
        <v>3607</v>
      </c>
      <c r="X192" t="s">
        <v>3608</v>
      </c>
      <c r="Y192" t="s">
        <v>3609</v>
      </c>
      <c r="Z192" t="s">
        <v>69</v>
      </c>
      <c r="AA192" t="s">
        <v>69</v>
      </c>
      <c r="AB192" t="s">
        <v>69</v>
      </c>
      <c r="AC192" t="s">
        <v>69</v>
      </c>
      <c r="AD192" t="s">
        <v>69</v>
      </c>
      <c r="AE192">
        <v>35</v>
      </c>
      <c r="AF192">
        <v>10</v>
      </c>
      <c r="AG192">
        <v>10</v>
      </c>
      <c r="AH192">
        <v>0</v>
      </c>
      <c r="AI192">
        <v>7</v>
      </c>
      <c r="AJ192" t="s">
        <v>155</v>
      </c>
      <c r="AK192" t="s">
        <v>156</v>
      </c>
      <c r="AL192" t="s">
        <v>157</v>
      </c>
      <c r="AM192" t="s">
        <v>3001</v>
      </c>
      <c r="AN192" t="s">
        <v>69</v>
      </c>
      <c r="AO192" t="s">
        <v>69</v>
      </c>
      <c r="AP192" t="s">
        <v>3003</v>
      </c>
      <c r="AQ192" t="s">
        <v>3004</v>
      </c>
      <c r="AR192" t="s">
        <v>731</v>
      </c>
      <c r="AS192">
        <v>2009</v>
      </c>
      <c r="AT192">
        <v>55</v>
      </c>
      <c r="AU192">
        <v>6</v>
      </c>
      <c r="AV192" t="s">
        <v>69</v>
      </c>
      <c r="AW192" t="s">
        <v>69</v>
      </c>
      <c r="AX192" t="s">
        <v>69</v>
      </c>
      <c r="AY192" t="s">
        <v>69</v>
      </c>
      <c r="AZ192">
        <v>496</v>
      </c>
      <c r="BA192">
        <v>505</v>
      </c>
      <c r="BB192" t="s">
        <v>69</v>
      </c>
      <c r="BC192" t="s">
        <v>3610</v>
      </c>
      <c r="BD192" t="s">
        <v>69</v>
      </c>
      <c r="BE192" t="s">
        <v>69</v>
      </c>
      <c r="BF192">
        <v>10</v>
      </c>
      <c r="BG192" t="s">
        <v>1213</v>
      </c>
      <c r="BH192" t="s">
        <v>1213</v>
      </c>
      <c r="BI192" t="s">
        <v>3611</v>
      </c>
      <c r="BJ192" t="s">
        <v>3612</v>
      </c>
      <c r="BK192">
        <v>19592442</v>
      </c>
      <c r="BL192" t="s">
        <v>69</v>
      </c>
      <c r="BM192" t="s">
        <v>69</v>
      </c>
      <c r="BN192" t="s">
        <v>69</v>
      </c>
      <c r="BO192" t="s">
        <v>95</v>
      </c>
      <c r="BP192" t="s">
        <v>69</v>
      </c>
    </row>
    <row r="193" spans="1:68" x14ac:dyDescent="0.15">
      <c r="A193" t="s">
        <v>67</v>
      </c>
      <c r="B193" t="s">
        <v>3613</v>
      </c>
      <c r="C193" t="s">
        <v>69</v>
      </c>
      <c r="D193" t="s">
        <v>69</v>
      </c>
      <c r="E193" t="s">
        <v>69</v>
      </c>
      <c r="F193" t="s">
        <v>3614</v>
      </c>
      <c r="G193" t="s">
        <v>69</v>
      </c>
      <c r="H193" t="s">
        <v>69</v>
      </c>
      <c r="I193" t="s">
        <v>3615</v>
      </c>
      <c r="J193" t="s">
        <v>3616</v>
      </c>
      <c r="K193" t="s">
        <v>69</v>
      </c>
      <c r="L193" t="s">
        <v>69</v>
      </c>
      <c r="M193" t="s">
        <v>73</v>
      </c>
      <c r="N193" t="s">
        <v>74</v>
      </c>
      <c r="O193" t="s">
        <v>69</v>
      </c>
      <c r="P193" t="s">
        <v>69</v>
      </c>
      <c r="Q193" t="s">
        <v>69</v>
      </c>
      <c r="R193" t="s">
        <v>69</v>
      </c>
      <c r="S193" t="s">
        <v>69</v>
      </c>
      <c r="T193" t="s">
        <v>3617</v>
      </c>
      <c r="U193" t="s">
        <v>3618</v>
      </c>
      <c r="V193" t="s">
        <v>3619</v>
      </c>
      <c r="W193" t="s">
        <v>3620</v>
      </c>
      <c r="X193" t="s">
        <v>3621</v>
      </c>
      <c r="Y193" t="s">
        <v>3622</v>
      </c>
      <c r="Z193" t="s">
        <v>69</v>
      </c>
      <c r="AA193" t="s">
        <v>3623</v>
      </c>
      <c r="AB193" t="s">
        <v>3624</v>
      </c>
      <c r="AC193" t="s">
        <v>69</v>
      </c>
      <c r="AD193" t="s">
        <v>69</v>
      </c>
      <c r="AE193">
        <v>61</v>
      </c>
      <c r="AF193">
        <v>47</v>
      </c>
      <c r="AG193">
        <v>47</v>
      </c>
      <c r="AH193">
        <v>0</v>
      </c>
      <c r="AI193">
        <v>13</v>
      </c>
      <c r="AJ193" t="s">
        <v>180</v>
      </c>
      <c r="AK193" t="s">
        <v>181</v>
      </c>
      <c r="AL193" t="s">
        <v>182</v>
      </c>
      <c r="AM193" t="s">
        <v>3625</v>
      </c>
      <c r="AN193" t="s">
        <v>69</v>
      </c>
      <c r="AO193" t="s">
        <v>69</v>
      </c>
      <c r="AP193" t="s">
        <v>3626</v>
      </c>
      <c r="AQ193" t="s">
        <v>3627</v>
      </c>
      <c r="AR193" t="s">
        <v>285</v>
      </c>
      <c r="AS193">
        <v>2009</v>
      </c>
      <c r="AT193">
        <v>36</v>
      </c>
      <c r="AU193" t="s">
        <v>69</v>
      </c>
      <c r="AV193" t="s">
        <v>69</v>
      </c>
      <c r="AW193">
        <v>1</v>
      </c>
      <c r="AX193" t="s">
        <v>69</v>
      </c>
      <c r="AY193" t="s">
        <v>69</v>
      </c>
      <c r="AZ193" t="s">
        <v>3628</v>
      </c>
      <c r="BA193" t="s">
        <v>3629</v>
      </c>
      <c r="BB193" t="s">
        <v>69</v>
      </c>
      <c r="BC193" t="s">
        <v>3630</v>
      </c>
      <c r="BD193" t="s">
        <v>69</v>
      </c>
      <c r="BE193" t="s">
        <v>69</v>
      </c>
      <c r="BF193">
        <v>20</v>
      </c>
      <c r="BG193" t="s">
        <v>424</v>
      </c>
      <c r="BH193" t="s">
        <v>424</v>
      </c>
      <c r="BI193" t="s">
        <v>3631</v>
      </c>
      <c r="BJ193" t="s">
        <v>3632</v>
      </c>
      <c r="BK193">
        <v>19805792</v>
      </c>
      <c r="BL193" t="s">
        <v>833</v>
      </c>
      <c r="BM193" t="s">
        <v>69</v>
      </c>
      <c r="BN193" t="s">
        <v>69</v>
      </c>
      <c r="BO193" t="s">
        <v>95</v>
      </c>
      <c r="BP193" t="s">
        <v>69</v>
      </c>
    </row>
    <row r="194" spans="1:68" x14ac:dyDescent="0.15">
      <c r="A194" t="s">
        <v>67</v>
      </c>
      <c r="B194" t="s">
        <v>3633</v>
      </c>
      <c r="C194" t="s">
        <v>69</v>
      </c>
      <c r="D194" t="s">
        <v>69</v>
      </c>
      <c r="E194" t="s">
        <v>69</v>
      </c>
      <c r="F194" t="s">
        <v>3634</v>
      </c>
      <c r="G194" t="s">
        <v>69</v>
      </c>
      <c r="H194" t="s">
        <v>69</v>
      </c>
      <c r="I194" t="s">
        <v>3635</v>
      </c>
      <c r="J194" t="s">
        <v>3636</v>
      </c>
      <c r="K194" t="s">
        <v>69</v>
      </c>
      <c r="L194" t="s">
        <v>69</v>
      </c>
      <c r="M194" t="s">
        <v>544</v>
      </c>
      <c r="N194" t="s">
        <v>74</v>
      </c>
      <c r="O194" t="s">
        <v>69</v>
      </c>
      <c r="P194" t="s">
        <v>69</v>
      </c>
      <c r="Q194" t="s">
        <v>69</v>
      </c>
      <c r="R194" t="s">
        <v>69</v>
      </c>
      <c r="S194" t="s">
        <v>69</v>
      </c>
      <c r="T194" t="s">
        <v>69</v>
      </c>
      <c r="U194" t="s">
        <v>3637</v>
      </c>
      <c r="V194" t="s">
        <v>3638</v>
      </c>
      <c r="W194" t="s">
        <v>3639</v>
      </c>
      <c r="X194" t="s">
        <v>3640</v>
      </c>
      <c r="Y194" t="s">
        <v>3641</v>
      </c>
      <c r="Z194" t="s">
        <v>69</v>
      </c>
      <c r="AA194" t="s">
        <v>69</v>
      </c>
      <c r="AB194" t="s">
        <v>69</v>
      </c>
      <c r="AC194" t="s">
        <v>69</v>
      </c>
      <c r="AD194" t="s">
        <v>69</v>
      </c>
      <c r="AE194">
        <v>67</v>
      </c>
      <c r="AF194">
        <v>55</v>
      </c>
      <c r="AG194">
        <v>55</v>
      </c>
      <c r="AH194">
        <v>2</v>
      </c>
      <c r="AI194">
        <v>30</v>
      </c>
      <c r="AJ194" t="s">
        <v>3642</v>
      </c>
      <c r="AK194" t="s">
        <v>3643</v>
      </c>
      <c r="AL194" t="s">
        <v>3644</v>
      </c>
      <c r="AM194" t="s">
        <v>3645</v>
      </c>
      <c r="AN194" t="s">
        <v>3646</v>
      </c>
      <c r="AO194" t="s">
        <v>69</v>
      </c>
      <c r="AP194" t="s">
        <v>3647</v>
      </c>
      <c r="AQ194" t="s">
        <v>3648</v>
      </c>
      <c r="AR194" t="s">
        <v>490</v>
      </c>
      <c r="AS194">
        <v>2009</v>
      </c>
      <c r="AT194">
        <v>38</v>
      </c>
      <c r="AU194">
        <v>4</v>
      </c>
      <c r="AV194" t="s">
        <v>69</v>
      </c>
      <c r="AW194" t="s">
        <v>69</v>
      </c>
      <c r="AX194" t="s">
        <v>69</v>
      </c>
      <c r="AY194" t="s">
        <v>69</v>
      </c>
      <c r="AZ194">
        <v>300</v>
      </c>
      <c r="BA194">
        <v>319</v>
      </c>
      <c r="BB194" t="s">
        <v>69</v>
      </c>
      <c r="BC194" t="s">
        <v>69</v>
      </c>
      <c r="BD194" t="s">
        <v>69</v>
      </c>
      <c r="BE194" t="s">
        <v>69</v>
      </c>
      <c r="BF194">
        <v>20</v>
      </c>
      <c r="BG194" t="s">
        <v>493</v>
      </c>
      <c r="BH194" t="s">
        <v>493</v>
      </c>
      <c r="BI194" t="s">
        <v>3649</v>
      </c>
      <c r="BJ194" t="s">
        <v>3650</v>
      </c>
      <c r="BK194" t="s">
        <v>69</v>
      </c>
      <c r="BL194" t="s">
        <v>69</v>
      </c>
      <c r="BM194" t="s">
        <v>69</v>
      </c>
      <c r="BN194" t="s">
        <v>69</v>
      </c>
      <c r="BO194" t="s">
        <v>95</v>
      </c>
      <c r="BP194" t="s">
        <v>69</v>
      </c>
    </row>
    <row r="195" spans="1:68" x14ac:dyDescent="0.15">
      <c r="A195" t="s">
        <v>67</v>
      </c>
      <c r="B195" t="s">
        <v>3651</v>
      </c>
      <c r="C195" t="s">
        <v>69</v>
      </c>
      <c r="D195" t="s">
        <v>69</v>
      </c>
      <c r="E195" t="s">
        <v>69</v>
      </c>
      <c r="F195" t="s">
        <v>3652</v>
      </c>
      <c r="G195" t="s">
        <v>69</v>
      </c>
      <c r="H195" t="s">
        <v>69</v>
      </c>
      <c r="I195" t="s">
        <v>3653</v>
      </c>
      <c r="J195" t="s">
        <v>2606</v>
      </c>
      <c r="K195" t="s">
        <v>69</v>
      </c>
      <c r="L195" t="s">
        <v>69</v>
      </c>
      <c r="M195" t="s">
        <v>73</v>
      </c>
      <c r="N195" t="s">
        <v>74</v>
      </c>
      <c r="O195" t="s">
        <v>69</v>
      </c>
      <c r="P195" t="s">
        <v>69</v>
      </c>
      <c r="Q195" t="s">
        <v>69</v>
      </c>
      <c r="R195" t="s">
        <v>69</v>
      </c>
      <c r="S195" t="s">
        <v>69</v>
      </c>
      <c r="T195" t="s">
        <v>3654</v>
      </c>
      <c r="U195" t="s">
        <v>3655</v>
      </c>
      <c r="V195" t="s">
        <v>3656</v>
      </c>
      <c r="W195" t="s">
        <v>3657</v>
      </c>
      <c r="X195" t="s">
        <v>3658</v>
      </c>
      <c r="Y195" t="s">
        <v>3659</v>
      </c>
      <c r="Z195" t="s">
        <v>69</v>
      </c>
      <c r="AA195" t="s">
        <v>69</v>
      </c>
      <c r="AB195" t="s">
        <v>69</v>
      </c>
      <c r="AC195" t="s">
        <v>69</v>
      </c>
      <c r="AD195" t="s">
        <v>69</v>
      </c>
      <c r="AE195">
        <v>67</v>
      </c>
      <c r="AF195">
        <v>17</v>
      </c>
      <c r="AG195">
        <v>17</v>
      </c>
      <c r="AH195">
        <v>0</v>
      </c>
      <c r="AI195">
        <v>11</v>
      </c>
      <c r="AJ195" t="s">
        <v>771</v>
      </c>
      <c r="AK195" t="s">
        <v>772</v>
      </c>
      <c r="AL195" t="s">
        <v>773</v>
      </c>
      <c r="AM195" t="s">
        <v>2615</v>
      </c>
      <c r="AN195" t="s">
        <v>69</v>
      </c>
      <c r="AO195" t="s">
        <v>69</v>
      </c>
      <c r="AP195" t="s">
        <v>2617</v>
      </c>
      <c r="AQ195" t="s">
        <v>2618</v>
      </c>
      <c r="AR195" t="s">
        <v>934</v>
      </c>
      <c r="AS195">
        <v>2009</v>
      </c>
      <c r="AT195">
        <v>69</v>
      </c>
      <c r="AU195">
        <v>1</v>
      </c>
      <c r="AV195" t="s">
        <v>69</v>
      </c>
      <c r="AW195" t="s">
        <v>69</v>
      </c>
      <c r="AX195" t="s">
        <v>69</v>
      </c>
      <c r="AY195" t="s">
        <v>69</v>
      </c>
      <c r="AZ195">
        <v>101</v>
      </c>
      <c r="BA195">
        <v>109</v>
      </c>
      <c r="BB195" t="s">
        <v>69</v>
      </c>
      <c r="BC195" t="s">
        <v>3660</v>
      </c>
      <c r="BD195" t="s">
        <v>69</v>
      </c>
      <c r="BE195" t="s">
        <v>69</v>
      </c>
      <c r="BF195">
        <v>9</v>
      </c>
      <c r="BG195" t="s">
        <v>2620</v>
      </c>
      <c r="BH195" t="s">
        <v>2621</v>
      </c>
      <c r="BI195" t="s">
        <v>3661</v>
      </c>
      <c r="BJ195" t="s">
        <v>3662</v>
      </c>
      <c r="BK195">
        <v>19450913</v>
      </c>
      <c r="BL195" t="s">
        <v>69</v>
      </c>
      <c r="BM195" t="s">
        <v>69</v>
      </c>
      <c r="BN195" t="s">
        <v>69</v>
      </c>
      <c r="BO195" t="s">
        <v>95</v>
      </c>
      <c r="BP195" t="s">
        <v>69</v>
      </c>
    </row>
    <row r="196" spans="1:68" x14ac:dyDescent="0.15">
      <c r="A196" t="s">
        <v>67</v>
      </c>
      <c r="B196" t="s">
        <v>3663</v>
      </c>
      <c r="C196" t="s">
        <v>69</v>
      </c>
      <c r="D196" t="s">
        <v>69</v>
      </c>
      <c r="E196" t="s">
        <v>69</v>
      </c>
      <c r="F196" t="s">
        <v>3664</v>
      </c>
      <c r="G196" t="s">
        <v>69</v>
      </c>
      <c r="H196" t="s">
        <v>69</v>
      </c>
      <c r="I196" t="s">
        <v>3665</v>
      </c>
      <c r="J196" t="s">
        <v>3666</v>
      </c>
      <c r="K196" t="s">
        <v>69</v>
      </c>
      <c r="L196" t="s">
        <v>69</v>
      </c>
      <c r="M196" t="s">
        <v>73</v>
      </c>
      <c r="N196" t="s">
        <v>74</v>
      </c>
      <c r="O196" t="s">
        <v>69</v>
      </c>
      <c r="P196" t="s">
        <v>69</v>
      </c>
      <c r="Q196" t="s">
        <v>69</v>
      </c>
      <c r="R196" t="s">
        <v>69</v>
      </c>
      <c r="S196" t="s">
        <v>69</v>
      </c>
      <c r="T196" t="s">
        <v>3667</v>
      </c>
      <c r="U196" t="s">
        <v>3668</v>
      </c>
      <c r="V196" t="s">
        <v>3669</v>
      </c>
      <c r="W196" t="s">
        <v>3670</v>
      </c>
      <c r="X196" t="s">
        <v>3671</v>
      </c>
      <c r="Y196" t="s">
        <v>3672</v>
      </c>
      <c r="Z196" t="s">
        <v>69</v>
      </c>
      <c r="AA196" t="s">
        <v>69</v>
      </c>
      <c r="AB196" t="s">
        <v>69</v>
      </c>
      <c r="AC196" t="s">
        <v>69</v>
      </c>
      <c r="AD196" t="s">
        <v>69</v>
      </c>
      <c r="AE196">
        <v>36</v>
      </c>
      <c r="AF196">
        <v>18</v>
      </c>
      <c r="AG196">
        <v>18</v>
      </c>
      <c r="AH196">
        <v>1</v>
      </c>
      <c r="AI196">
        <v>11</v>
      </c>
      <c r="AJ196" t="s">
        <v>3673</v>
      </c>
      <c r="AK196" t="s">
        <v>1184</v>
      </c>
      <c r="AL196" t="s">
        <v>3674</v>
      </c>
      <c r="AM196" t="s">
        <v>3675</v>
      </c>
      <c r="AN196" t="s">
        <v>69</v>
      </c>
      <c r="AO196" t="s">
        <v>69</v>
      </c>
      <c r="AP196" t="s">
        <v>3676</v>
      </c>
      <c r="AQ196" t="s">
        <v>3677</v>
      </c>
      <c r="AR196" t="s">
        <v>934</v>
      </c>
      <c r="AS196">
        <v>2009</v>
      </c>
      <c r="AT196">
        <v>54</v>
      </c>
      <c r="AU196">
        <v>3</v>
      </c>
      <c r="AV196" t="s">
        <v>69</v>
      </c>
      <c r="AW196" t="s">
        <v>69</v>
      </c>
      <c r="AX196" t="s">
        <v>69</v>
      </c>
      <c r="AY196" t="s">
        <v>69</v>
      </c>
      <c r="AZ196">
        <v>270</v>
      </c>
      <c r="BA196">
        <v>277</v>
      </c>
      <c r="BB196" t="s">
        <v>69</v>
      </c>
      <c r="BC196" t="s">
        <v>3678</v>
      </c>
      <c r="BD196" t="s">
        <v>69</v>
      </c>
      <c r="BE196" t="s">
        <v>69</v>
      </c>
      <c r="BF196">
        <v>8</v>
      </c>
      <c r="BG196" t="s">
        <v>1009</v>
      </c>
      <c r="BH196" t="s">
        <v>1009</v>
      </c>
      <c r="BI196" t="s">
        <v>3679</v>
      </c>
      <c r="BJ196" t="s">
        <v>3680</v>
      </c>
      <c r="BK196">
        <v>19530574</v>
      </c>
      <c r="BL196" t="s">
        <v>69</v>
      </c>
      <c r="BM196" t="s">
        <v>69</v>
      </c>
      <c r="BN196" t="s">
        <v>69</v>
      </c>
      <c r="BO196" t="s">
        <v>95</v>
      </c>
      <c r="BP196" t="s">
        <v>69</v>
      </c>
    </row>
    <row r="197" spans="1:68" x14ac:dyDescent="0.15">
      <c r="A197" t="s">
        <v>67</v>
      </c>
      <c r="B197" t="s">
        <v>3681</v>
      </c>
      <c r="C197" t="s">
        <v>69</v>
      </c>
      <c r="D197" t="s">
        <v>69</v>
      </c>
      <c r="E197" t="s">
        <v>69</v>
      </c>
      <c r="F197" t="s">
        <v>3682</v>
      </c>
      <c r="G197" t="s">
        <v>69</v>
      </c>
      <c r="H197" t="s">
        <v>69</v>
      </c>
      <c r="I197" t="s">
        <v>3683</v>
      </c>
      <c r="J197" t="s">
        <v>3684</v>
      </c>
      <c r="K197" t="s">
        <v>69</v>
      </c>
      <c r="L197" t="s">
        <v>69</v>
      </c>
      <c r="M197" t="s">
        <v>73</v>
      </c>
      <c r="N197" t="s">
        <v>74</v>
      </c>
      <c r="O197" t="s">
        <v>69</v>
      </c>
      <c r="P197" t="s">
        <v>69</v>
      </c>
      <c r="Q197" t="s">
        <v>69</v>
      </c>
      <c r="R197" t="s">
        <v>69</v>
      </c>
      <c r="S197" t="s">
        <v>69</v>
      </c>
      <c r="T197" t="s">
        <v>3685</v>
      </c>
      <c r="U197" t="s">
        <v>3686</v>
      </c>
      <c r="V197" t="s">
        <v>3687</v>
      </c>
      <c r="W197" t="s">
        <v>3688</v>
      </c>
      <c r="X197" t="s">
        <v>3689</v>
      </c>
      <c r="Y197" t="s">
        <v>3690</v>
      </c>
      <c r="Z197" t="s">
        <v>69</v>
      </c>
      <c r="AA197" t="s">
        <v>69</v>
      </c>
      <c r="AB197" t="s">
        <v>69</v>
      </c>
      <c r="AC197" t="s">
        <v>69</v>
      </c>
      <c r="AD197" t="s">
        <v>69</v>
      </c>
      <c r="AE197">
        <v>38</v>
      </c>
      <c r="AF197">
        <v>9</v>
      </c>
      <c r="AG197">
        <v>9</v>
      </c>
      <c r="AH197">
        <v>1</v>
      </c>
      <c r="AI197">
        <v>17</v>
      </c>
      <c r="AJ197" t="s">
        <v>180</v>
      </c>
      <c r="AK197" t="s">
        <v>181</v>
      </c>
      <c r="AL197" t="s">
        <v>182</v>
      </c>
      <c r="AM197" t="s">
        <v>3691</v>
      </c>
      <c r="AN197" t="s">
        <v>3692</v>
      </c>
      <c r="AO197" t="s">
        <v>69</v>
      </c>
      <c r="AP197" t="s">
        <v>3693</v>
      </c>
      <c r="AQ197" t="s">
        <v>3694</v>
      </c>
      <c r="AR197" t="s">
        <v>422</v>
      </c>
      <c r="AS197">
        <v>2009</v>
      </c>
      <c r="AT197">
        <v>52</v>
      </c>
      <c r="AU197">
        <v>2</v>
      </c>
      <c r="AV197" t="s">
        <v>69</v>
      </c>
      <c r="AW197" t="s">
        <v>69</v>
      </c>
      <c r="AX197" t="s">
        <v>69</v>
      </c>
      <c r="AY197" t="s">
        <v>69</v>
      </c>
      <c r="AZ197">
        <v>159</v>
      </c>
      <c r="BA197">
        <v>183</v>
      </c>
      <c r="BB197" t="s">
        <v>69</v>
      </c>
      <c r="BC197" t="s">
        <v>3695</v>
      </c>
      <c r="BD197" t="s">
        <v>69</v>
      </c>
      <c r="BE197" t="s">
        <v>69</v>
      </c>
      <c r="BF197">
        <v>25</v>
      </c>
      <c r="BG197" t="s">
        <v>493</v>
      </c>
      <c r="BH197" t="s">
        <v>493</v>
      </c>
      <c r="BI197" t="s">
        <v>3696</v>
      </c>
      <c r="BJ197" t="s">
        <v>3697</v>
      </c>
      <c r="BK197" t="s">
        <v>69</v>
      </c>
      <c r="BL197" t="s">
        <v>69</v>
      </c>
      <c r="BM197" t="s">
        <v>69</v>
      </c>
      <c r="BN197" t="s">
        <v>69</v>
      </c>
      <c r="BO197" t="s">
        <v>95</v>
      </c>
      <c r="BP197" t="s">
        <v>69</v>
      </c>
    </row>
    <row r="198" spans="1:68" x14ac:dyDescent="0.15">
      <c r="A198" t="s">
        <v>67</v>
      </c>
      <c r="B198" t="s">
        <v>3698</v>
      </c>
      <c r="C198" t="s">
        <v>69</v>
      </c>
      <c r="D198" t="s">
        <v>69</v>
      </c>
      <c r="E198" t="s">
        <v>69</v>
      </c>
      <c r="F198" t="s">
        <v>3699</v>
      </c>
      <c r="G198" t="s">
        <v>69</v>
      </c>
      <c r="H198" t="s">
        <v>69</v>
      </c>
      <c r="I198" t="s">
        <v>3700</v>
      </c>
      <c r="J198" t="s">
        <v>3701</v>
      </c>
      <c r="K198" t="s">
        <v>69</v>
      </c>
      <c r="L198" t="s">
        <v>69</v>
      </c>
      <c r="M198" t="s">
        <v>73</v>
      </c>
      <c r="N198" t="s">
        <v>74</v>
      </c>
      <c r="O198" t="s">
        <v>69</v>
      </c>
      <c r="P198" t="s">
        <v>69</v>
      </c>
      <c r="Q198" t="s">
        <v>69</v>
      </c>
      <c r="R198" t="s">
        <v>69</v>
      </c>
      <c r="S198" t="s">
        <v>69</v>
      </c>
      <c r="T198" t="s">
        <v>3702</v>
      </c>
      <c r="U198" t="s">
        <v>3703</v>
      </c>
      <c r="V198" t="s">
        <v>3704</v>
      </c>
      <c r="W198" t="s">
        <v>3705</v>
      </c>
      <c r="X198" t="s">
        <v>3706</v>
      </c>
      <c r="Y198" t="s">
        <v>3707</v>
      </c>
      <c r="Z198" t="s">
        <v>69</v>
      </c>
      <c r="AA198" t="s">
        <v>69</v>
      </c>
      <c r="AB198" t="s">
        <v>69</v>
      </c>
      <c r="AC198" t="s">
        <v>69</v>
      </c>
      <c r="AD198" t="s">
        <v>69</v>
      </c>
      <c r="AE198">
        <v>50</v>
      </c>
      <c r="AF198">
        <v>15</v>
      </c>
      <c r="AG198">
        <v>15</v>
      </c>
      <c r="AH198">
        <v>2</v>
      </c>
      <c r="AI198">
        <v>13</v>
      </c>
      <c r="AJ198" t="s">
        <v>3673</v>
      </c>
      <c r="AK198" t="s">
        <v>1184</v>
      </c>
      <c r="AL198" t="s">
        <v>3674</v>
      </c>
      <c r="AM198" t="s">
        <v>3708</v>
      </c>
      <c r="AN198" t="s">
        <v>69</v>
      </c>
      <c r="AO198" t="s">
        <v>69</v>
      </c>
      <c r="AP198" t="s">
        <v>3709</v>
      </c>
      <c r="AQ198" t="s">
        <v>3710</v>
      </c>
      <c r="AR198" t="s">
        <v>468</v>
      </c>
      <c r="AS198">
        <v>2009</v>
      </c>
      <c r="AT198">
        <v>34</v>
      </c>
      <c r="AU198">
        <v>2</v>
      </c>
      <c r="AV198" t="s">
        <v>69</v>
      </c>
      <c r="AW198" t="s">
        <v>69</v>
      </c>
      <c r="AX198" t="s">
        <v>69</v>
      </c>
      <c r="AY198" t="s">
        <v>69</v>
      </c>
      <c r="AZ198">
        <v>117</v>
      </c>
      <c r="BA198">
        <v>126</v>
      </c>
      <c r="BB198" t="s">
        <v>69</v>
      </c>
      <c r="BC198" t="s">
        <v>3711</v>
      </c>
      <c r="BD198" t="s">
        <v>69</v>
      </c>
      <c r="BE198" t="s">
        <v>69</v>
      </c>
      <c r="BF198">
        <v>10</v>
      </c>
      <c r="BG198" t="s">
        <v>1009</v>
      </c>
      <c r="BH198" t="s">
        <v>1009</v>
      </c>
      <c r="BI198" t="s">
        <v>3712</v>
      </c>
      <c r="BJ198" t="s">
        <v>3713</v>
      </c>
      <c r="BK198">
        <v>19425341</v>
      </c>
      <c r="BL198" t="s">
        <v>69</v>
      </c>
      <c r="BM198" t="s">
        <v>69</v>
      </c>
      <c r="BN198" t="s">
        <v>69</v>
      </c>
      <c r="BO198" t="s">
        <v>95</v>
      </c>
      <c r="BP198" t="s">
        <v>69</v>
      </c>
    </row>
    <row r="199" spans="1:68" x14ac:dyDescent="0.15">
      <c r="A199" t="s">
        <v>67</v>
      </c>
      <c r="B199" t="s">
        <v>3714</v>
      </c>
      <c r="C199" t="s">
        <v>69</v>
      </c>
      <c r="D199" t="s">
        <v>69</v>
      </c>
      <c r="E199" t="s">
        <v>69</v>
      </c>
      <c r="F199" t="s">
        <v>3715</v>
      </c>
      <c r="G199" t="s">
        <v>69</v>
      </c>
      <c r="H199" t="s">
        <v>69</v>
      </c>
      <c r="I199" t="s">
        <v>3716</v>
      </c>
      <c r="J199" t="s">
        <v>762</v>
      </c>
      <c r="K199" t="s">
        <v>69</v>
      </c>
      <c r="L199" t="s">
        <v>69</v>
      </c>
      <c r="M199" t="s">
        <v>73</v>
      </c>
      <c r="N199" t="s">
        <v>74</v>
      </c>
      <c r="O199" t="s">
        <v>69</v>
      </c>
      <c r="P199" t="s">
        <v>69</v>
      </c>
      <c r="Q199" t="s">
        <v>69</v>
      </c>
      <c r="R199" t="s">
        <v>69</v>
      </c>
      <c r="S199" t="s">
        <v>69</v>
      </c>
      <c r="T199" t="s">
        <v>3717</v>
      </c>
      <c r="U199" t="s">
        <v>69</v>
      </c>
      <c r="V199" t="s">
        <v>3718</v>
      </c>
      <c r="W199" t="s">
        <v>3719</v>
      </c>
      <c r="X199" t="s">
        <v>3720</v>
      </c>
      <c r="Y199" t="s">
        <v>3721</v>
      </c>
      <c r="Z199" t="s">
        <v>69</v>
      </c>
      <c r="AA199" t="s">
        <v>69</v>
      </c>
      <c r="AB199" t="s">
        <v>69</v>
      </c>
      <c r="AC199" t="s">
        <v>69</v>
      </c>
      <c r="AD199" t="s">
        <v>69</v>
      </c>
      <c r="AE199">
        <v>78</v>
      </c>
      <c r="AF199">
        <v>81</v>
      </c>
      <c r="AG199">
        <v>81</v>
      </c>
      <c r="AH199">
        <v>0</v>
      </c>
      <c r="AI199">
        <v>16</v>
      </c>
      <c r="AJ199" t="s">
        <v>771</v>
      </c>
      <c r="AK199" t="s">
        <v>772</v>
      </c>
      <c r="AL199" t="s">
        <v>773</v>
      </c>
      <c r="AM199" t="s">
        <v>774</v>
      </c>
      <c r="AN199" t="s">
        <v>69</v>
      </c>
      <c r="AO199" t="s">
        <v>69</v>
      </c>
      <c r="AP199" t="s">
        <v>776</v>
      </c>
      <c r="AQ199" t="s">
        <v>777</v>
      </c>
      <c r="AR199" t="s">
        <v>511</v>
      </c>
      <c r="AS199">
        <v>2009</v>
      </c>
      <c r="AT199">
        <v>33</v>
      </c>
      <c r="AU199">
        <v>2</v>
      </c>
      <c r="AV199" t="s">
        <v>69</v>
      </c>
      <c r="AW199" t="s">
        <v>69</v>
      </c>
      <c r="AX199" t="s">
        <v>69</v>
      </c>
      <c r="AY199" t="s">
        <v>69</v>
      </c>
      <c r="AZ199">
        <v>124</v>
      </c>
      <c r="BA199">
        <v>139</v>
      </c>
      <c r="BB199" t="s">
        <v>69</v>
      </c>
      <c r="BC199" t="s">
        <v>3722</v>
      </c>
      <c r="BD199" t="s">
        <v>69</v>
      </c>
      <c r="BE199" t="s">
        <v>69</v>
      </c>
      <c r="BF199">
        <v>16</v>
      </c>
      <c r="BG199" t="s">
        <v>779</v>
      </c>
      <c r="BH199" t="s">
        <v>780</v>
      </c>
      <c r="BI199" t="s">
        <v>3723</v>
      </c>
      <c r="BJ199" t="s">
        <v>3724</v>
      </c>
      <c r="BK199" t="s">
        <v>69</v>
      </c>
      <c r="BL199" t="s">
        <v>69</v>
      </c>
      <c r="BM199" t="s">
        <v>69</v>
      </c>
      <c r="BN199" t="s">
        <v>69</v>
      </c>
      <c r="BO199" t="s">
        <v>95</v>
      </c>
      <c r="BP199" t="s">
        <v>69</v>
      </c>
    </row>
    <row r="200" spans="1:68" x14ac:dyDescent="0.15">
      <c r="A200" t="s">
        <v>67</v>
      </c>
      <c r="B200" t="s">
        <v>3725</v>
      </c>
      <c r="C200" t="s">
        <v>69</v>
      </c>
      <c r="D200" t="s">
        <v>69</v>
      </c>
      <c r="E200" t="s">
        <v>69</v>
      </c>
      <c r="F200" t="s">
        <v>3726</v>
      </c>
      <c r="G200" t="s">
        <v>69</v>
      </c>
      <c r="H200" t="s">
        <v>69</v>
      </c>
      <c r="I200" t="s">
        <v>3727</v>
      </c>
      <c r="J200" t="s">
        <v>762</v>
      </c>
      <c r="K200" t="s">
        <v>69</v>
      </c>
      <c r="L200" t="s">
        <v>69</v>
      </c>
      <c r="M200" t="s">
        <v>73</v>
      </c>
      <c r="N200" t="s">
        <v>74</v>
      </c>
      <c r="O200" t="s">
        <v>69</v>
      </c>
      <c r="P200" t="s">
        <v>69</v>
      </c>
      <c r="Q200" t="s">
        <v>69</v>
      </c>
      <c r="R200" t="s">
        <v>69</v>
      </c>
      <c r="S200" t="s">
        <v>69</v>
      </c>
      <c r="T200" t="s">
        <v>3728</v>
      </c>
      <c r="U200" t="s">
        <v>69</v>
      </c>
      <c r="V200" t="s">
        <v>3729</v>
      </c>
      <c r="W200" t="s">
        <v>3730</v>
      </c>
      <c r="X200" t="s">
        <v>3731</v>
      </c>
      <c r="Y200" t="s">
        <v>3732</v>
      </c>
      <c r="Z200" t="s">
        <v>69</v>
      </c>
      <c r="AA200" t="s">
        <v>69</v>
      </c>
      <c r="AB200" t="s">
        <v>69</v>
      </c>
      <c r="AC200" t="s">
        <v>69</v>
      </c>
      <c r="AD200" t="s">
        <v>69</v>
      </c>
      <c r="AE200">
        <v>34</v>
      </c>
      <c r="AF200">
        <v>109</v>
      </c>
      <c r="AG200">
        <v>110</v>
      </c>
      <c r="AH200">
        <v>1</v>
      </c>
      <c r="AI200">
        <v>51</v>
      </c>
      <c r="AJ200" t="s">
        <v>771</v>
      </c>
      <c r="AK200" t="s">
        <v>772</v>
      </c>
      <c r="AL200" t="s">
        <v>773</v>
      </c>
      <c r="AM200" t="s">
        <v>774</v>
      </c>
      <c r="AN200" t="s">
        <v>775</v>
      </c>
      <c r="AO200" t="s">
        <v>69</v>
      </c>
      <c r="AP200" t="s">
        <v>776</v>
      </c>
      <c r="AQ200" t="s">
        <v>777</v>
      </c>
      <c r="AR200" t="s">
        <v>511</v>
      </c>
      <c r="AS200">
        <v>2009</v>
      </c>
      <c r="AT200">
        <v>33</v>
      </c>
      <c r="AU200">
        <v>2</v>
      </c>
      <c r="AV200" t="s">
        <v>69</v>
      </c>
      <c r="AW200" t="s">
        <v>69</v>
      </c>
      <c r="AX200" t="s">
        <v>356</v>
      </c>
      <c r="AY200" t="s">
        <v>69</v>
      </c>
      <c r="AZ200">
        <v>140</v>
      </c>
      <c r="BA200">
        <v>149</v>
      </c>
      <c r="BB200" t="s">
        <v>69</v>
      </c>
      <c r="BC200" t="s">
        <v>3733</v>
      </c>
      <c r="BD200" t="s">
        <v>69</v>
      </c>
      <c r="BE200" t="s">
        <v>69</v>
      </c>
      <c r="BF200">
        <v>10</v>
      </c>
      <c r="BG200" t="s">
        <v>779</v>
      </c>
      <c r="BH200" t="s">
        <v>780</v>
      </c>
      <c r="BI200" t="s">
        <v>3723</v>
      </c>
      <c r="BJ200" t="s">
        <v>3734</v>
      </c>
      <c r="BK200" t="s">
        <v>69</v>
      </c>
      <c r="BL200" t="s">
        <v>69</v>
      </c>
      <c r="BM200" t="s">
        <v>69</v>
      </c>
      <c r="BN200" t="s">
        <v>69</v>
      </c>
      <c r="BO200" t="s">
        <v>95</v>
      </c>
      <c r="BP200" t="s">
        <v>69</v>
      </c>
    </row>
    <row r="201" spans="1:68" x14ac:dyDescent="0.15">
      <c r="A201" t="s">
        <v>67</v>
      </c>
      <c r="B201" t="s">
        <v>3735</v>
      </c>
      <c r="C201" t="s">
        <v>69</v>
      </c>
      <c r="D201" t="s">
        <v>69</v>
      </c>
      <c r="E201" t="s">
        <v>69</v>
      </c>
      <c r="F201" t="s">
        <v>3736</v>
      </c>
      <c r="G201" t="s">
        <v>69</v>
      </c>
      <c r="H201" t="s">
        <v>69</v>
      </c>
      <c r="I201" t="s">
        <v>3737</v>
      </c>
      <c r="J201" t="s">
        <v>3738</v>
      </c>
      <c r="K201" t="s">
        <v>69</v>
      </c>
      <c r="L201" t="s">
        <v>69</v>
      </c>
      <c r="M201" t="s">
        <v>73</v>
      </c>
      <c r="N201" t="s">
        <v>318</v>
      </c>
      <c r="O201" t="s">
        <v>69</v>
      </c>
      <c r="P201" t="s">
        <v>69</v>
      </c>
      <c r="Q201" t="s">
        <v>69</v>
      </c>
      <c r="R201" t="s">
        <v>69</v>
      </c>
      <c r="S201" t="s">
        <v>69</v>
      </c>
      <c r="T201" t="s">
        <v>3739</v>
      </c>
      <c r="U201" t="s">
        <v>3740</v>
      </c>
      <c r="V201" t="s">
        <v>3741</v>
      </c>
      <c r="W201" t="s">
        <v>3742</v>
      </c>
      <c r="X201" t="s">
        <v>3743</v>
      </c>
      <c r="Y201" t="s">
        <v>3744</v>
      </c>
      <c r="Z201" t="s">
        <v>69</v>
      </c>
      <c r="AA201" t="s">
        <v>69</v>
      </c>
      <c r="AB201" t="s">
        <v>69</v>
      </c>
      <c r="AC201" t="s">
        <v>69</v>
      </c>
      <c r="AD201" t="s">
        <v>69</v>
      </c>
      <c r="AE201">
        <v>174</v>
      </c>
      <c r="AF201">
        <v>98</v>
      </c>
      <c r="AG201">
        <v>98</v>
      </c>
      <c r="AH201">
        <v>1</v>
      </c>
      <c r="AI201">
        <v>58</v>
      </c>
      <c r="AJ201" t="s">
        <v>180</v>
      </c>
      <c r="AK201" t="s">
        <v>181</v>
      </c>
      <c r="AL201" t="s">
        <v>182</v>
      </c>
      <c r="AM201" t="s">
        <v>3745</v>
      </c>
      <c r="AN201" t="s">
        <v>3746</v>
      </c>
      <c r="AO201" t="s">
        <v>69</v>
      </c>
      <c r="AP201" t="s">
        <v>3747</v>
      </c>
      <c r="AQ201" t="s">
        <v>3748</v>
      </c>
      <c r="AR201" t="s">
        <v>511</v>
      </c>
      <c r="AS201">
        <v>2009</v>
      </c>
      <c r="AT201">
        <v>79</v>
      </c>
      <c r="AU201">
        <v>1</v>
      </c>
      <c r="AV201" t="s">
        <v>69</v>
      </c>
      <c r="AW201" t="s">
        <v>69</v>
      </c>
      <c r="AX201" t="s">
        <v>69</v>
      </c>
      <c r="AY201" t="s">
        <v>69</v>
      </c>
      <c r="AZ201">
        <v>366</v>
      </c>
      <c r="BA201">
        <v>394</v>
      </c>
      <c r="BB201" t="s">
        <v>69</v>
      </c>
      <c r="BC201" t="s">
        <v>3749</v>
      </c>
      <c r="BD201" t="s">
        <v>69</v>
      </c>
      <c r="BE201" t="s">
        <v>69</v>
      </c>
      <c r="BF201">
        <v>29</v>
      </c>
      <c r="BG201" t="s">
        <v>140</v>
      </c>
      <c r="BH201" t="s">
        <v>140</v>
      </c>
      <c r="BI201" t="s">
        <v>3750</v>
      </c>
      <c r="BJ201" t="s">
        <v>3751</v>
      </c>
      <c r="BK201" t="s">
        <v>69</v>
      </c>
      <c r="BL201" t="s">
        <v>69</v>
      </c>
      <c r="BM201" t="s">
        <v>69</v>
      </c>
      <c r="BN201" t="s">
        <v>69</v>
      </c>
      <c r="BO201" t="s">
        <v>95</v>
      </c>
      <c r="BP201" t="s">
        <v>69</v>
      </c>
    </row>
    <row r="202" spans="1:68" x14ac:dyDescent="0.15">
      <c r="A202" t="s">
        <v>67</v>
      </c>
      <c r="B202" t="s">
        <v>3752</v>
      </c>
      <c r="C202" t="s">
        <v>69</v>
      </c>
      <c r="D202" t="s">
        <v>69</v>
      </c>
      <c r="E202" t="s">
        <v>69</v>
      </c>
      <c r="F202" t="s">
        <v>3753</v>
      </c>
      <c r="G202" t="s">
        <v>69</v>
      </c>
      <c r="H202" t="s">
        <v>69</v>
      </c>
      <c r="I202" t="s">
        <v>3754</v>
      </c>
      <c r="J202" t="s">
        <v>1726</v>
      </c>
      <c r="K202" t="s">
        <v>69</v>
      </c>
      <c r="L202" t="s">
        <v>69</v>
      </c>
      <c r="M202" t="s">
        <v>73</v>
      </c>
      <c r="N202" t="s">
        <v>74</v>
      </c>
      <c r="O202" t="s">
        <v>69</v>
      </c>
      <c r="P202" t="s">
        <v>69</v>
      </c>
      <c r="Q202" t="s">
        <v>69</v>
      </c>
      <c r="R202" t="s">
        <v>69</v>
      </c>
      <c r="S202" t="s">
        <v>69</v>
      </c>
      <c r="T202" t="s">
        <v>3755</v>
      </c>
      <c r="U202" t="s">
        <v>3756</v>
      </c>
      <c r="V202" t="s">
        <v>3757</v>
      </c>
      <c r="W202" t="s">
        <v>3758</v>
      </c>
      <c r="X202" t="s">
        <v>3759</v>
      </c>
      <c r="Y202" t="s">
        <v>3760</v>
      </c>
      <c r="Z202" t="s">
        <v>3761</v>
      </c>
      <c r="AA202" t="s">
        <v>3762</v>
      </c>
      <c r="AB202" t="s">
        <v>3763</v>
      </c>
      <c r="AC202" t="s">
        <v>69</v>
      </c>
      <c r="AD202" t="s">
        <v>69</v>
      </c>
      <c r="AE202">
        <v>37</v>
      </c>
      <c r="AF202">
        <v>172</v>
      </c>
      <c r="AG202">
        <v>175</v>
      </c>
      <c r="AH202">
        <v>4</v>
      </c>
      <c r="AI202">
        <v>59</v>
      </c>
      <c r="AJ202" t="s">
        <v>108</v>
      </c>
      <c r="AK202" t="s">
        <v>109</v>
      </c>
      <c r="AL202" t="s">
        <v>110</v>
      </c>
      <c r="AM202" t="s">
        <v>1734</v>
      </c>
      <c r="AN202" t="s">
        <v>1735</v>
      </c>
      <c r="AO202" t="s">
        <v>69</v>
      </c>
      <c r="AP202" t="s">
        <v>1736</v>
      </c>
      <c r="AQ202" t="s">
        <v>1737</v>
      </c>
      <c r="AR202" t="s">
        <v>69</v>
      </c>
      <c r="AS202">
        <v>2009</v>
      </c>
      <c r="AT202">
        <v>35</v>
      </c>
      <c r="AU202">
        <v>7</v>
      </c>
      <c r="AV202" t="s">
        <v>69</v>
      </c>
      <c r="AW202" t="s">
        <v>69</v>
      </c>
      <c r="AX202" t="s">
        <v>69</v>
      </c>
      <c r="AY202" t="s">
        <v>69</v>
      </c>
      <c r="AZ202">
        <v>1077</v>
      </c>
      <c r="BA202">
        <v>1104</v>
      </c>
      <c r="BB202" t="s">
        <v>69</v>
      </c>
      <c r="BC202" t="s">
        <v>3764</v>
      </c>
      <c r="BD202" t="s">
        <v>69</v>
      </c>
      <c r="BE202" t="s">
        <v>69</v>
      </c>
      <c r="BF202">
        <v>28</v>
      </c>
      <c r="BG202" t="s">
        <v>1739</v>
      </c>
      <c r="BH202" t="s">
        <v>1739</v>
      </c>
      <c r="BI202" t="s">
        <v>3765</v>
      </c>
      <c r="BJ202" t="s">
        <v>3766</v>
      </c>
      <c r="BK202">
        <v>23626483</v>
      </c>
      <c r="BL202" t="s">
        <v>833</v>
      </c>
      <c r="BM202" t="s">
        <v>69</v>
      </c>
      <c r="BN202" t="s">
        <v>69</v>
      </c>
      <c r="BO202" t="s">
        <v>95</v>
      </c>
      <c r="BP202" t="s">
        <v>69</v>
      </c>
    </row>
    <row r="203" spans="1:68" x14ac:dyDescent="0.15">
      <c r="A203" t="s">
        <v>67</v>
      </c>
      <c r="B203" t="s">
        <v>3767</v>
      </c>
      <c r="C203" t="s">
        <v>69</v>
      </c>
      <c r="D203" t="s">
        <v>69</v>
      </c>
      <c r="E203" t="s">
        <v>69</v>
      </c>
      <c r="F203" t="s">
        <v>3768</v>
      </c>
      <c r="G203" t="s">
        <v>69</v>
      </c>
      <c r="H203" t="s">
        <v>69</v>
      </c>
      <c r="I203" t="s">
        <v>3769</v>
      </c>
      <c r="J203" t="s">
        <v>1929</v>
      </c>
      <c r="K203" t="s">
        <v>69</v>
      </c>
      <c r="L203" t="s">
        <v>69</v>
      </c>
      <c r="M203" t="s">
        <v>73</v>
      </c>
      <c r="N203" t="s">
        <v>74</v>
      </c>
      <c r="O203" t="s">
        <v>69</v>
      </c>
      <c r="P203" t="s">
        <v>69</v>
      </c>
      <c r="Q203" t="s">
        <v>69</v>
      </c>
      <c r="R203" t="s">
        <v>69</v>
      </c>
      <c r="S203" t="s">
        <v>69</v>
      </c>
      <c r="T203" t="s">
        <v>3770</v>
      </c>
      <c r="U203" t="s">
        <v>3771</v>
      </c>
      <c r="V203" t="s">
        <v>3772</v>
      </c>
      <c r="W203" t="s">
        <v>3773</v>
      </c>
      <c r="X203" t="s">
        <v>3774</v>
      </c>
      <c r="Y203" t="s">
        <v>69</v>
      </c>
      <c r="Z203" t="s">
        <v>3775</v>
      </c>
      <c r="AA203" t="s">
        <v>3776</v>
      </c>
      <c r="AB203" t="s">
        <v>69</v>
      </c>
      <c r="AC203" t="s">
        <v>69</v>
      </c>
      <c r="AD203" t="s">
        <v>69</v>
      </c>
      <c r="AE203">
        <v>52</v>
      </c>
      <c r="AF203">
        <v>35</v>
      </c>
      <c r="AG203">
        <v>36</v>
      </c>
      <c r="AH203">
        <v>0</v>
      </c>
      <c r="AI203">
        <v>18</v>
      </c>
      <c r="AJ203" t="s">
        <v>180</v>
      </c>
      <c r="AK203" t="s">
        <v>181</v>
      </c>
      <c r="AL203" t="s">
        <v>182</v>
      </c>
      <c r="AM203" t="s">
        <v>1936</v>
      </c>
      <c r="AN203" t="s">
        <v>1937</v>
      </c>
      <c r="AO203" t="s">
        <v>69</v>
      </c>
      <c r="AP203" t="s">
        <v>1938</v>
      </c>
      <c r="AQ203" t="s">
        <v>1939</v>
      </c>
      <c r="AR203" t="s">
        <v>731</v>
      </c>
      <c r="AS203">
        <v>2008</v>
      </c>
      <c r="AT203">
        <v>620</v>
      </c>
      <c r="AU203" t="s">
        <v>69</v>
      </c>
      <c r="AV203" t="s">
        <v>69</v>
      </c>
      <c r="AW203" t="s">
        <v>69</v>
      </c>
      <c r="AX203" t="s">
        <v>69</v>
      </c>
      <c r="AY203" t="s">
        <v>69</v>
      </c>
      <c r="AZ203">
        <v>138</v>
      </c>
      <c r="BA203">
        <v>160</v>
      </c>
      <c r="BB203" t="s">
        <v>69</v>
      </c>
      <c r="BC203" t="s">
        <v>3777</v>
      </c>
      <c r="BD203" t="s">
        <v>69</v>
      </c>
      <c r="BE203" t="s">
        <v>69</v>
      </c>
      <c r="BF203">
        <v>23</v>
      </c>
      <c r="BG203" t="s">
        <v>1941</v>
      </c>
      <c r="BH203" t="s">
        <v>1942</v>
      </c>
      <c r="BI203" t="s">
        <v>3778</v>
      </c>
      <c r="BJ203" t="s">
        <v>3779</v>
      </c>
      <c r="BK203" t="s">
        <v>69</v>
      </c>
      <c r="BL203" t="s">
        <v>69</v>
      </c>
      <c r="BM203" t="s">
        <v>69</v>
      </c>
      <c r="BN203" t="s">
        <v>69</v>
      </c>
      <c r="BO203" t="s">
        <v>95</v>
      </c>
      <c r="BP203" t="s">
        <v>69</v>
      </c>
    </row>
    <row r="204" spans="1:68" x14ac:dyDescent="0.15">
      <c r="A204" t="s">
        <v>67</v>
      </c>
      <c r="B204" t="s">
        <v>3780</v>
      </c>
      <c r="C204" t="s">
        <v>69</v>
      </c>
      <c r="D204" t="s">
        <v>69</v>
      </c>
      <c r="E204" t="s">
        <v>69</v>
      </c>
      <c r="F204" t="s">
        <v>3781</v>
      </c>
      <c r="G204" t="s">
        <v>69</v>
      </c>
      <c r="H204" t="s">
        <v>69</v>
      </c>
      <c r="I204" t="s">
        <v>3782</v>
      </c>
      <c r="J204" t="s">
        <v>3783</v>
      </c>
      <c r="K204" t="s">
        <v>69</v>
      </c>
      <c r="L204" t="s">
        <v>69</v>
      </c>
      <c r="M204" t="s">
        <v>73</v>
      </c>
      <c r="N204" t="s">
        <v>74</v>
      </c>
      <c r="O204" t="s">
        <v>69</v>
      </c>
      <c r="P204" t="s">
        <v>69</v>
      </c>
      <c r="Q204" t="s">
        <v>69</v>
      </c>
      <c r="R204" t="s">
        <v>69</v>
      </c>
      <c r="S204" t="s">
        <v>69</v>
      </c>
      <c r="T204" t="s">
        <v>3784</v>
      </c>
      <c r="U204" t="s">
        <v>3785</v>
      </c>
      <c r="V204" t="s">
        <v>3786</v>
      </c>
      <c r="W204" t="s">
        <v>3787</v>
      </c>
      <c r="X204" t="s">
        <v>3788</v>
      </c>
      <c r="Y204" t="s">
        <v>3789</v>
      </c>
      <c r="Z204" t="s">
        <v>3790</v>
      </c>
      <c r="AA204" t="s">
        <v>69</v>
      </c>
      <c r="AB204" t="s">
        <v>69</v>
      </c>
      <c r="AC204" t="s">
        <v>69</v>
      </c>
      <c r="AD204" t="s">
        <v>69</v>
      </c>
      <c r="AE204">
        <v>63</v>
      </c>
      <c r="AF204">
        <v>10</v>
      </c>
      <c r="AG204">
        <v>10</v>
      </c>
      <c r="AH204">
        <v>1</v>
      </c>
      <c r="AI204">
        <v>14</v>
      </c>
      <c r="AJ204" t="s">
        <v>771</v>
      </c>
      <c r="AK204" t="s">
        <v>772</v>
      </c>
      <c r="AL204" t="s">
        <v>773</v>
      </c>
      <c r="AM204" t="s">
        <v>3791</v>
      </c>
      <c r="AN204" t="s">
        <v>69</v>
      </c>
      <c r="AO204" t="s">
        <v>69</v>
      </c>
      <c r="AP204" t="s">
        <v>3792</v>
      </c>
      <c r="AQ204" t="s">
        <v>3793</v>
      </c>
      <c r="AR204" t="s">
        <v>285</v>
      </c>
      <c r="AS204">
        <v>2008</v>
      </c>
      <c r="AT204">
        <v>24</v>
      </c>
      <c r="AU204">
        <v>7</v>
      </c>
      <c r="AV204" t="s">
        <v>69</v>
      </c>
      <c r="AW204" t="s">
        <v>69</v>
      </c>
      <c r="AX204" t="s">
        <v>69</v>
      </c>
      <c r="AY204" t="s">
        <v>69</v>
      </c>
      <c r="AZ204">
        <v>1705</v>
      </c>
      <c r="BA204">
        <v>1716</v>
      </c>
      <c r="BB204" t="s">
        <v>69</v>
      </c>
      <c r="BC204" t="s">
        <v>3794</v>
      </c>
      <c r="BD204" t="s">
        <v>69</v>
      </c>
      <c r="BE204" t="s">
        <v>69</v>
      </c>
      <c r="BF204">
        <v>12</v>
      </c>
      <c r="BG204" t="s">
        <v>140</v>
      </c>
      <c r="BH204" t="s">
        <v>140</v>
      </c>
      <c r="BI204" t="s">
        <v>3795</v>
      </c>
      <c r="BJ204" t="s">
        <v>3796</v>
      </c>
      <c r="BK204" t="s">
        <v>69</v>
      </c>
      <c r="BL204" t="s">
        <v>1532</v>
      </c>
      <c r="BM204" t="s">
        <v>69</v>
      </c>
      <c r="BN204" t="s">
        <v>69</v>
      </c>
      <c r="BO204" t="s">
        <v>95</v>
      </c>
      <c r="BP204" t="s">
        <v>69</v>
      </c>
    </row>
    <row r="205" spans="1:68" x14ac:dyDescent="0.15">
      <c r="A205" t="s">
        <v>67</v>
      </c>
      <c r="B205" t="s">
        <v>3797</v>
      </c>
      <c r="C205" t="s">
        <v>69</v>
      </c>
      <c r="D205" t="s">
        <v>69</v>
      </c>
      <c r="E205" t="s">
        <v>69</v>
      </c>
      <c r="F205" t="s">
        <v>3798</v>
      </c>
      <c r="G205" t="s">
        <v>69</v>
      </c>
      <c r="H205" t="s">
        <v>69</v>
      </c>
      <c r="I205" t="s">
        <v>3799</v>
      </c>
      <c r="J205" t="s">
        <v>3800</v>
      </c>
      <c r="K205" t="s">
        <v>69</v>
      </c>
      <c r="L205" t="s">
        <v>69</v>
      </c>
      <c r="M205" t="s">
        <v>73</v>
      </c>
      <c r="N205" t="s">
        <v>74</v>
      </c>
      <c r="O205" t="s">
        <v>69</v>
      </c>
      <c r="P205" t="s">
        <v>69</v>
      </c>
      <c r="Q205" t="s">
        <v>69</v>
      </c>
      <c r="R205" t="s">
        <v>69</v>
      </c>
      <c r="S205" t="s">
        <v>69</v>
      </c>
      <c r="T205" t="s">
        <v>3801</v>
      </c>
      <c r="U205" t="s">
        <v>3802</v>
      </c>
      <c r="V205" t="s">
        <v>3803</v>
      </c>
      <c r="W205" t="s">
        <v>3804</v>
      </c>
      <c r="X205" t="s">
        <v>3805</v>
      </c>
      <c r="Y205" t="s">
        <v>69</v>
      </c>
      <c r="Z205" t="s">
        <v>3806</v>
      </c>
      <c r="AA205" t="s">
        <v>69</v>
      </c>
      <c r="AB205" t="s">
        <v>69</v>
      </c>
      <c r="AC205" t="s">
        <v>69</v>
      </c>
      <c r="AD205" t="s">
        <v>69</v>
      </c>
      <c r="AE205">
        <v>67</v>
      </c>
      <c r="AF205">
        <v>1</v>
      </c>
      <c r="AG205">
        <v>1</v>
      </c>
      <c r="AH205">
        <v>0</v>
      </c>
      <c r="AI205">
        <v>4</v>
      </c>
      <c r="AJ205" t="s">
        <v>3807</v>
      </c>
      <c r="AK205" t="s">
        <v>3808</v>
      </c>
      <c r="AL205" t="s">
        <v>3809</v>
      </c>
      <c r="AM205" t="s">
        <v>3810</v>
      </c>
      <c r="AN205" t="s">
        <v>69</v>
      </c>
      <c r="AO205" t="s">
        <v>69</v>
      </c>
      <c r="AP205" t="s">
        <v>3811</v>
      </c>
      <c r="AQ205" t="s">
        <v>3812</v>
      </c>
      <c r="AR205" t="s">
        <v>88</v>
      </c>
      <c r="AS205">
        <v>2008</v>
      </c>
      <c r="AT205">
        <v>8</v>
      </c>
      <c r="AU205">
        <v>1</v>
      </c>
      <c r="AV205" t="s">
        <v>69</v>
      </c>
      <c r="AW205" t="s">
        <v>69</v>
      </c>
      <c r="AX205" t="s">
        <v>69</v>
      </c>
      <c r="AY205" t="s">
        <v>69</v>
      </c>
      <c r="AZ205">
        <v>105</v>
      </c>
      <c r="BA205">
        <v>130</v>
      </c>
      <c r="BB205" t="s">
        <v>69</v>
      </c>
      <c r="BC205" t="s">
        <v>69</v>
      </c>
      <c r="BD205" t="s">
        <v>69</v>
      </c>
      <c r="BE205" t="s">
        <v>69</v>
      </c>
      <c r="BF205">
        <v>26</v>
      </c>
      <c r="BG205" t="s">
        <v>3813</v>
      </c>
      <c r="BH205" t="s">
        <v>3813</v>
      </c>
      <c r="BI205" t="s">
        <v>3814</v>
      </c>
      <c r="BJ205" t="s">
        <v>3815</v>
      </c>
      <c r="BK205" t="s">
        <v>69</v>
      </c>
      <c r="BL205" t="s">
        <v>69</v>
      </c>
      <c r="BM205" t="s">
        <v>69</v>
      </c>
      <c r="BN205" t="s">
        <v>69</v>
      </c>
      <c r="BO205" t="s">
        <v>95</v>
      </c>
      <c r="BP205" t="s">
        <v>69</v>
      </c>
    </row>
    <row r="206" spans="1:68" x14ac:dyDescent="0.15">
      <c r="A206" t="s">
        <v>67</v>
      </c>
      <c r="B206" t="s">
        <v>3021</v>
      </c>
      <c r="C206" t="s">
        <v>69</v>
      </c>
      <c r="D206" t="s">
        <v>69</v>
      </c>
      <c r="E206" t="s">
        <v>69</v>
      </c>
      <c r="F206" t="s">
        <v>3022</v>
      </c>
      <c r="G206" t="s">
        <v>69</v>
      </c>
      <c r="H206" t="s">
        <v>69</v>
      </c>
      <c r="I206" t="s">
        <v>3816</v>
      </c>
      <c r="J206" t="s">
        <v>762</v>
      </c>
      <c r="K206" t="s">
        <v>69</v>
      </c>
      <c r="L206" t="s">
        <v>69</v>
      </c>
      <c r="M206" t="s">
        <v>73</v>
      </c>
      <c r="N206" t="s">
        <v>969</v>
      </c>
      <c r="O206" t="s">
        <v>3817</v>
      </c>
      <c r="P206" t="s">
        <v>3818</v>
      </c>
      <c r="Q206" t="s">
        <v>3819</v>
      </c>
      <c r="R206" t="s">
        <v>3820</v>
      </c>
      <c r="S206" t="s">
        <v>69</v>
      </c>
      <c r="T206" t="s">
        <v>3821</v>
      </c>
      <c r="U206" t="s">
        <v>3822</v>
      </c>
      <c r="V206" t="s">
        <v>3823</v>
      </c>
      <c r="W206" t="s">
        <v>3824</v>
      </c>
      <c r="X206" t="s">
        <v>3825</v>
      </c>
      <c r="Y206" t="s">
        <v>3826</v>
      </c>
      <c r="Z206" t="s">
        <v>3030</v>
      </c>
      <c r="AA206" t="s">
        <v>3031</v>
      </c>
      <c r="AB206" t="s">
        <v>69</v>
      </c>
      <c r="AC206" t="s">
        <v>69</v>
      </c>
      <c r="AD206" t="s">
        <v>69</v>
      </c>
      <c r="AE206">
        <v>49</v>
      </c>
      <c r="AF206">
        <v>39</v>
      </c>
      <c r="AG206">
        <v>39</v>
      </c>
      <c r="AH206">
        <v>1</v>
      </c>
      <c r="AI206">
        <v>78</v>
      </c>
      <c r="AJ206" t="s">
        <v>771</v>
      </c>
      <c r="AK206" t="s">
        <v>772</v>
      </c>
      <c r="AL206" t="s">
        <v>773</v>
      </c>
      <c r="AM206" t="s">
        <v>774</v>
      </c>
      <c r="AN206" t="s">
        <v>69</v>
      </c>
      <c r="AO206" t="s">
        <v>69</v>
      </c>
      <c r="AP206" t="s">
        <v>776</v>
      </c>
      <c r="AQ206" t="s">
        <v>777</v>
      </c>
      <c r="AR206" t="s">
        <v>511</v>
      </c>
      <c r="AS206">
        <v>2008</v>
      </c>
      <c r="AT206">
        <v>32</v>
      </c>
      <c r="AU206">
        <v>2</v>
      </c>
      <c r="AV206" t="s">
        <v>69</v>
      </c>
      <c r="AW206" t="s">
        <v>69</v>
      </c>
      <c r="AX206" t="s">
        <v>69</v>
      </c>
      <c r="AY206" t="s">
        <v>69</v>
      </c>
      <c r="AZ206">
        <v>115</v>
      </c>
      <c r="BA206">
        <v>129</v>
      </c>
      <c r="BB206" t="s">
        <v>69</v>
      </c>
      <c r="BC206" t="s">
        <v>3827</v>
      </c>
      <c r="BD206" t="s">
        <v>69</v>
      </c>
      <c r="BE206" t="s">
        <v>69</v>
      </c>
      <c r="BF206">
        <v>15</v>
      </c>
      <c r="BG206" t="s">
        <v>779</v>
      </c>
      <c r="BH206" t="s">
        <v>780</v>
      </c>
      <c r="BI206" t="s">
        <v>3828</v>
      </c>
      <c r="BJ206" t="s">
        <v>3829</v>
      </c>
      <c r="BK206" t="s">
        <v>69</v>
      </c>
      <c r="BL206" t="s">
        <v>69</v>
      </c>
      <c r="BM206" t="s">
        <v>69</v>
      </c>
      <c r="BN206" t="s">
        <v>69</v>
      </c>
      <c r="BO206" t="s">
        <v>95</v>
      </c>
      <c r="BP206" t="s">
        <v>69</v>
      </c>
    </row>
    <row r="207" spans="1:68" x14ac:dyDescent="0.15">
      <c r="A207" t="s">
        <v>67</v>
      </c>
      <c r="B207" t="s">
        <v>3830</v>
      </c>
      <c r="C207" t="s">
        <v>69</v>
      </c>
      <c r="D207" t="s">
        <v>69</v>
      </c>
      <c r="E207" t="s">
        <v>69</v>
      </c>
      <c r="F207" t="s">
        <v>3831</v>
      </c>
      <c r="G207" t="s">
        <v>69</v>
      </c>
      <c r="H207" t="s">
        <v>69</v>
      </c>
      <c r="I207" t="s">
        <v>3832</v>
      </c>
      <c r="J207" t="s">
        <v>3833</v>
      </c>
      <c r="K207" t="s">
        <v>69</v>
      </c>
      <c r="L207" t="s">
        <v>69</v>
      </c>
      <c r="M207" t="s">
        <v>73</v>
      </c>
      <c r="N207" t="s">
        <v>74</v>
      </c>
      <c r="O207" t="s">
        <v>69</v>
      </c>
      <c r="P207" t="s">
        <v>69</v>
      </c>
      <c r="Q207" t="s">
        <v>69</v>
      </c>
      <c r="R207" t="s">
        <v>69</v>
      </c>
      <c r="S207" t="s">
        <v>69</v>
      </c>
      <c r="T207" t="s">
        <v>3834</v>
      </c>
      <c r="U207" t="s">
        <v>3835</v>
      </c>
      <c r="V207" t="s">
        <v>3836</v>
      </c>
      <c r="W207" t="s">
        <v>3837</v>
      </c>
      <c r="X207" t="s">
        <v>3838</v>
      </c>
      <c r="Y207" t="s">
        <v>3839</v>
      </c>
      <c r="Z207" t="s">
        <v>3840</v>
      </c>
      <c r="AA207" t="s">
        <v>3841</v>
      </c>
      <c r="AB207" t="s">
        <v>69</v>
      </c>
      <c r="AC207" t="s">
        <v>69</v>
      </c>
      <c r="AD207" t="s">
        <v>69</v>
      </c>
      <c r="AE207">
        <v>34</v>
      </c>
      <c r="AF207">
        <v>110</v>
      </c>
      <c r="AG207">
        <v>110</v>
      </c>
      <c r="AH207">
        <v>1</v>
      </c>
      <c r="AI207">
        <v>22</v>
      </c>
      <c r="AJ207" t="s">
        <v>2032</v>
      </c>
      <c r="AK207" t="s">
        <v>772</v>
      </c>
      <c r="AL207" t="s">
        <v>2033</v>
      </c>
      <c r="AM207" t="s">
        <v>3842</v>
      </c>
      <c r="AN207" t="s">
        <v>69</v>
      </c>
      <c r="AO207" t="s">
        <v>69</v>
      </c>
      <c r="AP207" t="s">
        <v>3843</v>
      </c>
      <c r="AQ207" t="s">
        <v>3844</v>
      </c>
      <c r="AR207" t="s">
        <v>511</v>
      </c>
      <c r="AS207">
        <v>2008</v>
      </c>
      <c r="AT207">
        <v>21</v>
      </c>
      <c r="AU207">
        <v>1</v>
      </c>
      <c r="AV207" t="s">
        <v>69</v>
      </c>
      <c r="AW207" t="s">
        <v>69</v>
      </c>
      <c r="AX207" t="s">
        <v>69</v>
      </c>
      <c r="AY207" t="s">
        <v>69</v>
      </c>
      <c r="AZ207">
        <v>1</v>
      </c>
      <c r="BA207">
        <v>18</v>
      </c>
      <c r="BB207" t="s">
        <v>69</v>
      </c>
      <c r="BC207" t="s">
        <v>3845</v>
      </c>
      <c r="BD207" t="s">
        <v>69</v>
      </c>
      <c r="BE207" t="s">
        <v>69</v>
      </c>
      <c r="BF207">
        <v>18</v>
      </c>
      <c r="BG207" t="s">
        <v>1739</v>
      </c>
      <c r="BH207" t="s">
        <v>1739</v>
      </c>
      <c r="BI207" t="s">
        <v>3846</v>
      </c>
      <c r="BJ207" t="s">
        <v>3847</v>
      </c>
      <c r="BK207" t="s">
        <v>69</v>
      </c>
      <c r="BL207" t="s">
        <v>69</v>
      </c>
      <c r="BM207" t="s">
        <v>69</v>
      </c>
      <c r="BN207" t="s">
        <v>69</v>
      </c>
      <c r="BO207" t="s">
        <v>95</v>
      </c>
      <c r="BP207" t="s">
        <v>69</v>
      </c>
    </row>
    <row r="208" spans="1:68" x14ac:dyDescent="0.15">
      <c r="A208" t="s">
        <v>67</v>
      </c>
      <c r="B208" t="s">
        <v>3848</v>
      </c>
      <c r="C208" t="s">
        <v>69</v>
      </c>
      <c r="D208" t="s">
        <v>69</v>
      </c>
      <c r="E208" t="s">
        <v>69</v>
      </c>
      <c r="F208" t="s">
        <v>3849</v>
      </c>
      <c r="G208" t="s">
        <v>69</v>
      </c>
      <c r="H208" t="s">
        <v>69</v>
      </c>
      <c r="I208" t="s">
        <v>3850</v>
      </c>
      <c r="J208" t="s">
        <v>2464</v>
      </c>
      <c r="K208" t="s">
        <v>69</v>
      </c>
      <c r="L208" t="s">
        <v>69</v>
      </c>
      <c r="M208" t="s">
        <v>73</v>
      </c>
      <c r="N208" t="s">
        <v>74</v>
      </c>
      <c r="O208" t="s">
        <v>69</v>
      </c>
      <c r="P208" t="s">
        <v>69</v>
      </c>
      <c r="Q208" t="s">
        <v>69</v>
      </c>
      <c r="R208" t="s">
        <v>69</v>
      </c>
      <c r="S208" t="s">
        <v>69</v>
      </c>
      <c r="T208" t="s">
        <v>3851</v>
      </c>
      <c r="U208" t="s">
        <v>3852</v>
      </c>
      <c r="V208" t="s">
        <v>3853</v>
      </c>
      <c r="W208" t="s">
        <v>3854</v>
      </c>
      <c r="X208" t="s">
        <v>3855</v>
      </c>
      <c r="Y208" t="s">
        <v>3856</v>
      </c>
      <c r="Z208" t="s">
        <v>69</v>
      </c>
      <c r="AA208" t="s">
        <v>69</v>
      </c>
      <c r="AB208" t="s">
        <v>3857</v>
      </c>
      <c r="AC208" t="s">
        <v>69</v>
      </c>
      <c r="AD208" t="s">
        <v>69</v>
      </c>
      <c r="AE208">
        <v>42</v>
      </c>
      <c r="AF208">
        <v>81</v>
      </c>
      <c r="AG208">
        <v>83</v>
      </c>
      <c r="AH208">
        <v>0</v>
      </c>
      <c r="AI208">
        <v>31</v>
      </c>
      <c r="AJ208" t="s">
        <v>2471</v>
      </c>
      <c r="AK208" t="s">
        <v>2472</v>
      </c>
      <c r="AL208" t="s">
        <v>2473</v>
      </c>
      <c r="AM208" t="s">
        <v>2474</v>
      </c>
      <c r="AN208" t="s">
        <v>2475</v>
      </c>
      <c r="AO208" t="s">
        <v>69</v>
      </c>
      <c r="AP208" t="s">
        <v>2476</v>
      </c>
      <c r="AQ208" t="s">
        <v>2477</v>
      </c>
      <c r="AR208" t="s">
        <v>511</v>
      </c>
      <c r="AS208">
        <v>2008</v>
      </c>
      <c r="AT208">
        <v>37</v>
      </c>
      <c r="AU208">
        <v>1</v>
      </c>
      <c r="AV208" t="s">
        <v>69</v>
      </c>
      <c r="AW208" t="s">
        <v>69</v>
      </c>
      <c r="AX208" t="s">
        <v>69</v>
      </c>
      <c r="AY208" t="s">
        <v>69</v>
      </c>
      <c r="AZ208">
        <v>109</v>
      </c>
      <c r="BA208">
        <v>137</v>
      </c>
      <c r="BB208" t="s">
        <v>69</v>
      </c>
      <c r="BC208" t="s">
        <v>3858</v>
      </c>
      <c r="BD208" t="s">
        <v>69</v>
      </c>
      <c r="BE208" t="s">
        <v>69</v>
      </c>
      <c r="BF208">
        <v>29</v>
      </c>
      <c r="BG208" t="s">
        <v>493</v>
      </c>
      <c r="BH208" t="s">
        <v>493</v>
      </c>
      <c r="BI208" t="s">
        <v>3859</v>
      </c>
      <c r="BJ208" t="s">
        <v>3860</v>
      </c>
      <c r="BK208">
        <v>19255601</v>
      </c>
      <c r="BL208" t="s">
        <v>833</v>
      </c>
      <c r="BM208" t="s">
        <v>69</v>
      </c>
      <c r="BN208" t="s">
        <v>69</v>
      </c>
      <c r="BO208" t="s">
        <v>95</v>
      </c>
      <c r="BP208" t="s">
        <v>69</v>
      </c>
    </row>
    <row r="209" spans="1:68" x14ac:dyDescent="0.15">
      <c r="A209" t="s">
        <v>67</v>
      </c>
      <c r="B209" t="s">
        <v>3861</v>
      </c>
      <c r="C209" t="s">
        <v>69</v>
      </c>
      <c r="D209" t="s">
        <v>69</v>
      </c>
      <c r="E209" t="s">
        <v>69</v>
      </c>
      <c r="F209" t="s">
        <v>3862</v>
      </c>
      <c r="G209" t="s">
        <v>69</v>
      </c>
      <c r="H209" t="s">
        <v>69</v>
      </c>
      <c r="I209" t="s">
        <v>3863</v>
      </c>
      <c r="J209" t="s">
        <v>3864</v>
      </c>
      <c r="K209" t="s">
        <v>69</v>
      </c>
      <c r="L209" t="s">
        <v>69</v>
      </c>
      <c r="M209" t="s">
        <v>73</v>
      </c>
      <c r="N209" t="s">
        <v>74</v>
      </c>
      <c r="O209" t="s">
        <v>69</v>
      </c>
      <c r="P209" t="s">
        <v>69</v>
      </c>
      <c r="Q209" t="s">
        <v>69</v>
      </c>
      <c r="R209" t="s">
        <v>69</v>
      </c>
      <c r="S209" t="s">
        <v>69</v>
      </c>
      <c r="T209" t="s">
        <v>3865</v>
      </c>
      <c r="U209" t="s">
        <v>3866</v>
      </c>
      <c r="V209" t="s">
        <v>3867</v>
      </c>
      <c r="W209" t="s">
        <v>3868</v>
      </c>
      <c r="X209" t="s">
        <v>3869</v>
      </c>
      <c r="Y209" t="s">
        <v>3870</v>
      </c>
      <c r="Z209" t="s">
        <v>69</v>
      </c>
      <c r="AA209" t="s">
        <v>3871</v>
      </c>
      <c r="AB209" t="s">
        <v>69</v>
      </c>
      <c r="AC209" t="s">
        <v>69</v>
      </c>
      <c r="AD209" t="s">
        <v>69</v>
      </c>
      <c r="AE209">
        <v>62</v>
      </c>
      <c r="AF209">
        <v>35</v>
      </c>
      <c r="AG209">
        <v>36</v>
      </c>
      <c r="AH209">
        <v>0</v>
      </c>
      <c r="AI209">
        <v>17</v>
      </c>
      <c r="AJ209" t="s">
        <v>155</v>
      </c>
      <c r="AK209" t="s">
        <v>156</v>
      </c>
      <c r="AL209" t="s">
        <v>157</v>
      </c>
      <c r="AM209" t="s">
        <v>3872</v>
      </c>
      <c r="AN209" t="s">
        <v>3873</v>
      </c>
      <c r="AO209" t="s">
        <v>69</v>
      </c>
      <c r="AP209" t="s">
        <v>3874</v>
      </c>
      <c r="AQ209" t="s">
        <v>3875</v>
      </c>
      <c r="AR209" t="s">
        <v>685</v>
      </c>
      <c r="AS209">
        <v>2008</v>
      </c>
      <c r="AT209">
        <v>32</v>
      </c>
      <c r="AU209">
        <v>1</v>
      </c>
      <c r="AV209" t="s">
        <v>69</v>
      </c>
      <c r="AW209" t="s">
        <v>69</v>
      </c>
      <c r="AX209" t="s">
        <v>69</v>
      </c>
      <c r="AY209" t="s">
        <v>69</v>
      </c>
      <c r="AZ209">
        <v>21</v>
      </c>
      <c r="BA209">
        <v>33</v>
      </c>
      <c r="BB209" t="s">
        <v>69</v>
      </c>
      <c r="BC209" t="s">
        <v>3876</v>
      </c>
      <c r="BD209" t="s">
        <v>69</v>
      </c>
      <c r="BE209" t="s">
        <v>69</v>
      </c>
      <c r="BF209">
        <v>13</v>
      </c>
      <c r="BG209" t="s">
        <v>733</v>
      </c>
      <c r="BH209" t="s">
        <v>288</v>
      </c>
      <c r="BI209" t="s">
        <v>3877</v>
      </c>
      <c r="BJ209" t="s">
        <v>3878</v>
      </c>
      <c r="BK209" t="s">
        <v>69</v>
      </c>
      <c r="BL209" t="s">
        <v>69</v>
      </c>
      <c r="BM209" t="s">
        <v>69</v>
      </c>
      <c r="BN209" t="s">
        <v>69</v>
      </c>
      <c r="BO209" t="s">
        <v>95</v>
      </c>
      <c r="BP209" t="s">
        <v>69</v>
      </c>
    </row>
    <row r="210" spans="1:68" x14ac:dyDescent="0.15">
      <c r="A210" t="s">
        <v>67</v>
      </c>
      <c r="B210" t="s">
        <v>3879</v>
      </c>
      <c r="C210" t="s">
        <v>69</v>
      </c>
      <c r="D210" t="s">
        <v>69</v>
      </c>
      <c r="E210" t="s">
        <v>69</v>
      </c>
      <c r="F210" t="s">
        <v>3880</v>
      </c>
      <c r="G210" t="s">
        <v>69</v>
      </c>
      <c r="H210" t="s">
        <v>69</v>
      </c>
      <c r="I210" t="s">
        <v>3881</v>
      </c>
      <c r="J210" t="s">
        <v>3882</v>
      </c>
      <c r="K210" t="s">
        <v>69</v>
      </c>
      <c r="L210" t="s">
        <v>69</v>
      </c>
      <c r="M210" t="s">
        <v>73</v>
      </c>
      <c r="N210" t="s">
        <v>74</v>
      </c>
      <c r="O210" t="s">
        <v>69</v>
      </c>
      <c r="P210" t="s">
        <v>69</v>
      </c>
      <c r="Q210" t="s">
        <v>69</v>
      </c>
      <c r="R210" t="s">
        <v>69</v>
      </c>
      <c r="S210" t="s">
        <v>69</v>
      </c>
      <c r="T210" t="s">
        <v>69</v>
      </c>
      <c r="U210" t="s">
        <v>3883</v>
      </c>
      <c r="V210" t="s">
        <v>3884</v>
      </c>
      <c r="W210" t="s">
        <v>3885</v>
      </c>
      <c r="X210" t="s">
        <v>3886</v>
      </c>
      <c r="Y210" t="s">
        <v>3887</v>
      </c>
      <c r="Z210" t="s">
        <v>69</v>
      </c>
      <c r="AA210" t="s">
        <v>69</v>
      </c>
      <c r="AB210" t="s">
        <v>69</v>
      </c>
      <c r="AC210" t="s">
        <v>69</v>
      </c>
      <c r="AD210" t="s">
        <v>69</v>
      </c>
      <c r="AE210">
        <v>63</v>
      </c>
      <c r="AF210">
        <v>11</v>
      </c>
      <c r="AG210">
        <v>11</v>
      </c>
      <c r="AH210">
        <v>0</v>
      </c>
      <c r="AI210">
        <v>11</v>
      </c>
      <c r="AJ210" t="s">
        <v>3888</v>
      </c>
      <c r="AK210" t="s">
        <v>3889</v>
      </c>
      <c r="AL210" t="s">
        <v>3890</v>
      </c>
      <c r="AM210" t="s">
        <v>3891</v>
      </c>
      <c r="AN210" t="s">
        <v>69</v>
      </c>
      <c r="AO210" t="s">
        <v>69</v>
      </c>
      <c r="AP210" t="s">
        <v>3892</v>
      </c>
      <c r="AQ210" t="s">
        <v>3893</v>
      </c>
      <c r="AR210" t="s">
        <v>69</v>
      </c>
      <c r="AS210">
        <v>2008</v>
      </c>
      <c r="AT210">
        <v>49</v>
      </c>
      <c r="AU210" t="s">
        <v>69</v>
      </c>
      <c r="AV210" t="s">
        <v>69</v>
      </c>
      <c r="AW210" t="s">
        <v>3894</v>
      </c>
      <c r="AX210" t="s">
        <v>69</v>
      </c>
      <c r="AY210" t="s">
        <v>69</v>
      </c>
      <c r="AZ210">
        <v>45</v>
      </c>
      <c r="BA210">
        <v>94</v>
      </c>
      <c r="BB210" t="s">
        <v>69</v>
      </c>
      <c r="BC210" t="s">
        <v>3895</v>
      </c>
      <c r="BD210" t="s">
        <v>69</v>
      </c>
      <c r="BE210" t="s">
        <v>69</v>
      </c>
      <c r="BF210">
        <v>50</v>
      </c>
      <c r="BG210" t="s">
        <v>493</v>
      </c>
      <c r="BH210" t="s">
        <v>493</v>
      </c>
      <c r="BI210" t="s">
        <v>3896</v>
      </c>
      <c r="BJ210" t="s">
        <v>3897</v>
      </c>
      <c r="BK210" t="s">
        <v>69</v>
      </c>
      <c r="BL210" t="s">
        <v>69</v>
      </c>
      <c r="BM210" t="s">
        <v>69</v>
      </c>
      <c r="BN210" t="s">
        <v>69</v>
      </c>
      <c r="BO210" t="s">
        <v>95</v>
      </c>
      <c r="BP210" t="s">
        <v>69</v>
      </c>
    </row>
    <row r="211" spans="1:68" x14ac:dyDescent="0.15">
      <c r="A211" t="s">
        <v>67</v>
      </c>
      <c r="B211" t="s">
        <v>3898</v>
      </c>
      <c r="C211" t="s">
        <v>69</v>
      </c>
      <c r="D211" t="s">
        <v>69</v>
      </c>
      <c r="E211" t="s">
        <v>69</v>
      </c>
      <c r="F211" t="s">
        <v>3899</v>
      </c>
      <c r="G211" t="s">
        <v>69</v>
      </c>
      <c r="H211" t="s">
        <v>69</v>
      </c>
      <c r="I211" t="s">
        <v>3900</v>
      </c>
      <c r="J211" t="s">
        <v>3901</v>
      </c>
      <c r="K211" t="s">
        <v>69</v>
      </c>
      <c r="L211" t="s">
        <v>69</v>
      </c>
      <c r="M211" t="s">
        <v>73</v>
      </c>
      <c r="N211" t="s">
        <v>318</v>
      </c>
      <c r="O211" t="s">
        <v>69</v>
      </c>
      <c r="P211" t="s">
        <v>69</v>
      </c>
      <c r="Q211" t="s">
        <v>69</v>
      </c>
      <c r="R211" t="s">
        <v>69</v>
      </c>
      <c r="S211" t="s">
        <v>69</v>
      </c>
      <c r="T211" t="s">
        <v>69</v>
      </c>
      <c r="U211" t="s">
        <v>3902</v>
      </c>
      <c r="V211" t="s">
        <v>3903</v>
      </c>
      <c r="W211" t="s">
        <v>3904</v>
      </c>
      <c r="X211" t="s">
        <v>3905</v>
      </c>
      <c r="Y211" t="s">
        <v>3906</v>
      </c>
      <c r="Z211" t="s">
        <v>3907</v>
      </c>
      <c r="AA211" t="s">
        <v>3908</v>
      </c>
      <c r="AB211" t="s">
        <v>69</v>
      </c>
      <c r="AC211" t="s">
        <v>69</v>
      </c>
      <c r="AD211" t="s">
        <v>69</v>
      </c>
      <c r="AE211">
        <v>143</v>
      </c>
      <c r="AF211">
        <v>164</v>
      </c>
      <c r="AG211">
        <v>167</v>
      </c>
      <c r="AH211">
        <v>3</v>
      </c>
      <c r="AI211">
        <v>66</v>
      </c>
      <c r="AJ211" t="s">
        <v>3909</v>
      </c>
      <c r="AK211" t="s">
        <v>954</v>
      </c>
      <c r="AL211" t="s">
        <v>3910</v>
      </c>
      <c r="AM211" t="s">
        <v>3911</v>
      </c>
      <c r="AN211" t="s">
        <v>3912</v>
      </c>
      <c r="AO211" t="s">
        <v>69</v>
      </c>
      <c r="AP211" t="s">
        <v>3901</v>
      </c>
      <c r="AQ211" t="s">
        <v>3913</v>
      </c>
      <c r="AR211" t="s">
        <v>355</v>
      </c>
      <c r="AS211">
        <v>2007</v>
      </c>
      <c r="AT211">
        <v>35</v>
      </c>
      <c r="AU211">
        <v>6</v>
      </c>
      <c r="AV211" t="s">
        <v>69</v>
      </c>
      <c r="AW211" t="s">
        <v>69</v>
      </c>
      <c r="AX211" t="s">
        <v>69</v>
      </c>
      <c r="AY211" t="s">
        <v>69</v>
      </c>
      <c r="AZ211">
        <v>331</v>
      </c>
      <c r="BA211">
        <v>351</v>
      </c>
      <c r="BB211" t="s">
        <v>69</v>
      </c>
      <c r="BC211" t="s">
        <v>3914</v>
      </c>
      <c r="BD211" t="s">
        <v>69</v>
      </c>
      <c r="BE211" t="s">
        <v>69</v>
      </c>
      <c r="BF211">
        <v>21</v>
      </c>
      <c r="BG211" t="s">
        <v>3915</v>
      </c>
      <c r="BH211" t="s">
        <v>3915</v>
      </c>
      <c r="BI211" t="s">
        <v>3916</v>
      </c>
      <c r="BJ211" t="s">
        <v>3917</v>
      </c>
      <c r="BK211" t="s">
        <v>69</v>
      </c>
      <c r="BL211" t="s">
        <v>69</v>
      </c>
      <c r="BM211" t="s">
        <v>69</v>
      </c>
      <c r="BN211" t="s">
        <v>69</v>
      </c>
      <c r="BO211" t="s">
        <v>95</v>
      </c>
      <c r="BP211" t="s">
        <v>69</v>
      </c>
    </row>
    <row r="212" spans="1:68" x14ac:dyDescent="0.15">
      <c r="A212" t="s">
        <v>67</v>
      </c>
      <c r="B212" t="s">
        <v>3918</v>
      </c>
      <c r="C212" t="s">
        <v>69</v>
      </c>
      <c r="D212" t="s">
        <v>69</v>
      </c>
      <c r="E212" t="s">
        <v>69</v>
      </c>
      <c r="F212" t="s">
        <v>3919</v>
      </c>
      <c r="G212" t="s">
        <v>69</v>
      </c>
      <c r="H212" t="s">
        <v>69</v>
      </c>
      <c r="I212" t="s">
        <v>3920</v>
      </c>
      <c r="J212" t="s">
        <v>3921</v>
      </c>
      <c r="K212" t="s">
        <v>69</v>
      </c>
      <c r="L212" t="s">
        <v>69</v>
      </c>
      <c r="M212" t="s">
        <v>456</v>
      </c>
      <c r="N212" t="s">
        <v>74</v>
      </c>
      <c r="O212" t="s">
        <v>69</v>
      </c>
      <c r="P212" t="s">
        <v>69</v>
      </c>
      <c r="Q212" t="s">
        <v>69</v>
      </c>
      <c r="R212" t="s">
        <v>69</v>
      </c>
      <c r="S212" t="s">
        <v>69</v>
      </c>
      <c r="T212" t="s">
        <v>3922</v>
      </c>
      <c r="U212" t="s">
        <v>69</v>
      </c>
      <c r="V212" t="s">
        <v>3923</v>
      </c>
      <c r="W212" t="s">
        <v>3924</v>
      </c>
      <c r="X212" t="s">
        <v>3925</v>
      </c>
      <c r="Y212" t="s">
        <v>3926</v>
      </c>
      <c r="Z212" t="s">
        <v>69</v>
      </c>
      <c r="AA212" t="s">
        <v>69</v>
      </c>
      <c r="AB212" t="s">
        <v>69</v>
      </c>
      <c r="AC212" t="s">
        <v>69</v>
      </c>
      <c r="AD212" t="s">
        <v>69</v>
      </c>
      <c r="AE212">
        <v>58</v>
      </c>
      <c r="AF212">
        <v>0</v>
      </c>
      <c r="AG212">
        <v>0</v>
      </c>
      <c r="AH212">
        <v>0</v>
      </c>
      <c r="AI212">
        <v>2</v>
      </c>
      <c r="AJ212" t="s">
        <v>3927</v>
      </c>
      <c r="AK212" t="s">
        <v>3928</v>
      </c>
      <c r="AL212" t="s">
        <v>3929</v>
      </c>
      <c r="AM212" t="s">
        <v>3930</v>
      </c>
      <c r="AN212" t="s">
        <v>69</v>
      </c>
      <c r="AO212" t="s">
        <v>69</v>
      </c>
      <c r="AP212" t="s">
        <v>3931</v>
      </c>
      <c r="AQ212" t="s">
        <v>3932</v>
      </c>
      <c r="AR212" t="s">
        <v>3933</v>
      </c>
      <c r="AS212">
        <v>2007</v>
      </c>
      <c r="AT212">
        <v>13</v>
      </c>
      <c r="AU212">
        <v>53</v>
      </c>
      <c r="AV212" t="s">
        <v>69</v>
      </c>
      <c r="AW212" t="s">
        <v>69</v>
      </c>
      <c r="AX212" t="s">
        <v>69</v>
      </c>
      <c r="AY212" t="s">
        <v>69</v>
      </c>
      <c r="AZ212">
        <v>103</v>
      </c>
      <c r="BA212">
        <v>135</v>
      </c>
      <c r="BB212" t="s">
        <v>69</v>
      </c>
      <c r="BC212" t="s">
        <v>69</v>
      </c>
      <c r="BD212" t="s">
        <v>69</v>
      </c>
      <c r="BE212" t="s">
        <v>69</v>
      </c>
      <c r="BF212">
        <v>33</v>
      </c>
      <c r="BG212" t="s">
        <v>604</v>
      </c>
      <c r="BH212" t="s">
        <v>604</v>
      </c>
      <c r="BI212" t="s">
        <v>3934</v>
      </c>
      <c r="BJ212" t="s">
        <v>3935</v>
      </c>
      <c r="BK212" t="s">
        <v>69</v>
      </c>
      <c r="BL212" t="s">
        <v>94</v>
      </c>
      <c r="BM212" t="s">
        <v>69</v>
      </c>
      <c r="BN212" t="s">
        <v>69</v>
      </c>
      <c r="BO212" t="s">
        <v>95</v>
      </c>
      <c r="BP212" t="s">
        <v>69</v>
      </c>
    </row>
    <row r="213" spans="1:68" x14ac:dyDescent="0.15">
      <c r="A213" t="s">
        <v>67</v>
      </c>
      <c r="B213" t="s">
        <v>3936</v>
      </c>
      <c r="C213" t="s">
        <v>69</v>
      </c>
      <c r="D213" t="s">
        <v>69</v>
      </c>
      <c r="E213" t="s">
        <v>69</v>
      </c>
      <c r="F213" t="s">
        <v>3937</v>
      </c>
      <c r="G213" t="s">
        <v>69</v>
      </c>
      <c r="H213" t="s">
        <v>69</v>
      </c>
      <c r="I213" t="s">
        <v>3938</v>
      </c>
      <c r="J213" t="s">
        <v>3939</v>
      </c>
      <c r="K213" t="s">
        <v>69</v>
      </c>
      <c r="L213" t="s">
        <v>69</v>
      </c>
      <c r="M213" t="s">
        <v>73</v>
      </c>
      <c r="N213" t="s">
        <v>74</v>
      </c>
      <c r="O213" t="s">
        <v>69</v>
      </c>
      <c r="P213" t="s">
        <v>69</v>
      </c>
      <c r="Q213" t="s">
        <v>69</v>
      </c>
      <c r="R213" t="s">
        <v>69</v>
      </c>
      <c r="S213" t="s">
        <v>69</v>
      </c>
      <c r="T213" t="s">
        <v>69</v>
      </c>
      <c r="U213" t="s">
        <v>3940</v>
      </c>
      <c r="V213" t="s">
        <v>3941</v>
      </c>
      <c r="W213" t="s">
        <v>3942</v>
      </c>
      <c r="X213" t="s">
        <v>3943</v>
      </c>
      <c r="Y213" t="s">
        <v>69</v>
      </c>
      <c r="Z213" t="s">
        <v>69</v>
      </c>
      <c r="AA213" t="s">
        <v>69</v>
      </c>
      <c r="AB213" t="s">
        <v>3944</v>
      </c>
      <c r="AC213" t="s">
        <v>69</v>
      </c>
      <c r="AD213" t="s">
        <v>69</v>
      </c>
      <c r="AE213">
        <v>22</v>
      </c>
      <c r="AF213">
        <v>224</v>
      </c>
      <c r="AG213">
        <v>227</v>
      </c>
      <c r="AH213">
        <v>3</v>
      </c>
      <c r="AI213">
        <v>35</v>
      </c>
      <c r="AJ213" t="s">
        <v>3945</v>
      </c>
      <c r="AK213" t="s">
        <v>3946</v>
      </c>
      <c r="AL213" t="s">
        <v>3947</v>
      </c>
      <c r="AM213" t="s">
        <v>3948</v>
      </c>
      <c r="AN213" t="s">
        <v>69</v>
      </c>
      <c r="AO213" t="s">
        <v>69</v>
      </c>
      <c r="AP213" t="s">
        <v>3949</v>
      </c>
      <c r="AQ213" t="s">
        <v>3950</v>
      </c>
      <c r="AR213" t="s">
        <v>579</v>
      </c>
      <c r="AS213">
        <v>2007</v>
      </c>
      <c r="AT213">
        <v>45</v>
      </c>
      <c r="AU213">
        <v>2</v>
      </c>
      <c r="AV213" t="s">
        <v>69</v>
      </c>
      <c r="AW213" t="s">
        <v>69</v>
      </c>
      <c r="AX213" t="s">
        <v>69</v>
      </c>
      <c r="AY213" t="s">
        <v>69</v>
      </c>
      <c r="AZ213">
        <v>236</v>
      </c>
      <c r="BA213">
        <v>256</v>
      </c>
      <c r="BB213" t="s">
        <v>69</v>
      </c>
      <c r="BC213" t="s">
        <v>3951</v>
      </c>
      <c r="BD213" t="s">
        <v>69</v>
      </c>
      <c r="BE213" t="s">
        <v>69</v>
      </c>
      <c r="BF213">
        <v>21</v>
      </c>
      <c r="BG213" t="s">
        <v>3952</v>
      </c>
      <c r="BH213" t="s">
        <v>232</v>
      </c>
      <c r="BI213" t="s">
        <v>3953</v>
      </c>
      <c r="BJ213" t="s">
        <v>3954</v>
      </c>
      <c r="BK213" t="s">
        <v>69</v>
      </c>
      <c r="BL213" t="s">
        <v>69</v>
      </c>
      <c r="BM213" t="s">
        <v>69</v>
      </c>
      <c r="BN213" t="s">
        <v>69</v>
      </c>
      <c r="BO213" t="s">
        <v>95</v>
      </c>
      <c r="BP213" t="s">
        <v>69</v>
      </c>
    </row>
    <row r="214" spans="1:68" x14ac:dyDescent="0.15">
      <c r="A214" t="s">
        <v>67</v>
      </c>
      <c r="B214" t="s">
        <v>3558</v>
      </c>
      <c r="C214" t="s">
        <v>69</v>
      </c>
      <c r="D214" t="s">
        <v>69</v>
      </c>
      <c r="E214" t="s">
        <v>69</v>
      </c>
      <c r="F214" t="s">
        <v>3559</v>
      </c>
      <c r="G214" t="s">
        <v>69</v>
      </c>
      <c r="H214" t="s">
        <v>69</v>
      </c>
      <c r="I214" t="s">
        <v>3955</v>
      </c>
      <c r="J214" t="s">
        <v>1929</v>
      </c>
      <c r="K214" t="s">
        <v>69</v>
      </c>
      <c r="L214" t="s">
        <v>69</v>
      </c>
      <c r="M214" t="s">
        <v>73</v>
      </c>
      <c r="N214" t="s">
        <v>969</v>
      </c>
      <c r="O214" t="s">
        <v>3956</v>
      </c>
      <c r="P214" t="s">
        <v>3957</v>
      </c>
      <c r="Q214" t="s">
        <v>3958</v>
      </c>
      <c r="R214" t="s">
        <v>69</v>
      </c>
      <c r="S214" t="s">
        <v>3959</v>
      </c>
      <c r="T214" t="s">
        <v>3960</v>
      </c>
      <c r="U214" t="s">
        <v>3961</v>
      </c>
      <c r="V214" t="s">
        <v>3962</v>
      </c>
      <c r="W214" t="s">
        <v>3963</v>
      </c>
      <c r="X214" t="s">
        <v>3964</v>
      </c>
      <c r="Y214" t="s">
        <v>69</v>
      </c>
      <c r="Z214" t="s">
        <v>69</v>
      </c>
      <c r="AA214" t="s">
        <v>69</v>
      </c>
      <c r="AB214" t="s">
        <v>69</v>
      </c>
      <c r="AC214" t="s">
        <v>69</v>
      </c>
      <c r="AD214" t="s">
        <v>69</v>
      </c>
      <c r="AE214">
        <v>51</v>
      </c>
      <c r="AF214">
        <v>68</v>
      </c>
      <c r="AG214">
        <v>71</v>
      </c>
      <c r="AH214">
        <v>0</v>
      </c>
      <c r="AI214">
        <v>17</v>
      </c>
      <c r="AJ214" t="s">
        <v>180</v>
      </c>
      <c r="AK214" t="s">
        <v>181</v>
      </c>
      <c r="AL214" t="s">
        <v>182</v>
      </c>
      <c r="AM214" t="s">
        <v>1936</v>
      </c>
      <c r="AN214" t="s">
        <v>1937</v>
      </c>
      <c r="AO214" t="s">
        <v>69</v>
      </c>
      <c r="AP214" t="s">
        <v>1938</v>
      </c>
      <c r="AQ214" t="s">
        <v>1939</v>
      </c>
      <c r="AR214" t="s">
        <v>511</v>
      </c>
      <c r="AS214">
        <v>2007</v>
      </c>
      <c r="AT214">
        <v>610</v>
      </c>
      <c r="AU214" t="s">
        <v>69</v>
      </c>
      <c r="AV214" t="s">
        <v>69</v>
      </c>
      <c r="AW214" t="s">
        <v>69</v>
      </c>
      <c r="AX214" t="s">
        <v>69</v>
      </c>
      <c r="AY214" t="s">
        <v>69</v>
      </c>
      <c r="AZ214">
        <v>73</v>
      </c>
      <c r="BA214">
        <v>97</v>
      </c>
      <c r="BB214" t="s">
        <v>69</v>
      </c>
      <c r="BC214" t="s">
        <v>3965</v>
      </c>
      <c r="BD214" t="s">
        <v>69</v>
      </c>
      <c r="BE214" t="s">
        <v>69</v>
      </c>
      <c r="BF214">
        <v>25</v>
      </c>
      <c r="BG214" t="s">
        <v>1941</v>
      </c>
      <c r="BH214" t="s">
        <v>1942</v>
      </c>
      <c r="BI214" t="s">
        <v>3966</v>
      </c>
      <c r="BJ214" t="s">
        <v>3967</v>
      </c>
      <c r="BK214" t="s">
        <v>69</v>
      </c>
      <c r="BL214" t="s">
        <v>69</v>
      </c>
      <c r="BM214" t="s">
        <v>69</v>
      </c>
      <c r="BN214" t="s">
        <v>69</v>
      </c>
      <c r="BO214" t="s">
        <v>95</v>
      </c>
      <c r="BP214" t="s">
        <v>69</v>
      </c>
    </row>
    <row r="215" spans="1:68" x14ac:dyDescent="0.15">
      <c r="A215" t="s">
        <v>67</v>
      </c>
      <c r="B215" t="s">
        <v>3968</v>
      </c>
      <c r="C215" t="s">
        <v>69</v>
      </c>
      <c r="D215" t="s">
        <v>69</v>
      </c>
      <c r="E215" t="s">
        <v>69</v>
      </c>
      <c r="F215" t="s">
        <v>3969</v>
      </c>
      <c r="G215" t="s">
        <v>69</v>
      </c>
      <c r="H215" t="s">
        <v>69</v>
      </c>
      <c r="I215" t="s">
        <v>3970</v>
      </c>
      <c r="J215" t="s">
        <v>3971</v>
      </c>
      <c r="K215" t="s">
        <v>69</v>
      </c>
      <c r="L215" t="s">
        <v>69</v>
      </c>
      <c r="M215" t="s">
        <v>73</v>
      </c>
      <c r="N215" t="s">
        <v>74</v>
      </c>
      <c r="O215" t="s">
        <v>69</v>
      </c>
      <c r="P215" t="s">
        <v>69</v>
      </c>
      <c r="Q215" t="s">
        <v>69</v>
      </c>
      <c r="R215" t="s">
        <v>69</v>
      </c>
      <c r="S215" t="s">
        <v>69</v>
      </c>
      <c r="T215" t="s">
        <v>3972</v>
      </c>
      <c r="U215" t="s">
        <v>3973</v>
      </c>
      <c r="V215" t="s">
        <v>3974</v>
      </c>
      <c r="W215" t="s">
        <v>3975</v>
      </c>
      <c r="X215" t="s">
        <v>3976</v>
      </c>
      <c r="Y215" t="s">
        <v>3977</v>
      </c>
      <c r="Z215" t="s">
        <v>69</v>
      </c>
      <c r="AA215" t="s">
        <v>69</v>
      </c>
      <c r="AB215" t="s">
        <v>69</v>
      </c>
      <c r="AC215" t="s">
        <v>69</v>
      </c>
      <c r="AD215" t="s">
        <v>69</v>
      </c>
      <c r="AE215">
        <v>51</v>
      </c>
      <c r="AF215">
        <v>94</v>
      </c>
      <c r="AG215">
        <v>94</v>
      </c>
      <c r="AH215">
        <v>0</v>
      </c>
      <c r="AI215">
        <v>9</v>
      </c>
      <c r="AJ215" t="s">
        <v>3978</v>
      </c>
      <c r="AK215" t="s">
        <v>3979</v>
      </c>
      <c r="AL215" t="s">
        <v>3980</v>
      </c>
      <c r="AM215" t="s">
        <v>3981</v>
      </c>
      <c r="AN215" t="s">
        <v>69</v>
      </c>
      <c r="AO215" t="s">
        <v>69</v>
      </c>
      <c r="AP215" t="s">
        <v>3971</v>
      </c>
      <c r="AQ215" t="s">
        <v>3982</v>
      </c>
      <c r="AR215" t="s">
        <v>3983</v>
      </c>
      <c r="AS215">
        <v>2006</v>
      </c>
      <c r="AT215">
        <v>43</v>
      </c>
      <c r="AU215">
        <v>4</v>
      </c>
      <c r="AV215" t="s">
        <v>69</v>
      </c>
      <c r="AW215" t="s">
        <v>69</v>
      </c>
      <c r="AX215" t="s">
        <v>69</v>
      </c>
      <c r="AY215" t="s">
        <v>69</v>
      </c>
      <c r="AZ215">
        <v>397</v>
      </c>
      <c r="BA215">
        <v>409</v>
      </c>
      <c r="BB215" t="s">
        <v>69</v>
      </c>
      <c r="BC215" t="s">
        <v>3984</v>
      </c>
      <c r="BD215" t="s">
        <v>69</v>
      </c>
      <c r="BE215" t="s">
        <v>69</v>
      </c>
      <c r="BF215">
        <v>13</v>
      </c>
      <c r="BG215" t="s">
        <v>2974</v>
      </c>
      <c r="BH215" t="s">
        <v>288</v>
      </c>
      <c r="BI215" t="s">
        <v>3985</v>
      </c>
      <c r="BJ215" t="s">
        <v>3986</v>
      </c>
      <c r="BK215">
        <v>22122132</v>
      </c>
      <c r="BL215" t="s">
        <v>69</v>
      </c>
      <c r="BM215" t="s">
        <v>69</v>
      </c>
      <c r="BN215" t="s">
        <v>69</v>
      </c>
      <c r="BO215" t="s">
        <v>95</v>
      </c>
      <c r="BP215" t="s">
        <v>69</v>
      </c>
    </row>
    <row r="216" spans="1:68" x14ac:dyDescent="0.15">
      <c r="A216" t="s">
        <v>67</v>
      </c>
      <c r="B216" t="s">
        <v>3879</v>
      </c>
      <c r="C216" t="s">
        <v>69</v>
      </c>
      <c r="D216" t="s">
        <v>69</v>
      </c>
      <c r="E216" t="s">
        <v>69</v>
      </c>
      <c r="F216" t="s">
        <v>3880</v>
      </c>
      <c r="G216" t="s">
        <v>69</v>
      </c>
      <c r="H216" t="s">
        <v>69</v>
      </c>
      <c r="I216" t="s">
        <v>3987</v>
      </c>
      <c r="J216" t="s">
        <v>3882</v>
      </c>
      <c r="K216" t="s">
        <v>69</v>
      </c>
      <c r="L216" t="s">
        <v>69</v>
      </c>
      <c r="M216" t="s">
        <v>3988</v>
      </c>
      <c r="N216" t="s">
        <v>74</v>
      </c>
      <c r="O216" t="s">
        <v>69</v>
      </c>
      <c r="P216" t="s">
        <v>69</v>
      </c>
      <c r="Q216" t="s">
        <v>69</v>
      </c>
      <c r="R216" t="s">
        <v>69</v>
      </c>
      <c r="S216" t="s">
        <v>69</v>
      </c>
      <c r="T216" t="s">
        <v>69</v>
      </c>
      <c r="U216" t="s">
        <v>3989</v>
      </c>
      <c r="V216" t="s">
        <v>3990</v>
      </c>
      <c r="W216" t="s">
        <v>3991</v>
      </c>
      <c r="X216" t="s">
        <v>3992</v>
      </c>
      <c r="Y216" t="s">
        <v>69</v>
      </c>
      <c r="Z216" t="s">
        <v>69</v>
      </c>
      <c r="AA216" t="s">
        <v>69</v>
      </c>
      <c r="AB216" t="s">
        <v>69</v>
      </c>
      <c r="AC216" t="s">
        <v>69</v>
      </c>
      <c r="AD216" t="s">
        <v>69</v>
      </c>
      <c r="AE216">
        <v>60</v>
      </c>
      <c r="AF216">
        <v>30</v>
      </c>
      <c r="AG216">
        <v>30</v>
      </c>
      <c r="AH216">
        <v>0</v>
      </c>
      <c r="AI216">
        <v>7</v>
      </c>
      <c r="AJ216" t="s">
        <v>3888</v>
      </c>
      <c r="AK216" t="s">
        <v>3889</v>
      </c>
      <c r="AL216" t="s">
        <v>3890</v>
      </c>
      <c r="AM216" t="s">
        <v>3891</v>
      </c>
      <c r="AN216" t="s">
        <v>69</v>
      </c>
      <c r="AO216" t="s">
        <v>69</v>
      </c>
      <c r="AP216" t="s">
        <v>3892</v>
      </c>
      <c r="AQ216" t="s">
        <v>3893</v>
      </c>
      <c r="AR216" t="s">
        <v>3993</v>
      </c>
      <c r="AS216">
        <v>2006</v>
      </c>
      <c r="AT216">
        <v>47</v>
      </c>
      <c r="AU216">
        <v>2</v>
      </c>
      <c r="AV216" t="s">
        <v>69</v>
      </c>
      <c r="AW216" t="s">
        <v>69</v>
      </c>
      <c r="AX216" t="s">
        <v>69</v>
      </c>
      <c r="AY216" t="s">
        <v>69</v>
      </c>
      <c r="AZ216">
        <v>243</v>
      </c>
      <c r="BA216" t="s">
        <v>1757</v>
      </c>
      <c r="BB216" t="s">
        <v>69</v>
      </c>
      <c r="BC216" t="s">
        <v>3994</v>
      </c>
      <c r="BD216" t="s">
        <v>69</v>
      </c>
      <c r="BE216" t="s">
        <v>69</v>
      </c>
      <c r="BF216">
        <v>51</v>
      </c>
      <c r="BG216" t="s">
        <v>493</v>
      </c>
      <c r="BH216" t="s">
        <v>493</v>
      </c>
      <c r="BI216" t="s">
        <v>3995</v>
      </c>
      <c r="BJ216" t="s">
        <v>3996</v>
      </c>
      <c r="BK216" t="s">
        <v>69</v>
      </c>
      <c r="BL216" t="s">
        <v>69</v>
      </c>
      <c r="BM216" t="s">
        <v>69</v>
      </c>
      <c r="BN216" t="s">
        <v>69</v>
      </c>
      <c r="BO216" t="s">
        <v>95</v>
      </c>
      <c r="BP216" t="s">
        <v>69</v>
      </c>
    </row>
    <row r="217" spans="1:68" x14ac:dyDescent="0.15">
      <c r="A217" t="s">
        <v>67</v>
      </c>
      <c r="B217" t="s">
        <v>3997</v>
      </c>
      <c r="C217" t="s">
        <v>69</v>
      </c>
      <c r="D217" t="s">
        <v>69</v>
      </c>
      <c r="E217" t="s">
        <v>69</v>
      </c>
      <c r="F217" t="s">
        <v>3997</v>
      </c>
      <c r="G217" t="s">
        <v>69</v>
      </c>
      <c r="H217" t="s">
        <v>69</v>
      </c>
      <c r="I217" t="s">
        <v>3998</v>
      </c>
      <c r="J217" t="s">
        <v>717</v>
      </c>
      <c r="K217" t="s">
        <v>69</v>
      </c>
      <c r="L217" t="s">
        <v>69</v>
      </c>
      <c r="M217" t="s">
        <v>73</v>
      </c>
      <c r="N217" t="s">
        <v>318</v>
      </c>
      <c r="O217" t="s">
        <v>69</v>
      </c>
      <c r="P217" t="s">
        <v>69</v>
      </c>
      <c r="Q217" t="s">
        <v>69</v>
      </c>
      <c r="R217" t="s">
        <v>69</v>
      </c>
      <c r="S217" t="s">
        <v>69</v>
      </c>
      <c r="T217" t="s">
        <v>3999</v>
      </c>
      <c r="U217" t="s">
        <v>4000</v>
      </c>
      <c r="V217" t="s">
        <v>4001</v>
      </c>
      <c r="W217" t="s">
        <v>4002</v>
      </c>
      <c r="X217" t="s">
        <v>4003</v>
      </c>
      <c r="Y217" t="s">
        <v>1043</v>
      </c>
      <c r="Z217" t="s">
        <v>4004</v>
      </c>
      <c r="AA217" t="s">
        <v>69</v>
      </c>
      <c r="AB217" t="s">
        <v>69</v>
      </c>
      <c r="AC217" t="s">
        <v>69</v>
      </c>
      <c r="AD217" t="s">
        <v>69</v>
      </c>
      <c r="AE217">
        <v>110</v>
      </c>
      <c r="AF217">
        <v>241</v>
      </c>
      <c r="AG217">
        <v>243</v>
      </c>
      <c r="AH217">
        <v>4</v>
      </c>
      <c r="AI217">
        <v>40</v>
      </c>
      <c r="AJ217" t="s">
        <v>725</v>
      </c>
      <c r="AK217" t="s">
        <v>83</v>
      </c>
      <c r="AL217" t="s">
        <v>726</v>
      </c>
      <c r="AM217" t="s">
        <v>727</v>
      </c>
      <c r="AN217" t="s">
        <v>728</v>
      </c>
      <c r="AO217" t="s">
        <v>69</v>
      </c>
      <c r="AP217" t="s">
        <v>729</v>
      </c>
      <c r="AQ217" t="s">
        <v>730</v>
      </c>
      <c r="AR217" t="s">
        <v>69</v>
      </c>
      <c r="AS217">
        <v>2006</v>
      </c>
      <c r="AT217">
        <v>49</v>
      </c>
      <c r="AU217">
        <v>1</v>
      </c>
      <c r="AV217" t="s">
        <v>69</v>
      </c>
      <c r="AW217" t="s">
        <v>69</v>
      </c>
      <c r="AX217" t="s">
        <v>69</v>
      </c>
      <c r="AY217" t="s">
        <v>69</v>
      </c>
      <c r="AZ217">
        <v>1</v>
      </c>
      <c r="BA217">
        <v>30</v>
      </c>
      <c r="BB217" t="s">
        <v>69</v>
      </c>
      <c r="BC217" t="s">
        <v>4005</v>
      </c>
      <c r="BD217" t="s">
        <v>69</v>
      </c>
      <c r="BE217" t="s">
        <v>69</v>
      </c>
      <c r="BF217">
        <v>30</v>
      </c>
      <c r="BG217" t="s">
        <v>733</v>
      </c>
      <c r="BH217" t="s">
        <v>288</v>
      </c>
      <c r="BI217" t="s">
        <v>4006</v>
      </c>
      <c r="BJ217" t="s">
        <v>4007</v>
      </c>
      <c r="BK217" t="s">
        <v>69</v>
      </c>
      <c r="BL217" t="s">
        <v>69</v>
      </c>
      <c r="BM217" t="s">
        <v>69</v>
      </c>
      <c r="BN217" t="s">
        <v>69</v>
      </c>
      <c r="BO217" t="s">
        <v>95</v>
      </c>
      <c r="BP217" t="s">
        <v>69</v>
      </c>
    </row>
    <row r="218" spans="1:68" x14ac:dyDescent="0.15">
      <c r="A218" t="s">
        <v>67</v>
      </c>
      <c r="B218" t="s">
        <v>4008</v>
      </c>
      <c r="C218" t="s">
        <v>69</v>
      </c>
      <c r="D218" t="s">
        <v>69</v>
      </c>
      <c r="E218" t="s">
        <v>69</v>
      </c>
      <c r="F218" t="s">
        <v>4008</v>
      </c>
      <c r="G218" t="s">
        <v>69</v>
      </c>
      <c r="H218" t="s">
        <v>69</v>
      </c>
      <c r="I218" t="s">
        <v>4009</v>
      </c>
      <c r="J218" t="s">
        <v>717</v>
      </c>
      <c r="K218" t="s">
        <v>69</v>
      </c>
      <c r="L218" t="s">
        <v>69</v>
      </c>
      <c r="M218" t="s">
        <v>73</v>
      </c>
      <c r="N218" t="s">
        <v>2244</v>
      </c>
      <c r="O218" t="s">
        <v>69</v>
      </c>
      <c r="P218" t="s">
        <v>69</v>
      </c>
      <c r="Q218" t="s">
        <v>69</v>
      </c>
      <c r="R218" t="s">
        <v>69</v>
      </c>
      <c r="S218" t="s">
        <v>69</v>
      </c>
      <c r="T218" t="s">
        <v>4010</v>
      </c>
      <c r="U218" t="s">
        <v>69</v>
      </c>
      <c r="V218" t="s">
        <v>69</v>
      </c>
      <c r="W218" t="s">
        <v>4011</v>
      </c>
      <c r="X218" t="s">
        <v>4012</v>
      </c>
      <c r="Y218" t="s">
        <v>4013</v>
      </c>
      <c r="Z218" t="s">
        <v>69</v>
      </c>
      <c r="AA218" t="s">
        <v>4014</v>
      </c>
      <c r="AB218" t="s">
        <v>69</v>
      </c>
      <c r="AC218" t="s">
        <v>69</v>
      </c>
      <c r="AD218" t="s">
        <v>69</v>
      </c>
      <c r="AE218">
        <v>14</v>
      </c>
      <c r="AF218">
        <v>2</v>
      </c>
      <c r="AG218">
        <v>2</v>
      </c>
      <c r="AH218">
        <v>0</v>
      </c>
      <c r="AI218">
        <v>10</v>
      </c>
      <c r="AJ218" t="s">
        <v>725</v>
      </c>
      <c r="AK218" t="s">
        <v>83</v>
      </c>
      <c r="AL218" t="s">
        <v>726</v>
      </c>
      <c r="AM218" t="s">
        <v>727</v>
      </c>
      <c r="AN218" t="s">
        <v>728</v>
      </c>
      <c r="AO218" t="s">
        <v>69</v>
      </c>
      <c r="AP218" t="s">
        <v>729</v>
      </c>
      <c r="AQ218" t="s">
        <v>730</v>
      </c>
      <c r="AR218" t="s">
        <v>69</v>
      </c>
      <c r="AS218">
        <v>2006</v>
      </c>
      <c r="AT218">
        <v>49</v>
      </c>
      <c r="AU218">
        <v>1</v>
      </c>
      <c r="AV218" t="s">
        <v>69</v>
      </c>
      <c r="AW218" t="s">
        <v>69</v>
      </c>
      <c r="AX218" t="s">
        <v>69</v>
      </c>
      <c r="AY218" t="s">
        <v>69</v>
      </c>
      <c r="AZ218">
        <v>31</v>
      </c>
      <c r="BA218">
        <v>35</v>
      </c>
      <c r="BB218" t="s">
        <v>69</v>
      </c>
      <c r="BC218" t="s">
        <v>4015</v>
      </c>
      <c r="BD218" t="s">
        <v>69</v>
      </c>
      <c r="BE218" t="s">
        <v>69</v>
      </c>
      <c r="BF218">
        <v>5</v>
      </c>
      <c r="BG218" t="s">
        <v>733</v>
      </c>
      <c r="BH218" t="s">
        <v>288</v>
      </c>
      <c r="BI218" t="s">
        <v>4006</v>
      </c>
      <c r="BJ218" t="s">
        <v>4016</v>
      </c>
      <c r="BK218" t="s">
        <v>69</v>
      </c>
      <c r="BL218" t="s">
        <v>69</v>
      </c>
      <c r="BM218" t="s">
        <v>69</v>
      </c>
      <c r="BN218" t="s">
        <v>69</v>
      </c>
      <c r="BO218" t="s">
        <v>95</v>
      </c>
      <c r="BP218" t="s">
        <v>69</v>
      </c>
    </row>
    <row r="219" spans="1:68" x14ac:dyDescent="0.15">
      <c r="A219" t="s">
        <v>67</v>
      </c>
      <c r="B219" t="s">
        <v>4017</v>
      </c>
      <c r="C219" t="s">
        <v>69</v>
      </c>
      <c r="D219" t="s">
        <v>69</v>
      </c>
      <c r="E219" t="s">
        <v>69</v>
      </c>
      <c r="F219" t="s">
        <v>4017</v>
      </c>
      <c r="G219" t="s">
        <v>69</v>
      </c>
      <c r="H219" t="s">
        <v>69</v>
      </c>
      <c r="I219" t="s">
        <v>4018</v>
      </c>
      <c r="J219" t="s">
        <v>4019</v>
      </c>
      <c r="K219" t="s">
        <v>69</v>
      </c>
      <c r="L219" t="s">
        <v>69</v>
      </c>
      <c r="M219" t="s">
        <v>73</v>
      </c>
      <c r="N219" t="s">
        <v>969</v>
      </c>
      <c r="O219" t="s">
        <v>4020</v>
      </c>
      <c r="P219" t="s">
        <v>4021</v>
      </c>
      <c r="Q219" t="s">
        <v>4022</v>
      </c>
      <c r="R219" t="s">
        <v>4023</v>
      </c>
      <c r="S219" t="s">
        <v>69</v>
      </c>
      <c r="T219" t="s">
        <v>4024</v>
      </c>
      <c r="U219" t="s">
        <v>4025</v>
      </c>
      <c r="V219" t="s">
        <v>4026</v>
      </c>
      <c r="W219" t="s">
        <v>4027</v>
      </c>
      <c r="X219" t="s">
        <v>4028</v>
      </c>
      <c r="Y219" t="s">
        <v>4029</v>
      </c>
      <c r="Z219" t="s">
        <v>69</v>
      </c>
      <c r="AA219" t="s">
        <v>69</v>
      </c>
      <c r="AB219" t="s">
        <v>69</v>
      </c>
      <c r="AC219" t="s">
        <v>69</v>
      </c>
      <c r="AD219" t="s">
        <v>69</v>
      </c>
      <c r="AE219">
        <v>75</v>
      </c>
      <c r="AF219">
        <v>80</v>
      </c>
      <c r="AG219">
        <v>80</v>
      </c>
      <c r="AH219">
        <v>0</v>
      </c>
      <c r="AI219">
        <v>15</v>
      </c>
      <c r="AJ219" t="s">
        <v>223</v>
      </c>
      <c r="AK219" t="s">
        <v>224</v>
      </c>
      <c r="AL219" t="s">
        <v>225</v>
      </c>
      <c r="AM219" t="s">
        <v>4030</v>
      </c>
      <c r="AN219" t="s">
        <v>4031</v>
      </c>
      <c r="AO219" t="s">
        <v>69</v>
      </c>
      <c r="AP219" t="s">
        <v>4019</v>
      </c>
      <c r="AQ219" t="s">
        <v>4032</v>
      </c>
      <c r="AR219" t="s">
        <v>490</v>
      </c>
      <c r="AS219">
        <v>2005</v>
      </c>
      <c r="AT219">
        <v>43</v>
      </c>
      <c r="AU219">
        <v>3</v>
      </c>
      <c r="AV219" t="s">
        <v>69</v>
      </c>
      <c r="AW219" t="s">
        <v>69</v>
      </c>
      <c r="AX219" t="s">
        <v>69</v>
      </c>
      <c r="AY219" t="s">
        <v>69</v>
      </c>
      <c r="AZ219">
        <v>837</v>
      </c>
      <c r="BA219">
        <v>872</v>
      </c>
      <c r="BB219" t="s">
        <v>69</v>
      </c>
      <c r="BC219" t="s">
        <v>4033</v>
      </c>
      <c r="BD219" t="s">
        <v>69</v>
      </c>
      <c r="BE219" t="s">
        <v>69</v>
      </c>
      <c r="BF219">
        <v>36</v>
      </c>
      <c r="BG219" t="s">
        <v>3255</v>
      </c>
      <c r="BH219" t="s">
        <v>3255</v>
      </c>
      <c r="BI219" t="s">
        <v>4034</v>
      </c>
      <c r="BJ219" t="s">
        <v>4035</v>
      </c>
      <c r="BK219" t="s">
        <v>69</v>
      </c>
      <c r="BL219" t="s">
        <v>69</v>
      </c>
      <c r="BM219" t="s">
        <v>69</v>
      </c>
      <c r="BN219" t="s">
        <v>69</v>
      </c>
      <c r="BO219" t="s">
        <v>95</v>
      </c>
      <c r="BP219" t="s">
        <v>69</v>
      </c>
    </row>
    <row r="220" spans="1:68" x14ac:dyDescent="0.15">
      <c r="A220" t="s">
        <v>67</v>
      </c>
      <c r="B220" t="s">
        <v>4036</v>
      </c>
      <c r="C220" t="s">
        <v>69</v>
      </c>
      <c r="D220" t="s">
        <v>69</v>
      </c>
      <c r="E220" t="s">
        <v>69</v>
      </c>
      <c r="F220" t="s">
        <v>4036</v>
      </c>
      <c r="G220" t="s">
        <v>69</v>
      </c>
      <c r="H220" t="s">
        <v>69</v>
      </c>
      <c r="I220" t="s">
        <v>4037</v>
      </c>
      <c r="J220" t="s">
        <v>4038</v>
      </c>
      <c r="K220" t="s">
        <v>69</v>
      </c>
      <c r="L220" t="s">
        <v>69</v>
      </c>
      <c r="M220" t="s">
        <v>73</v>
      </c>
      <c r="N220" t="s">
        <v>74</v>
      </c>
      <c r="O220" t="s">
        <v>69</v>
      </c>
      <c r="P220" t="s">
        <v>69</v>
      </c>
      <c r="Q220" t="s">
        <v>69</v>
      </c>
      <c r="R220" t="s">
        <v>69</v>
      </c>
      <c r="S220" t="s">
        <v>69</v>
      </c>
      <c r="T220" t="s">
        <v>69</v>
      </c>
      <c r="U220" t="s">
        <v>4039</v>
      </c>
      <c r="V220" t="s">
        <v>4040</v>
      </c>
      <c r="W220" t="s">
        <v>4041</v>
      </c>
      <c r="X220" t="s">
        <v>4042</v>
      </c>
      <c r="Y220" t="s">
        <v>69</v>
      </c>
      <c r="Z220" t="s">
        <v>69</v>
      </c>
      <c r="AA220" t="s">
        <v>69</v>
      </c>
      <c r="AB220" t="s">
        <v>69</v>
      </c>
      <c r="AC220" t="s">
        <v>69</v>
      </c>
      <c r="AD220" t="s">
        <v>69</v>
      </c>
      <c r="AE220">
        <v>57</v>
      </c>
      <c r="AF220">
        <v>5</v>
      </c>
      <c r="AG220">
        <v>5</v>
      </c>
      <c r="AH220">
        <v>0</v>
      </c>
      <c r="AI220">
        <v>5</v>
      </c>
      <c r="AJ220" t="s">
        <v>223</v>
      </c>
      <c r="AK220" t="s">
        <v>224</v>
      </c>
      <c r="AL220" t="s">
        <v>225</v>
      </c>
      <c r="AM220" t="s">
        <v>4043</v>
      </c>
      <c r="AN220" t="s">
        <v>4044</v>
      </c>
      <c r="AO220" t="s">
        <v>69</v>
      </c>
      <c r="AP220" t="s">
        <v>4045</v>
      </c>
      <c r="AQ220" t="s">
        <v>4046</v>
      </c>
      <c r="AR220" t="s">
        <v>468</v>
      </c>
      <c r="AS220">
        <v>2005</v>
      </c>
      <c r="AT220">
        <v>75</v>
      </c>
      <c r="AU220">
        <v>2</v>
      </c>
      <c r="AV220" t="s">
        <v>69</v>
      </c>
      <c r="AW220" t="s">
        <v>69</v>
      </c>
      <c r="AX220" t="s">
        <v>69</v>
      </c>
      <c r="AY220" t="s">
        <v>69</v>
      </c>
      <c r="AZ220">
        <v>216</v>
      </c>
      <c r="BA220">
        <v>248</v>
      </c>
      <c r="BB220" t="s">
        <v>69</v>
      </c>
      <c r="BC220" t="s">
        <v>4047</v>
      </c>
      <c r="BD220" t="s">
        <v>69</v>
      </c>
      <c r="BE220" t="s">
        <v>69</v>
      </c>
      <c r="BF220">
        <v>33</v>
      </c>
      <c r="BG220" t="s">
        <v>493</v>
      </c>
      <c r="BH220" t="s">
        <v>493</v>
      </c>
      <c r="BI220" t="s">
        <v>4048</v>
      </c>
      <c r="BJ220" t="s">
        <v>4049</v>
      </c>
      <c r="BK220" t="s">
        <v>69</v>
      </c>
      <c r="BL220" t="s">
        <v>69</v>
      </c>
      <c r="BM220" t="s">
        <v>69</v>
      </c>
      <c r="BN220" t="s">
        <v>69</v>
      </c>
      <c r="BO220" t="s">
        <v>95</v>
      </c>
      <c r="BP220" t="s">
        <v>69</v>
      </c>
    </row>
    <row r="221" spans="1:68" x14ac:dyDescent="0.15">
      <c r="A221" t="s">
        <v>3894</v>
      </c>
      <c r="B221" t="s">
        <v>4050</v>
      </c>
      <c r="C221" t="s">
        <v>69</v>
      </c>
      <c r="D221" t="s">
        <v>69</v>
      </c>
      <c r="E221" t="s">
        <v>69</v>
      </c>
      <c r="F221" t="s">
        <v>4050</v>
      </c>
      <c r="G221" t="s">
        <v>69</v>
      </c>
      <c r="H221" t="s">
        <v>69</v>
      </c>
      <c r="I221" t="s">
        <v>4051</v>
      </c>
      <c r="J221" t="s">
        <v>4052</v>
      </c>
      <c r="K221" t="s">
        <v>4053</v>
      </c>
      <c r="L221" t="s">
        <v>69</v>
      </c>
      <c r="M221" t="s">
        <v>73</v>
      </c>
      <c r="N221" t="s">
        <v>4054</v>
      </c>
      <c r="O221" t="s">
        <v>69</v>
      </c>
      <c r="P221" t="s">
        <v>69</v>
      </c>
      <c r="Q221" t="s">
        <v>69</v>
      </c>
      <c r="R221" t="s">
        <v>69</v>
      </c>
      <c r="S221" t="s">
        <v>69</v>
      </c>
      <c r="T221" t="s">
        <v>4055</v>
      </c>
      <c r="U221" t="s">
        <v>4056</v>
      </c>
      <c r="V221" t="s">
        <v>4057</v>
      </c>
      <c r="W221" t="s">
        <v>4058</v>
      </c>
      <c r="X221" t="s">
        <v>4059</v>
      </c>
      <c r="Y221" t="s">
        <v>4060</v>
      </c>
      <c r="Z221" t="s">
        <v>4061</v>
      </c>
      <c r="AA221" t="s">
        <v>69</v>
      </c>
      <c r="AB221" t="s">
        <v>69</v>
      </c>
      <c r="AC221" t="s">
        <v>69</v>
      </c>
      <c r="AD221" t="s">
        <v>69</v>
      </c>
      <c r="AE221">
        <v>75</v>
      </c>
      <c r="AF221">
        <v>400</v>
      </c>
      <c r="AG221">
        <v>404</v>
      </c>
      <c r="AH221">
        <v>4</v>
      </c>
      <c r="AI221">
        <v>106</v>
      </c>
      <c r="AJ221" t="s">
        <v>4062</v>
      </c>
      <c r="AK221" t="s">
        <v>4063</v>
      </c>
      <c r="AL221" t="s">
        <v>4064</v>
      </c>
      <c r="AM221" t="s">
        <v>4065</v>
      </c>
      <c r="AN221" t="s">
        <v>69</v>
      </c>
      <c r="AO221" t="s">
        <v>4066</v>
      </c>
      <c r="AP221" t="s">
        <v>4067</v>
      </c>
      <c r="AQ221" t="s">
        <v>4068</v>
      </c>
      <c r="AR221" t="s">
        <v>69</v>
      </c>
      <c r="AS221">
        <v>2005</v>
      </c>
      <c r="AT221">
        <v>31</v>
      </c>
      <c r="AU221" t="s">
        <v>69</v>
      </c>
      <c r="AV221" t="s">
        <v>69</v>
      </c>
      <c r="AW221" t="s">
        <v>69</v>
      </c>
      <c r="AX221" t="s">
        <v>69</v>
      </c>
      <c r="AY221" t="s">
        <v>69</v>
      </c>
      <c r="AZ221">
        <v>105</v>
      </c>
      <c r="BA221">
        <v>125</v>
      </c>
      <c r="BB221" t="s">
        <v>69</v>
      </c>
      <c r="BC221" t="s">
        <v>4069</v>
      </c>
      <c r="BD221" t="s">
        <v>69</v>
      </c>
      <c r="BE221" t="s">
        <v>69</v>
      </c>
      <c r="BF221">
        <v>21</v>
      </c>
      <c r="BG221" t="s">
        <v>493</v>
      </c>
      <c r="BH221" t="s">
        <v>493</v>
      </c>
      <c r="BI221" t="s">
        <v>4070</v>
      </c>
      <c r="BJ221" t="s">
        <v>4071</v>
      </c>
      <c r="BK221" t="s">
        <v>69</v>
      </c>
      <c r="BL221" t="s">
        <v>69</v>
      </c>
      <c r="BM221" t="s">
        <v>69</v>
      </c>
      <c r="BN221" t="s">
        <v>69</v>
      </c>
      <c r="BO221" t="s">
        <v>95</v>
      </c>
      <c r="BP221" t="s">
        <v>69</v>
      </c>
    </row>
    <row r="222" spans="1:68" x14ac:dyDescent="0.15">
      <c r="A222" t="s">
        <v>67</v>
      </c>
      <c r="B222" t="s">
        <v>4072</v>
      </c>
      <c r="C222" t="s">
        <v>69</v>
      </c>
      <c r="D222" t="s">
        <v>69</v>
      </c>
      <c r="E222" t="s">
        <v>69</v>
      </c>
      <c r="F222" t="s">
        <v>4072</v>
      </c>
      <c r="G222" t="s">
        <v>69</v>
      </c>
      <c r="H222" t="s">
        <v>69</v>
      </c>
      <c r="I222" t="s">
        <v>4073</v>
      </c>
      <c r="J222" t="s">
        <v>4074</v>
      </c>
      <c r="K222" t="s">
        <v>69</v>
      </c>
      <c r="L222" t="s">
        <v>69</v>
      </c>
      <c r="M222" t="s">
        <v>73</v>
      </c>
      <c r="N222" t="s">
        <v>969</v>
      </c>
      <c r="O222" t="s">
        <v>4075</v>
      </c>
      <c r="P222" t="s">
        <v>4076</v>
      </c>
      <c r="Q222" t="s">
        <v>4077</v>
      </c>
      <c r="R222" t="s">
        <v>4078</v>
      </c>
      <c r="S222" t="s">
        <v>69</v>
      </c>
      <c r="T222" t="s">
        <v>69</v>
      </c>
      <c r="U222" t="s">
        <v>4079</v>
      </c>
      <c r="V222" t="s">
        <v>4080</v>
      </c>
      <c r="W222" t="s">
        <v>4081</v>
      </c>
      <c r="X222" t="s">
        <v>4082</v>
      </c>
      <c r="Y222" t="s">
        <v>69</v>
      </c>
      <c r="Z222" t="s">
        <v>69</v>
      </c>
      <c r="AA222" t="s">
        <v>69</v>
      </c>
      <c r="AB222" t="s">
        <v>69</v>
      </c>
      <c r="AC222" t="s">
        <v>69</v>
      </c>
      <c r="AD222" t="s">
        <v>69</v>
      </c>
      <c r="AE222">
        <v>68</v>
      </c>
      <c r="AF222">
        <v>5</v>
      </c>
      <c r="AG222">
        <v>5</v>
      </c>
      <c r="AH222">
        <v>0</v>
      </c>
      <c r="AI222">
        <v>5</v>
      </c>
      <c r="AJ222" t="s">
        <v>223</v>
      </c>
      <c r="AK222" t="s">
        <v>224</v>
      </c>
      <c r="AL222" t="s">
        <v>225</v>
      </c>
      <c r="AM222" t="s">
        <v>4083</v>
      </c>
      <c r="AN222" t="s">
        <v>4084</v>
      </c>
      <c r="AO222" t="s">
        <v>69</v>
      </c>
      <c r="AP222" t="s">
        <v>4085</v>
      </c>
      <c r="AQ222" t="s">
        <v>4086</v>
      </c>
      <c r="AR222" t="s">
        <v>285</v>
      </c>
      <c r="AS222">
        <v>2004</v>
      </c>
      <c r="AT222">
        <v>4</v>
      </c>
      <c r="AU222">
        <v>4</v>
      </c>
      <c r="AV222" t="s">
        <v>69</v>
      </c>
      <c r="AW222" t="s">
        <v>69</v>
      </c>
      <c r="AX222" t="s">
        <v>69</v>
      </c>
      <c r="AY222" t="s">
        <v>69</v>
      </c>
      <c r="AZ222">
        <v>391</v>
      </c>
      <c r="BA222">
        <v>408</v>
      </c>
      <c r="BB222" t="s">
        <v>69</v>
      </c>
      <c r="BC222" t="s">
        <v>4087</v>
      </c>
      <c r="BD222" t="s">
        <v>69</v>
      </c>
      <c r="BE222" t="s">
        <v>69</v>
      </c>
      <c r="BF222">
        <v>18</v>
      </c>
      <c r="BG222" t="s">
        <v>4088</v>
      </c>
      <c r="BH222" t="s">
        <v>4088</v>
      </c>
      <c r="BI222" t="s">
        <v>4089</v>
      </c>
      <c r="BJ222" t="s">
        <v>4090</v>
      </c>
      <c r="BK222" t="s">
        <v>69</v>
      </c>
      <c r="BL222" t="s">
        <v>69</v>
      </c>
      <c r="BM222" t="s">
        <v>69</v>
      </c>
      <c r="BN222" t="s">
        <v>69</v>
      </c>
      <c r="BO222" t="s">
        <v>95</v>
      </c>
      <c r="BP222" t="s">
        <v>69</v>
      </c>
    </row>
    <row r="223" spans="1:68" x14ac:dyDescent="0.15">
      <c r="A223" t="s">
        <v>67</v>
      </c>
      <c r="B223" t="s">
        <v>4091</v>
      </c>
      <c r="C223" t="s">
        <v>69</v>
      </c>
      <c r="D223" t="s">
        <v>69</v>
      </c>
      <c r="E223" t="s">
        <v>69</v>
      </c>
      <c r="F223" t="s">
        <v>4091</v>
      </c>
      <c r="G223" t="s">
        <v>69</v>
      </c>
      <c r="H223" t="s">
        <v>69</v>
      </c>
      <c r="I223" t="s">
        <v>4092</v>
      </c>
      <c r="J223" t="s">
        <v>3038</v>
      </c>
      <c r="K223" t="s">
        <v>69</v>
      </c>
      <c r="L223" t="s">
        <v>69</v>
      </c>
      <c r="M223" t="s">
        <v>73</v>
      </c>
      <c r="N223" t="s">
        <v>74</v>
      </c>
      <c r="O223" t="s">
        <v>69</v>
      </c>
      <c r="P223" t="s">
        <v>69</v>
      </c>
      <c r="Q223" t="s">
        <v>69</v>
      </c>
      <c r="R223" t="s">
        <v>69</v>
      </c>
      <c r="S223" t="s">
        <v>69</v>
      </c>
      <c r="T223" t="s">
        <v>69</v>
      </c>
      <c r="U223" t="s">
        <v>4093</v>
      </c>
      <c r="V223" t="s">
        <v>4094</v>
      </c>
      <c r="W223" t="s">
        <v>4095</v>
      </c>
      <c r="X223" t="s">
        <v>4096</v>
      </c>
      <c r="Y223" t="s">
        <v>69</v>
      </c>
      <c r="Z223" t="s">
        <v>69</v>
      </c>
      <c r="AA223" t="s">
        <v>69</v>
      </c>
      <c r="AB223" t="s">
        <v>69</v>
      </c>
      <c r="AC223" t="s">
        <v>69</v>
      </c>
      <c r="AD223" t="s">
        <v>69</v>
      </c>
      <c r="AE223">
        <v>53</v>
      </c>
      <c r="AF223">
        <v>66</v>
      </c>
      <c r="AG223">
        <v>68</v>
      </c>
      <c r="AH223">
        <v>0</v>
      </c>
      <c r="AI223">
        <v>14</v>
      </c>
      <c r="AJ223" t="s">
        <v>4097</v>
      </c>
      <c r="AK223" t="s">
        <v>4098</v>
      </c>
      <c r="AL223" t="s">
        <v>4099</v>
      </c>
      <c r="AM223" t="s">
        <v>3043</v>
      </c>
      <c r="AN223" t="s">
        <v>69</v>
      </c>
      <c r="AO223" t="s">
        <v>69</v>
      </c>
      <c r="AP223" t="s">
        <v>3045</v>
      </c>
      <c r="AQ223" t="s">
        <v>3046</v>
      </c>
      <c r="AR223" t="s">
        <v>1888</v>
      </c>
      <c r="AS223">
        <v>2004</v>
      </c>
      <c r="AT223">
        <v>38</v>
      </c>
      <c r="AU223">
        <v>3</v>
      </c>
      <c r="AV223" t="s">
        <v>69</v>
      </c>
      <c r="AW223" t="s">
        <v>69</v>
      </c>
      <c r="AX223" t="s">
        <v>69</v>
      </c>
      <c r="AY223" t="s">
        <v>69</v>
      </c>
      <c r="AZ223">
        <v>828</v>
      </c>
      <c r="BA223">
        <v>851</v>
      </c>
      <c r="BB223" t="s">
        <v>69</v>
      </c>
      <c r="BC223" t="s">
        <v>69</v>
      </c>
      <c r="BD223" t="s">
        <v>69</v>
      </c>
      <c r="BE223" t="s">
        <v>69</v>
      </c>
      <c r="BF223">
        <v>24</v>
      </c>
      <c r="BG223" t="s">
        <v>604</v>
      </c>
      <c r="BH223" t="s">
        <v>604</v>
      </c>
      <c r="BI223" t="s">
        <v>4100</v>
      </c>
      <c r="BJ223" t="s">
        <v>4101</v>
      </c>
      <c r="BK223" t="s">
        <v>69</v>
      </c>
      <c r="BL223" t="s">
        <v>69</v>
      </c>
      <c r="BM223" t="s">
        <v>69</v>
      </c>
      <c r="BN223" t="s">
        <v>69</v>
      </c>
      <c r="BO223" t="s">
        <v>95</v>
      </c>
      <c r="BP223" t="s">
        <v>69</v>
      </c>
    </row>
    <row r="224" spans="1:68" x14ac:dyDescent="0.15">
      <c r="A224" t="s">
        <v>67</v>
      </c>
      <c r="B224" t="s">
        <v>4102</v>
      </c>
      <c r="C224" t="s">
        <v>69</v>
      </c>
      <c r="D224" t="s">
        <v>69</v>
      </c>
      <c r="E224" t="s">
        <v>69</v>
      </c>
      <c r="F224" t="s">
        <v>4102</v>
      </c>
      <c r="G224" t="s">
        <v>69</v>
      </c>
      <c r="H224" t="s">
        <v>69</v>
      </c>
      <c r="I224" t="s">
        <v>4103</v>
      </c>
      <c r="J224" t="s">
        <v>3038</v>
      </c>
      <c r="K224" t="s">
        <v>69</v>
      </c>
      <c r="L224" t="s">
        <v>69</v>
      </c>
      <c r="M224" t="s">
        <v>73</v>
      </c>
      <c r="N224" t="s">
        <v>318</v>
      </c>
      <c r="O224" t="s">
        <v>69</v>
      </c>
      <c r="P224" t="s">
        <v>69</v>
      </c>
      <c r="Q224" t="s">
        <v>69</v>
      </c>
      <c r="R224" t="s">
        <v>69</v>
      </c>
      <c r="S224" t="s">
        <v>69</v>
      </c>
      <c r="T224" t="s">
        <v>69</v>
      </c>
      <c r="U224" t="s">
        <v>4104</v>
      </c>
      <c r="V224" t="s">
        <v>4105</v>
      </c>
      <c r="W224" t="s">
        <v>4106</v>
      </c>
      <c r="X224" t="s">
        <v>4107</v>
      </c>
      <c r="Y224" t="s">
        <v>69</v>
      </c>
      <c r="Z224" t="s">
        <v>69</v>
      </c>
      <c r="AA224" t="s">
        <v>69</v>
      </c>
      <c r="AB224" t="s">
        <v>69</v>
      </c>
      <c r="AC224" t="s">
        <v>69</v>
      </c>
      <c r="AD224" t="s">
        <v>69</v>
      </c>
      <c r="AE224">
        <v>146</v>
      </c>
      <c r="AF224">
        <v>1055</v>
      </c>
      <c r="AG224">
        <v>1109</v>
      </c>
      <c r="AH224">
        <v>3</v>
      </c>
      <c r="AI224">
        <v>114</v>
      </c>
      <c r="AJ224" t="s">
        <v>180</v>
      </c>
      <c r="AK224" t="s">
        <v>181</v>
      </c>
      <c r="AL224" t="s">
        <v>182</v>
      </c>
      <c r="AM224" t="s">
        <v>3043</v>
      </c>
      <c r="AN224" t="s">
        <v>3044</v>
      </c>
      <c r="AO224" t="s">
        <v>69</v>
      </c>
      <c r="AP224" t="s">
        <v>3045</v>
      </c>
      <c r="AQ224" t="s">
        <v>3046</v>
      </c>
      <c r="AR224" t="s">
        <v>1888</v>
      </c>
      <c r="AS224">
        <v>2004</v>
      </c>
      <c r="AT224">
        <v>38</v>
      </c>
      <c r="AU224">
        <v>3</v>
      </c>
      <c r="AV224" t="s">
        <v>69</v>
      </c>
      <c r="AW224" t="s">
        <v>69</v>
      </c>
      <c r="AX224" t="s">
        <v>69</v>
      </c>
      <c r="AY224" t="s">
        <v>69</v>
      </c>
      <c r="AZ224">
        <v>1002</v>
      </c>
      <c r="BA224">
        <v>1039</v>
      </c>
      <c r="BB224" t="s">
        <v>69</v>
      </c>
      <c r="BC224" t="s">
        <v>4108</v>
      </c>
      <c r="BD224" t="s">
        <v>69</v>
      </c>
      <c r="BE224" t="s">
        <v>69</v>
      </c>
      <c r="BF224">
        <v>38</v>
      </c>
      <c r="BG224" t="s">
        <v>604</v>
      </c>
      <c r="BH224" t="s">
        <v>604</v>
      </c>
      <c r="BI224" t="s">
        <v>4100</v>
      </c>
      <c r="BJ224" t="s">
        <v>4109</v>
      </c>
      <c r="BK224" t="s">
        <v>69</v>
      </c>
      <c r="BL224" t="s">
        <v>69</v>
      </c>
      <c r="BM224" t="s">
        <v>69</v>
      </c>
      <c r="BN224" t="s">
        <v>69</v>
      </c>
      <c r="BO224" t="s">
        <v>95</v>
      </c>
      <c r="BP224" t="s">
        <v>69</v>
      </c>
    </row>
    <row r="225" spans="1:68" x14ac:dyDescent="0.15">
      <c r="A225" t="s">
        <v>67</v>
      </c>
      <c r="B225" t="s">
        <v>4110</v>
      </c>
      <c r="C225" t="s">
        <v>69</v>
      </c>
      <c r="D225" t="s">
        <v>69</v>
      </c>
      <c r="E225" t="s">
        <v>69</v>
      </c>
      <c r="F225" t="s">
        <v>4110</v>
      </c>
      <c r="G225" t="s">
        <v>69</v>
      </c>
      <c r="H225" t="s">
        <v>69</v>
      </c>
      <c r="I225" t="s">
        <v>4111</v>
      </c>
      <c r="J225" t="s">
        <v>3038</v>
      </c>
      <c r="K225" t="s">
        <v>69</v>
      </c>
      <c r="L225" t="s">
        <v>69</v>
      </c>
      <c r="M225" t="s">
        <v>73</v>
      </c>
      <c r="N225" t="s">
        <v>74</v>
      </c>
      <c r="O225" t="s">
        <v>69</v>
      </c>
      <c r="P225" t="s">
        <v>69</v>
      </c>
      <c r="Q225" t="s">
        <v>69</v>
      </c>
      <c r="R225" t="s">
        <v>69</v>
      </c>
      <c r="S225" t="s">
        <v>69</v>
      </c>
      <c r="T225" t="s">
        <v>69</v>
      </c>
      <c r="U225" t="s">
        <v>4112</v>
      </c>
      <c r="V225" t="s">
        <v>4113</v>
      </c>
      <c r="W225" t="s">
        <v>4114</v>
      </c>
      <c r="X225" t="s">
        <v>4115</v>
      </c>
      <c r="Y225" t="s">
        <v>69</v>
      </c>
      <c r="Z225" t="s">
        <v>69</v>
      </c>
      <c r="AA225" t="s">
        <v>69</v>
      </c>
      <c r="AB225" t="s">
        <v>69</v>
      </c>
      <c r="AC225" t="s">
        <v>69</v>
      </c>
      <c r="AD225" t="s">
        <v>69</v>
      </c>
      <c r="AE225">
        <v>68</v>
      </c>
      <c r="AF225">
        <v>106</v>
      </c>
      <c r="AG225">
        <v>109</v>
      </c>
      <c r="AH225">
        <v>1</v>
      </c>
      <c r="AI225">
        <v>35</v>
      </c>
      <c r="AJ225" t="s">
        <v>4097</v>
      </c>
      <c r="AK225" t="s">
        <v>4098</v>
      </c>
      <c r="AL225" t="s">
        <v>4099</v>
      </c>
      <c r="AM225" t="s">
        <v>3043</v>
      </c>
      <c r="AN225" t="s">
        <v>69</v>
      </c>
      <c r="AO225" t="s">
        <v>69</v>
      </c>
      <c r="AP225" t="s">
        <v>3045</v>
      </c>
      <c r="AQ225" t="s">
        <v>3046</v>
      </c>
      <c r="AR225" t="s">
        <v>1888</v>
      </c>
      <c r="AS225">
        <v>2004</v>
      </c>
      <c r="AT225">
        <v>38</v>
      </c>
      <c r="AU225">
        <v>3</v>
      </c>
      <c r="AV225" t="s">
        <v>69</v>
      </c>
      <c r="AW225" t="s">
        <v>69</v>
      </c>
      <c r="AX225" t="s">
        <v>69</v>
      </c>
      <c r="AY225" t="s">
        <v>69</v>
      </c>
      <c r="AZ225">
        <v>1126</v>
      </c>
      <c r="BA225">
        <v>1159</v>
      </c>
      <c r="BB225" t="s">
        <v>69</v>
      </c>
      <c r="BC225" t="s">
        <v>69</v>
      </c>
      <c r="BD225" t="s">
        <v>69</v>
      </c>
      <c r="BE225" t="s">
        <v>69</v>
      </c>
      <c r="BF225">
        <v>34</v>
      </c>
      <c r="BG225" t="s">
        <v>604</v>
      </c>
      <c r="BH225" t="s">
        <v>604</v>
      </c>
      <c r="BI225" t="s">
        <v>4100</v>
      </c>
      <c r="BJ225" t="s">
        <v>4116</v>
      </c>
      <c r="BK225" t="s">
        <v>69</v>
      </c>
      <c r="BL225" t="s">
        <v>69</v>
      </c>
      <c r="BM225" t="s">
        <v>69</v>
      </c>
      <c r="BN225" t="s">
        <v>69</v>
      </c>
      <c r="BO225" t="s">
        <v>95</v>
      </c>
      <c r="BP225" t="s">
        <v>69</v>
      </c>
    </row>
    <row r="226" spans="1:68" x14ac:dyDescent="0.15">
      <c r="A226" t="s">
        <v>67</v>
      </c>
      <c r="B226" t="s">
        <v>4117</v>
      </c>
      <c r="C226" t="s">
        <v>69</v>
      </c>
      <c r="D226" t="s">
        <v>69</v>
      </c>
      <c r="E226" t="s">
        <v>69</v>
      </c>
      <c r="F226" t="s">
        <v>4117</v>
      </c>
      <c r="G226" t="s">
        <v>69</v>
      </c>
      <c r="H226" t="s">
        <v>69</v>
      </c>
      <c r="I226" t="s">
        <v>4118</v>
      </c>
      <c r="J226" t="s">
        <v>500</v>
      </c>
      <c r="K226" t="s">
        <v>69</v>
      </c>
      <c r="L226" t="s">
        <v>69</v>
      </c>
      <c r="M226" t="s">
        <v>73</v>
      </c>
      <c r="N226" t="s">
        <v>74</v>
      </c>
      <c r="O226" t="s">
        <v>69</v>
      </c>
      <c r="P226" t="s">
        <v>69</v>
      </c>
      <c r="Q226" t="s">
        <v>69</v>
      </c>
      <c r="R226" t="s">
        <v>69</v>
      </c>
      <c r="S226" t="s">
        <v>69</v>
      </c>
      <c r="T226" t="s">
        <v>69</v>
      </c>
      <c r="U226" t="s">
        <v>4119</v>
      </c>
      <c r="V226" t="s">
        <v>4120</v>
      </c>
      <c r="W226" t="s">
        <v>4121</v>
      </c>
      <c r="X226" t="s">
        <v>4122</v>
      </c>
      <c r="Y226" t="s">
        <v>4123</v>
      </c>
      <c r="Z226" t="s">
        <v>69</v>
      </c>
      <c r="AA226" t="s">
        <v>69</v>
      </c>
      <c r="AB226" t="s">
        <v>69</v>
      </c>
      <c r="AC226" t="s">
        <v>69</v>
      </c>
      <c r="AD226" t="s">
        <v>69</v>
      </c>
      <c r="AE226">
        <v>40</v>
      </c>
      <c r="AF226">
        <v>19</v>
      </c>
      <c r="AG226">
        <v>19</v>
      </c>
      <c r="AH226">
        <v>0</v>
      </c>
      <c r="AI226">
        <v>7</v>
      </c>
      <c r="AJ226" t="s">
        <v>223</v>
      </c>
      <c r="AK226" t="s">
        <v>224</v>
      </c>
      <c r="AL226" t="s">
        <v>225</v>
      </c>
      <c r="AM226" t="s">
        <v>507</v>
      </c>
      <c r="AN226" t="s">
        <v>508</v>
      </c>
      <c r="AO226" t="s">
        <v>69</v>
      </c>
      <c r="AP226" t="s">
        <v>509</v>
      </c>
      <c r="AQ226" t="s">
        <v>510</v>
      </c>
      <c r="AR226" t="s">
        <v>511</v>
      </c>
      <c r="AS226">
        <v>2004</v>
      </c>
      <c r="AT226">
        <v>85</v>
      </c>
      <c r="AU226">
        <v>1</v>
      </c>
      <c r="AV226" t="s">
        <v>69</v>
      </c>
      <c r="AW226" t="s">
        <v>69</v>
      </c>
      <c r="AX226" t="s">
        <v>69</v>
      </c>
      <c r="AY226" t="s">
        <v>69</v>
      </c>
      <c r="AZ226">
        <v>89</v>
      </c>
      <c r="BA226">
        <v>106</v>
      </c>
      <c r="BB226" t="s">
        <v>69</v>
      </c>
      <c r="BC226" t="s">
        <v>4124</v>
      </c>
      <c r="BD226" t="s">
        <v>69</v>
      </c>
      <c r="BE226" t="s">
        <v>69</v>
      </c>
      <c r="BF226">
        <v>18</v>
      </c>
      <c r="BG226" t="s">
        <v>514</v>
      </c>
      <c r="BH226" t="s">
        <v>515</v>
      </c>
      <c r="BI226" t="s">
        <v>4125</v>
      </c>
      <c r="BJ226" t="s">
        <v>4126</v>
      </c>
      <c r="BK226" t="s">
        <v>69</v>
      </c>
      <c r="BL226" t="s">
        <v>69</v>
      </c>
      <c r="BM226" t="s">
        <v>69</v>
      </c>
      <c r="BN226" t="s">
        <v>69</v>
      </c>
      <c r="BO226" t="s">
        <v>95</v>
      </c>
      <c r="BP226" t="s">
        <v>69</v>
      </c>
    </row>
    <row r="227" spans="1:68" x14ac:dyDescent="0.15">
      <c r="A227" t="s">
        <v>67</v>
      </c>
      <c r="B227" t="s">
        <v>4127</v>
      </c>
      <c r="C227" t="s">
        <v>69</v>
      </c>
      <c r="D227" t="s">
        <v>69</v>
      </c>
      <c r="E227" t="s">
        <v>69</v>
      </c>
      <c r="F227" t="s">
        <v>4127</v>
      </c>
      <c r="G227" t="s">
        <v>69</v>
      </c>
      <c r="H227" t="s">
        <v>69</v>
      </c>
      <c r="I227" t="s">
        <v>4128</v>
      </c>
      <c r="J227" t="s">
        <v>1451</v>
      </c>
      <c r="K227" t="s">
        <v>69</v>
      </c>
      <c r="L227" t="s">
        <v>69</v>
      </c>
      <c r="M227" t="s">
        <v>73</v>
      </c>
      <c r="N227" t="s">
        <v>74</v>
      </c>
      <c r="O227" t="s">
        <v>69</v>
      </c>
      <c r="P227" t="s">
        <v>69</v>
      </c>
      <c r="Q227" t="s">
        <v>69</v>
      </c>
      <c r="R227" t="s">
        <v>69</v>
      </c>
      <c r="S227" t="s">
        <v>69</v>
      </c>
      <c r="T227" t="s">
        <v>4129</v>
      </c>
      <c r="U227" t="s">
        <v>4130</v>
      </c>
      <c r="V227" t="s">
        <v>4131</v>
      </c>
      <c r="W227" t="s">
        <v>4132</v>
      </c>
      <c r="X227" t="s">
        <v>69</v>
      </c>
      <c r="Y227" t="s">
        <v>69</v>
      </c>
      <c r="Z227" t="s">
        <v>69</v>
      </c>
      <c r="AA227" t="s">
        <v>69</v>
      </c>
      <c r="AB227" t="s">
        <v>69</v>
      </c>
      <c r="AC227" t="s">
        <v>69</v>
      </c>
      <c r="AD227" t="s">
        <v>69</v>
      </c>
      <c r="AE227">
        <v>74</v>
      </c>
      <c r="AF227">
        <v>23</v>
      </c>
      <c r="AG227">
        <v>23</v>
      </c>
      <c r="AH227">
        <v>0</v>
      </c>
      <c r="AI227">
        <v>11</v>
      </c>
      <c r="AJ227" t="s">
        <v>180</v>
      </c>
      <c r="AK227" t="s">
        <v>181</v>
      </c>
      <c r="AL227" t="s">
        <v>182</v>
      </c>
      <c r="AM227" t="s">
        <v>1461</v>
      </c>
      <c r="AN227" t="s">
        <v>1462</v>
      </c>
      <c r="AO227" t="s">
        <v>69</v>
      </c>
      <c r="AP227" t="s">
        <v>1463</v>
      </c>
      <c r="AQ227" t="s">
        <v>1464</v>
      </c>
      <c r="AR227" t="s">
        <v>535</v>
      </c>
      <c r="AS227">
        <v>2004</v>
      </c>
      <c r="AT227">
        <v>26</v>
      </c>
      <c r="AU227">
        <v>1</v>
      </c>
      <c r="AV227" t="s">
        <v>69</v>
      </c>
      <c r="AW227" t="s">
        <v>69</v>
      </c>
      <c r="AX227" t="s">
        <v>69</v>
      </c>
      <c r="AY227" t="s">
        <v>69</v>
      </c>
      <c r="AZ227">
        <v>3</v>
      </c>
      <c r="BA227">
        <v>15</v>
      </c>
      <c r="BB227" t="s">
        <v>69</v>
      </c>
      <c r="BC227" t="s">
        <v>4133</v>
      </c>
      <c r="BD227" t="s">
        <v>69</v>
      </c>
      <c r="BE227" t="s">
        <v>69</v>
      </c>
      <c r="BF227">
        <v>13</v>
      </c>
      <c r="BG227" t="s">
        <v>449</v>
      </c>
      <c r="BH227" t="s">
        <v>288</v>
      </c>
      <c r="BI227" t="s">
        <v>4134</v>
      </c>
      <c r="BJ227" t="s">
        <v>4135</v>
      </c>
      <c r="BK227" t="s">
        <v>69</v>
      </c>
      <c r="BL227" t="s">
        <v>69</v>
      </c>
      <c r="BM227" t="s">
        <v>69</v>
      </c>
      <c r="BN227" t="s">
        <v>69</v>
      </c>
      <c r="BO227" t="s">
        <v>95</v>
      </c>
      <c r="BP227" t="s">
        <v>69</v>
      </c>
    </row>
    <row r="228" spans="1:68" x14ac:dyDescent="0.15">
      <c r="A228" t="s">
        <v>67</v>
      </c>
      <c r="B228" t="s">
        <v>4136</v>
      </c>
      <c r="C228" t="s">
        <v>69</v>
      </c>
      <c r="D228" t="s">
        <v>69</v>
      </c>
      <c r="E228" t="s">
        <v>69</v>
      </c>
      <c r="F228" t="s">
        <v>4136</v>
      </c>
      <c r="G228" t="s">
        <v>69</v>
      </c>
      <c r="H228" t="s">
        <v>69</v>
      </c>
      <c r="I228" t="s">
        <v>4137</v>
      </c>
      <c r="J228" t="s">
        <v>1726</v>
      </c>
      <c r="K228" t="s">
        <v>69</v>
      </c>
      <c r="L228" t="s">
        <v>69</v>
      </c>
      <c r="M228" t="s">
        <v>73</v>
      </c>
      <c r="N228" t="s">
        <v>74</v>
      </c>
      <c r="O228" t="s">
        <v>69</v>
      </c>
      <c r="P228" t="s">
        <v>69</v>
      </c>
      <c r="Q228" t="s">
        <v>69</v>
      </c>
      <c r="R228" t="s">
        <v>69</v>
      </c>
      <c r="S228" t="s">
        <v>69</v>
      </c>
      <c r="T228" t="s">
        <v>4138</v>
      </c>
      <c r="U228" t="s">
        <v>4139</v>
      </c>
      <c r="V228" t="s">
        <v>4140</v>
      </c>
      <c r="W228" t="s">
        <v>4141</v>
      </c>
      <c r="X228" t="s">
        <v>4142</v>
      </c>
      <c r="Y228" t="s">
        <v>4143</v>
      </c>
      <c r="Z228" t="s">
        <v>69</v>
      </c>
      <c r="AA228" t="s">
        <v>69</v>
      </c>
      <c r="AB228" t="s">
        <v>69</v>
      </c>
      <c r="AC228" t="s">
        <v>69</v>
      </c>
      <c r="AD228" t="s">
        <v>69</v>
      </c>
      <c r="AE228">
        <v>91</v>
      </c>
      <c r="AF228">
        <v>17</v>
      </c>
      <c r="AG228">
        <v>17</v>
      </c>
      <c r="AH228">
        <v>0</v>
      </c>
      <c r="AI228">
        <v>3</v>
      </c>
      <c r="AJ228" t="s">
        <v>108</v>
      </c>
      <c r="AK228" t="s">
        <v>109</v>
      </c>
      <c r="AL228" t="s">
        <v>110</v>
      </c>
      <c r="AM228" t="s">
        <v>1734</v>
      </c>
      <c r="AN228" t="s">
        <v>1735</v>
      </c>
      <c r="AO228" t="s">
        <v>69</v>
      </c>
      <c r="AP228" t="s">
        <v>1736</v>
      </c>
      <c r="AQ228" t="s">
        <v>1737</v>
      </c>
      <c r="AR228" t="s">
        <v>685</v>
      </c>
      <c r="AS228">
        <v>2004</v>
      </c>
      <c r="AT228">
        <v>30</v>
      </c>
      <c r="AU228">
        <v>1</v>
      </c>
      <c r="AV228" t="s">
        <v>69</v>
      </c>
      <c r="AW228" t="s">
        <v>69</v>
      </c>
      <c r="AX228" t="s">
        <v>69</v>
      </c>
      <c r="AY228" t="s">
        <v>69</v>
      </c>
      <c r="AZ228">
        <v>81</v>
      </c>
      <c r="BA228">
        <v>106</v>
      </c>
      <c r="BB228" t="s">
        <v>69</v>
      </c>
      <c r="BC228" t="s">
        <v>4144</v>
      </c>
      <c r="BD228" t="s">
        <v>69</v>
      </c>
      <c r="BE228" t="s">
        <v>69</v>
      </c>
      <c r="BF228">
        <v>26</v>
      </c>
      <c r="BG228" t="s">
        <v>1739</v>
      </c>
      <c r="BH228" t="s">
        <v>1739</v>
      </c>
      <c r="BI228" t="s">
        <v>4145</v>
      </c>
      <c r="BJ228" t="s">
        <v>4146</v>
      </c>
      <c r="BK228" t="s">
        <v>69</v>
      </c>
      <c r="BL228" t="s">
        <v>69</v>
      </c>
      <c r="BM228" t="s">
        <v>69</v>
      </c>
      <c r="BN228" t="s">
        <v>69</v>
      </c>
      <c r="BO228" t="s">
        <v>95</v>
      </c>
      <c r="BP228" t="s">
        <v>69</v>
      </c>
    </row>
    <row r="229" spans="1:68" x14ac:dyDescent="0.15">
      <c r="A229" t="s">
        <v>67</v>
      </c>
      <c r="B229" t="s">
        <v>4147</v>
      </c>
      <c r="C229" t="s">
        <v>69</v>
      </c>
      <c r="D229" t="s">
        <v>69</v>
      </c>
      <c r="E229" t="s">
        <v>69</v>
      </c>
      <c r="F229" t="s">
        <v>4147</v>
      </c>
      <c r="G229" t="s">
        <v>69</v>
      </c>
      <c r="H229" t="s">
        <v>69</v>
      </c>
      <c r="I229" t="s">
        <v>4148</v>
      </c>
      <c r="J229" t="s">
        <v>4149</v>
      </c>
      <c r="K229" t="s">
        <v>69</v>
      </c>
      <c r="L229" t="s">
        <v>69</v>
      </c>
      <c r="M229" t="s">
        <v>73</v>
      </c>
      <c r="N229" t="s">
        <v>74</v>
      </c>
      <c r="O229" t="s">
        <v>69</v>
      </c>
      <c r="P229" t="s">
        <v>69</v>
      </c>
      <c r="Q229" t="s">
        <v>69</v>
      </c>
      <c r="R229" t="s">
        <v>69</v>
      </c>
      <c r="S229" t="s">
        <v>69</v>
      </c>
      <c r="T229" t="s">
        <v>69</v>
      </c>
      <c r="U229" t="s">
        <v>4150</v>
      </c>
      <c r="V229" t="s">
        <v>4151</v>
      </c>
      <c r="W229" t="s">
        <v>4152</v>
      </c>
      <c r="X229" t="s">
        <v>4153</v>
      </c>
      <c r="Y229" t="s">
        <v>69</v>
      </c>
      <c r="Z229" t="s">
        <v>69</v>
      </c>
      <c r="AA229" t="s">
        <v>69</v>
      </c>
      <c r="AB229" t="s">
        <v>69</v>
      </c>
      <c r="AC229" t="s">
        <v>69</v>
      </c>
      <c r="AD229" t="s">
        <v>69</v>
      </c>
      <c r="AE229">
        <v>45</v>
      </c>
      <c r="AF229">
        <v>41</v>
      </c>
      <c r="AG229">
        <v>41</v>
      </c>
      <c r="AH229">
        <v>1</v>
      </c>
      <c r="AI229">
        <v>13</v>
      </c>
      <c r="AJ229" t="s">
        <v>108</v>
      </c>
      <c r="AK229" t="s">
        <v>109</v>
      </c>
      <c r="AL229" t="s">
        <v>110</v>
      </c>
      <c r="AM229" t="s">
        <v>4154</v>
      </c>
      <c r="AN229" t="s">
        <v>4155</v>
      </c>
      <c r="AO229" t="s">
        <v>69</v>
      </c>
      <c r="AP229" t="s">
        <v>4156</v>
      </c>
      <c r="AQ229" t="s">
        <v>4157</v>
      </c>
      <c r="AR229" t="s">
        <v>4158</v>
      </c>
      <c r="AS229">
        <v>2003</v>
      </c>
      <c r="AT229">
        <v>32</v>
      </c>
      <c r="AU229">
        <v>1</v>
      </c>
      <c r="AV229" t="s">
        <v>69</v>
      </c>
      <c r="AW229" t="s">
        <v>69</v>
      </c>
      <c r="AX229" t="s">
        <v>69</v>
      </c>
      <c r="AY229" t="s">
        <v>69</v>
      </c>
      <c r="AZ229">
        <v>59</v>
      </c>
      <c r="BA229">
        <v>68</v>
      </c>
      <c r="BB229" t="s">
        <v>69</v>
      </c>
      <c r="BC229" t="s">
        <v>4159</v>
      </c>
      <c r="BD229" t="s">
        <v>69</v>
      </c>
      <c r="BE229" t="s">
        <v>69</v>
      </c>
      <c r="BF229">
        <v>10</v>
      </c>
      <c r="BG229" t="s">
        <v>4160</v>
      </c>
      <c r="BH229" t="s">
        <v>4161</v>
      </c>
      <c r="BI229" t="s">
        <v>4162</v>
      </c>
      <c r="BJ229" t="s">
        <v>4163</v>
      </c>
      <c r="BK229" t="s">
        <v>69</v>
      </c>
      <c r="BL229" t="s">
        <v>69</v>
      </c>
      <c r="BM229" t="s">
        <v>69</v>
      </c>
      <c r="BN229" t="s">
        <v>69</v>
      </c>
      <c r="BO229" t="s">
        <v>95</v>
      </c>
      <c r="BP229" t="s">
        <v>69</v>
      </c>
    </row>
    <row r="230" spans="1:68" x14ac:dyDescent="0.15">
      <c r="A230" t="s">
        <v>67</v>
      </c>
      <c r="B230" t="s">
        <v>4164</v>
      </c>
      <c r="C230" t="s">
        <v>69</v>
      </c>
      <c r="D230" t="s">
        <v>69</v>
      </c>
      <c r="E230" t="s">
        <v>69</v>
      </c>
      <c r="F230" t="s">
        <v>4164</v>
      </c>
      <c r="G230" t="s">
        <v>69</v>
      </c>
      <c r="H230" t="s">
        <v>69</v>
      </c>
      <c r="I230" t="s">
        <v>4165</v>
      </c>
      <c r="J230" t="s">
        <v>4166</v>
      </c>
      <c r="K230" t="s">
        <v>69</v>
      </c>
      <c r="L230" t="s">
        <v>69</v>
      </c>
      <c r="M230" t="s">
        <v>73</v>
      </c>
      <c r="N230" t="s">
        <v>74</v>
      </c>
      <c r="O230" t="s">
        <v>69</v>
      </c>
      <c r="P230" t="s">
        <v>69</v>
      </c>
      <c r="Q230" t="s">
        <v>69</v>
      </c>
      <c r="R230" t="s">
        <v>69</v>
      </c>
      <c r="S230" t="s">
        <v>69</v>
      </c>
      <c r="T230" t="s">
        <v>69</v>
      </c>
      <c r="U230" t="s">
        <v>4167</v>
      </c>
      <c r="V230" t="s">
        <v>4168</v>
      </c>
      <c r="W230" t="s">
        <v>4169</v>
      </c>
      <c r="X230" t="s">
        <v>4170</v>
      </c>
      <c r="Y230" t="s">
        <v>69</v>
      </c>
      <c r="Z230" t="s">
        <v>69</v>
      </c>
      <c r="AA230" t="s">
        <v>69</v>
      </c>
      <c r="AB230" t="s">
        <v>69</v>
      </c>
      <c r="AC230" t="s">
        <v>69</v>
      </c>
      <c r="AD230" t="s">
        <v>69</v>
      </c>
      <c r="AE230">
        <v>46</v>
      </c>
      <c r="AF230">
        <v>27</v>
      </c>
      <c r="AG230">
        <v>27</v>
      </c>
      <c r="AH230">
        <v>0</v>
      </c>
      <c r="AI230">
        <v>5</v>
      </c>
      <c r="AJ230" t="s">
        <v>4171</v>
      </c>
      <c r="AK230" t="s">
        <v>4172</v>
      </c>
      <c r="AL230" t="s">
        <v>4173</v>
      </c>
      <c r="AM230" t="s">
        <v>4174</v>
      </c>
      <c r="AN230" t="s">
        <v>69</v>
      </c>
      <c r="AO230" t="s">
        <v>69</v>
      </c>
      <c r="AP230" t="s">
        <v>4175</v>
      </c>
      <c r="AQ230" t="s">
        <v>4176</v>
      </c>
      <c r="AR230" t="s">
        <v>4158</v>
      </c>
      <c r="AS230">
        <v>2003</v>
      </c>
      <c r="AT230">
        <v>81</v>
      </c>
      <c r="AU230">
        <v>2</v>
      </c>
      <c r="AV230" t="s">
        <v>69</v>
      </c>
      <c r="AW230" t="s">
        <v>69</v>
      </c>
      <c r="AX230" t="s">
        <v>69</v>
      </c>
      <c r="AY230" t="s">
        <v>69</v>
      </c>
      <c r="AZ230">
        <v>185</v>
      </c>
      <c r="BA230">
        <v>190</v>
      </c>
      <c r="BB230" t="s">
        <v>69</v>
      </c>
      <c r="BC230" t="s">
        <v>4177</v>
      </c>
      <c r="BD230" t="s">
        <v>69</v>
      </c>
      <c r="BE230" t="s">
        <v>69</v>
      </c>
      <c r="BF230">
        <v>6</v>
      </c>
      <c r="BG230" t="s">
        <v>287</v>
      </c>
      <c r="BH230" t="s">
        <v>288</v>
      </c>
      <c r="BI230" t="s">
        <v>4178</v>
      </c>
      <c r="BJ230" t="s">
        <v>4179</v>
      </c>
      <c r="BK230" t="s">
        <v>69</v>
      </c>
      <c r="BL230" t="s">
        <v>69</v>
      </c>
      <c r="BM230" t="s">
        <v>69</v>
      </c>
      <c r="BN230" t="s">
        <v>69</v>
      </c>
      <c r="BO230" t="s">
        <v>95</v>
      </c>
      <c r="BP230" t="s">
        <v>69</v>
      </c>
    </row>
    <row r="231" spans="1:68" x14ac:dyDescent="0.15">
      <c r="A231" t="s">
        <v>67</v>
      </c>
      <c r="B231" t="s">
        <v>4180</v>
      </c>
      <c r="C231" t="s">
        <v>69</v>
      </c>
      <c r="D231" t="s">
        <v>69</v>
      </c>
      <c r="E231" t="s">
        <v>69</v>
      </c>
      <c r="F231" t="s">
        <v>4180</v>
      </c>
      <c r="G231" t="s">
        <v>69</v>
      </c>
      <c r="H231" t="s">
        <v>69</v>
      </c>
      <c r="I231" t="s">
        <v>4181</v>
      </c>
      <c r="J231" t="s">
        <v>4182</v>
      </c>
      <c r="K231" t="s">
        <v>69</v>
      </c>
      <c r="L231" t="s">
        <v>69</v>
      </c>
      <c r="M231" t="s">
        <v>73</v>
      </c>
      <c r="N231" t="s">
        <v>74</v>
      </c>
      <c r="O231" t="s">
        <v>69</v>
      </c>
      <c r="P231" t="s">
        <v>69</v>
      </c>
      <c r="Q231" t="s">
        <v>69</v>
      </c>
      <c r="R231" t="s">
        <v>69</v>
      </c>
      <c r="S231" t="s">
        <v>69</v>
      </c>
      <c r="T231" t="s">
        <v>4183</v>
      </c>
      <c r="U231" t="s">
        <v>4184</v>
      </c>
      <c r="V231" t="s">
        <v>4185</v>
      </c>
      <c r="W231" t="s">
        <v>4186</v>
      </c>
      <c r="X231" t="s">
        <v>69</v>
      </c>
      <c r="Y231" t="s">
        <v>4187</v>
      </c>
      <c r="Z231" t="s">
        <v>69</v>
      </c>
      <c r="AA231" t="s">
        <v>4188</v>
      </c>
      <c r="AB231" t="s">
        <v>69</v>
      </c>
      <c r="AC231" t="s">
        <v>69</v>
      </c>
      <c r="AD231" t="s">
        <v>69</v>
      </c>
      <c r="AE231">
        <v>35</v>
      </c>
      <c r="AF231">
        <v>25</v>
      </c>
      <c r="AG231">
        <v>25</v>
      </c>
      <c r="AH231">
        <v>1</v>
      </c>
      <c r="AI231">
        <v>9</v>
      </c>
      <c r="AJ231" t="s">
        <v>180</v>
      </c>
      <c r="AK231" t="s">
        <v>181</v>
      </c>
      <c r="AL231" t="s">
        <v>182</v>
      </c>
      <c r="AM231" t="s">
        <v>4189</v>
      </c>
      <c r="AN231" t="s">
        <v>4190</v>
      </c>
      <c r="AO231" t="s">
        <v>69</v>
      </c>
      <c r="AP231" t="s">
        <v>4191</v>
      </c>
      <c r="AQ231" t="s">
        <v>4192</v>
      </c>
      <c r="AR231" t="s">
        <v>511</v>
      </c>
      <c r="AS231">
        <v>2003</v>
      </c>
      <c r="AT231">
        <v>34</v>
      </c>
      <c r="AU231">
        <v>2</v>
      </c>
      <c r="AV231" t="s">
        <v>69</v>
      </c>
      <c r="AW231" t="s">
        <v>69</v>
      </c>
      <c r="AX231" t="s">
        <v>69</v>
      </c>
      <c r="AY231" t="s">
        <v>69</v>
      </c>
      <c r="AZ231">
        <v>176</v>
      </c>
      <c r="BA231">
        <v>188</v>
      </c>
      <c r="BB231" t="s">
        <v>69</v>
      </c>
      <c r="BC231" t="s">
        <v>4193</v>
      </c>
      <c r="BD231" t="s">
        <v>69</v>
      </c>
      <c r="BE231" t="s">
        <v>69</v>
      </c>
      <c r="BF231">
        <v>13</v>
      </c>
      <c r="BG231" t="s">
        <v>2058</v>
      </c>
      <c r="BH231" t="s">
        <v>288</v>
      </c>
      <c r="BI231" t="s">
        <v>4194</v>
      </c>
      <c r="BJ231" t="s">
        <v>4195</v>
      </c>
      <c r="BK231" t="s">
        <v>69</v>
      </c>
      <c r="BL231" t="s">
        <v>69</v>
      </c>
      <c r="BM231" t="s">
        <v>69</v>
      </c>
      <c r="BN231" t="s">
        <v>69</v>
      </c>
      <c r="BO231" t="s">
        <v>95</v>
      </c>
      <c r="BP231" t="s">
        <v>69</v>
      </c>
    </row>
    <row r="232" spans="1:68" x14ac:dyDescent="0.15">
      <c r="A232" t="s">
        <v>67</v>
      </c>
      <c r="B232" t="s">
        <v>4196</v>
      </c>
      <c r="C232" t="s">
        <v>69</v>
      </c>
      <c r="D232" t="s">
        <v>69</v>
      </c>
      <c r="E232" t="s">
        <v>69</v>
      </c>
      <c r="F232" t="s">
        <v>4196</v>
      </c>
      <c r="G232" t="s">
        <v>69</v>
      </c>
      <c r="H232" t="s">
        <v>69</v>
      </c>
      <c r="I232" t="s">
        <v>4197</v>
      </c>
      <c r="J232" t="s">
        <v>4198</v>
      </c>
      <c r="K232" t="s">
        <v>69</v>
      </c>
      <c r="L232" t="s">
        <v>69</v>
      </c>
      <c r="M232" t="s">
        <v>73</v>
      </c>
      <c r="N232" t="s">
        <v>74</v>
      </c>
      <c r="O232" t="s">
        <v>69</v>
      </c>
      <c r="P232" t="s">
        <v>69</v>
      </c>
      <c r="Q232" t="s">
        <v>69</v>
      </c>
      <c r="R232" t="s">
        <v>69</v>
      </c>
      <c r="S232" t="s">
        <v>69</v>
      </c>
      <c r="T232" t="s">
        <v>4199</v>
      </c>
      <c r="U232" t="s">
        <v>4200</v>
      </c>
      <c r="V232" t="s">
        <v>4201</v>
      </c>
      <c r="W232" t="s">
        <v>4202</v>
      </c>
      <c r="X232" t="s">
        <v>4203</v>
      </c>
      <c r="Y232" t="s">
        <v>69</v>
      </c>
      <c r="Z232" t="s">
        <v>69</v>
      </c>
      <c r="AA232" t="s">
        <v>69</v>
      </c>
      <c r="AB232" t="s">
        <v>69</v>
      </c>
      <c r="AC232" t="s">
        <v>69</v>
      </c>
      <c r="AD232" t="s">
        <v>69</v>
      </c>
      <c r="AE232">
        <v>40</v>
      </c>
      <c r="AF232">
        <v>29</v>
      </c>
      <c r="AG232">
        <v>29</v>
      </c>
      <c r="AH232">
        <v>2</v>
      </c>
      <c r="AI232">
        <v>17</v>
      </c>
      <c r="AJ232" t="s">
        <v>4204</v>
      </c>
      <c r="AK232" t="s">
        <v>4205</v>
      </c>
      <c r="AL232" t="s">
        <v>4206</v>
      </c>
      <c r="AM232" t="s">
        <v>4207</v>
      </c>
      <c r="AN232" t="s">
        <v>69</v>
      </c>
      <c r="AO232" t="s">
        <v>69</v>
      </c>
      <c r="AP232" t="s">
        <v>4208</v>
      </c>
      <c r="AQ232" t="s">
        <v>4209</v>
      </c>
      <c r="AR232" t="s">
        <v>69</v>
      </c>
      <c r="AS232">
        <v>2003</v>
      </c>
      <c r="AT232">
        <v>30</v>
      </c>
      <c r="AU232">
        <v>1</v>
      </c>
      <c r="AV232" t="s">
        <v>69</v>
      </c>
      <c r="AW232" t="s">
        <v>69</v>
      </c>
      <c r="AX232" t="s">
        <v>69</v>
      </c>
      <c r="AY232" t="s">
        <v>69</v>
      </c>
      <c r="AZ232">
        <v>63</v>
      </c>
      <c r="BA232">
        <v>91</v>
      </c>
      <c r="BB232" t="s">
        <v>69</v>
      </c>
      <c r="BC232" t="s">
        <v>4210</v>
      </c>
      <c r="BD232" t="s">
        <v>69</v>
      </c>
      <c r="BE232" t="s">
        <v>69</v>
      </c>
      <c r="BF232">
        <v>29</v>
      </c>
      <c r="BG232" t="s">
        <v>1009</v>
      </c>
      <c r="BH232" t="s">
        <v>1009</v>
      </c>
      <c r="BI232" t="s">
        <v>4211</v>
      </c>
      <c r="BJ232" t="s">
        <v>4212</v>
      </c>
      <c r="BK232" t="s">
        <v>69</v>
      </c>
      <c r="BL232" t="s">
        <v>69</v>
      </c>
      <c r="BM232" t="s">
        <v>69</v>
      </c>
      <c r="BN232" t="s">
        <v>69</v>
      </c>
      <c r="BO232" t="s">
        <v>95</v>
      </c>
      <c r="BP232" t="s">
        <v>69</v>
      </c>
    </row>
    <row r="233" spans="1:68" x14ac:dyDescent="0.15">
      <c r="A233" t="s">
        <v>67</v>
      </c>
      <c r="B233" t="s">
        <v>4213</v>
      </c>
      <c r="C233" t="s">
        <v>69</v>
      </c>
      <c r="D233" t="s">
        <v>69</v>
      </c>
      <c r="E233" t="s">
        <v>69</v>
      </c>
      <c r="F233" t="s">
        <v>4213</v>
      </c>
      <c r="G233" t="s">
        <v>69</v>
      </c>
      <c r="H233" t="s">
        <v>69</v>
      </c>
      <c r="I233" t="s">
        <v>4214</v>
      </c>
      <c r="J233" t="s">
        <v>3038</v>
      </c>
      <c r="K233" t="s">
        <v>69</v>
      </c>
      <c r="L233" t="s">
        <v>69</v>
      </c>
      <c r="M233" t="s">
        <v>73</v>
      </c>
      <c r="N233" t="s">
        <v>2244</v>
      </c>
      <c r="O233" t="s">
        <v>69</v>
      </c>
      <c r="P233" t="s">
        <v>69</v>
      </c>
      <c r="Q233" t="s">
        <v>69</v>
      </c>
      <c r="R233" t="s">
        <v>69</v>
      </c>
      <c r="S233" t="s">
        <v>69</v>
      </c>
      <c r="T233" t="s">
        <v>69</v>
      </c>
      <c r="U233" t="s">
        <v>1810</v>
      </c>
      <c r="V233" t="s">
        <v>4215</v>
      </c>
      <c r="W233" t="s">
        <v>4216</v>
      </c>
      <c r="X233" t="s">
        <v>4217</v>
      </c>
      <c r="Y233" t="s">
        <v>69</v>
      </c>
      <c r="Z233" t="s">
        <v>69</v>
      </c>
      <c r="AA233" t="s">
        <v>69</v>
      </c>
      <c r="AB233" t="s">
        <v>69</v>
      </c>
      <c r="AC233" t="s">
        <v>69</v>
      </c>
      <c r="AD233" t="s">
        <v>69</v>
      </c>
      <c r="AE233">
        <v>15</v>
      </c>
      <c r="AF233">
        <v>62</v>
      </c>
      <c r="AG233">
        <v>63</v>
      </c>
      <c r="AH233">
        <v>0</v>
      </c>
      <c r="AI233">
        <v>13</v>
      </c>
      <c r="AJ233" t="s">
        <v>4097</v>
      </c>
      <c r="AK233" t="s">
        <v>4098</v>
      </c>
      <c r="AL233" t="s">
        <v>4099</v>
      </c>
      <c r="AM233" t="s">
        <v>3043</v>
      </c>
      <c r="AN233" t="s">
        <v>69</v>
      </c>
      <c r="AO233" t="s">
        <v>69</v>
      </c>
      <c r="AP233" t="s">
        <v>3045</v>
      </c>
      <c r="AQ233" t="s">
        <v>3046</v>
      </c>
      <c r="AR233" t="s">
        <v>3983</v>
      </c>
      <c r="AS233">
        <v>2002</v>
      </c>
      <c r="AT233">
        <v>36</v>
      </c>
      <c r="AU233">
        <v>4</v>
      </c>
      <c r="AV233" t="s">
        <v>69</v>
      </c>
      <c r="AW233" t="s">
        <v>69</v>
      </c>
      <c r="AX233" t="s">
        <v>69</v>
      </c>
      <c r="AY233" t="s">
        <v>69</v>
      </c>
      <c r="AZ233">
        <v>1005</v>
      </c>
      <c r="BA233">
        <v>1019</v>
      </c>
      <c r="BB233" t="s">
        <v>69</v>
      </c>
      <c r="BC233" t="s">
        <v>69</v>
      </c>
      <c r="BD233" t="s">
        <v>69</v>
      </c>
      <c r="BE233" t="s">
        <v>69</v>
      </c>
      <c r="BF233">
        <v>15</v>
      </c>
      <c r="BG233" t="s">
        <v>604</v>
      </c>
      <c r="BH233" t="s">
        <v>604</v>
      </c>
      <c r="BI233" t="s">
        <v>4218</v>
      </c>
      <c r="BJ233" t="s">
        <v>4219</v>
      </c>
      <c r="BK233" t="s">
        <v>69</v>
      </c>
      <c r="BL233" t="s">
        <v>69</v>
      </c>
      <c r="BM233" t="s">
        <v>69</v>
      </c>
      <c r="BN233" t="s">
        <v>69</v>
      </c>
      <c r="BO233" t="s">
        <v>95</v>
      </c>
      <c r="BP233" t="s">
        <v>69</v>
      </c>
    </row>
    <row r="234" spans="1:68" x14ac:dyDescent="0.15">
      <c r="A234" t="s">
        <v>67</v>
      </c>
      <c r="B234" t="s">
        <v>4220</v>
      </c>
      <c r="C234" t="s">
        <v>69</v>
      </c>
      <c r="D234" t="s">
        <v>69</v>
      </c>
      <c r="E234" t="s">
        <v>69</v>
      </c>
      <c r="F234" t="s">
        <v>4220</v>
      </c>
      <c r="G234" t="s">
        <v>69</v>
      </c>
      <c r="H234" t="s">
        <v>69</v>
      </c>
      <c r="I234" t="s">
        <v>4221</v>
      </c>
      <c r="J234" t="s">
        <v>1285</v>
      </c>
      <c r="K234" t="s">
        <v>69</v>
      </c>
      <c r="L234" t="s">
        <v>69</v>
      </c>
      <c r="M234" t="s">
        <v>73</v>
      </c>
      <c r="N234" t="s">
        <v>74</v>
      </c>
      <c r="O234" t="s">
        <v>69</v>
      </c>
      <c r="P234" t="s">
        <v>69</v>
      </c>
      <c r="Q234" t="s">
        <v>69</v>
      </c>
      <c r="R234" t="s">
        <v>69</v>
      </c>
      <c r="S234" t="s">
        <v>69</v>
      </c>
      <c r="T234" t="s">
        <v>69</v>
      </c>
      <c r="U234" t="s">
        <v>4222</v>
      </c>
      <c r="V234" t="s">
        <v>4223</v>
      </c>
      <c r="W234" t="s">
        <v>4224</v>
      </c>
      <c r="X234" t="s">
        <v>4225</v>
      </c>
      <c r="Y234" t="s">
        <v>4226</v>
      </c>
      <c r="Z234" t="s">
        <v>69</v>
      </c>
      <c r="AA234" t="s">
        <v>69</v>
      </c>
      <c r="AB234" t="s">
        <v>69</v>
      </c>
      <c r="AC234" t="s">
        <v>69</v>
      </c>
      <c r="AD234" t="s">
        <v>69</v>
      </c>
      <c r="AE234">
        <v>53</v>
      </c>
      <c r="AF234">
        <v>12</v>
      </c>
      <c r="AG234">
        <v>12</v>
      </c>
      <c r="AH234">
        <v>0</v>
      </c>
      <c r="AI234">
        <v>6</v>
      </c>
      <c r="AJ234" t="s">
        <v>223</v>
      </c>
      <c r="AK234" t="s">
        <v>224</v>
      </c>
      <c r="AL234" t="s">
        <v>225</v>
      </c>
      <c r="AM234" t="s">
        <v>1293</v>
      </c>
      <c r="AN234" t="s">
        <v>1294</v>
      </c>
      <c r="AO234" t="s">
        <v>69</v>
      </c>
      <c r="AP234" t="s">
        <v>1295</v>
      </c>
      <c r="AQ234" t="s">
        <v>1296</v>
      </c>
      <c r="AR234" t="s">
        <v>3983</v>
      </c>
      <c r="AS234">
        <v>2002</v>
      </c>
      <c r="AT234">
        <v>58</v>
      </c>
      <c r="AU234">
        <v>4</v>
      </c>
      <c r="AV234" t="s">
        <v>69</v>
      </c>
      <c r="AW234" t="s">
        <v>69</v>
      </c>
      <c r="AX234" t="s">
        <v>69</v>
      </c>
      <c r="AY234" t="s">
        <v>69</v>
      </c>
      <c r="AZ234">
        <v>825</v>
      </c>
      <c r="BA234">
        <v>835</v>
      </c>
      <c r="BB234" t="s">
        <v>69</v>
      </c>
      <c r="BC234" t="s">
        <v>4227</v>
      </c>
      <c r="BD234" t="s">
        <v>69</v>
      </c>
      <c r="BE234" t="s">
        <v>69</v>
      </c>
      <c r="BF234">
        <v>11</v>
      </c>
      <c r="BG234" t="s">
        <v>1298</v>
      </c>
      <c r="BH234" t="s">
        <v>1299</v>
      </c>
      <c r="BI234" t="s">
        <v>4228</v>
      </c>
      <c r="BJ234" t="s">
        <v>4229</v>
      </c>
      <c r="BK234" t="s">
        <v>69</v>
      </c>
      <c r="BL234" t="s">
        <v>69</v>
      </c>
      <c r="BM234" t="s">
        <v>69</v>
      </c>
      <c r="BN234" t="s">
        <v>69</v>
      </c>
      <c r="BO234" t="s">
        <v>95</v>
      </c>
      <c r="BP234" t="s">
        <v>69</v>
      </c>
    </row>
    <row r="235" spans="1:68" x14ac:dyDescent="0.15">
      <c r="A235" t="s">
        <v>67</v>
      </c>
      <c r="B235" t="s">
        <v>4230</v>
      </c>
      <c r="C235" t="s">
        <v>69</v>
      </c>
      <c r="D235" t="s">
        <v>69</v>
      </c>
      <c r="E235" t="s">
        <v>69</v>
      </c>
      <c r="F235" t="s">
        <v>4230</v>
      </c>
      <c r="G235" t="s">
        <v>69</v>
      </c>
      <c r="H235" t="s">
        <v>69</v>
      </c>
      <c r="I235" t="s">
        <v>4231</v>
      </c>
      <c r="J235" t="s">
        <v>4232</v>
      </c>
      <c r="K235" t="s">
        <v>69</v>
      </c>
      <c r="L235" t="s">
        <v>69</v>
      </c>
      <c r="M235" t="s">
        <v>73</v>
      </c>
      <c r="N235" t="s">
        <v>74</v>
      </c>
      <c r="O235" t="s">
        <v>69</v>
      </c>
      <c r="P235" t="s">
        <v>69</v>
      </c>
      <c r="Q235" t="s">
        <v>69</v>
      </c>
      <c r="R235" t="s">
        <v>69</v>
      </c>
      <c r="S235" t="s">
        <v>69</v>
      </c>
      <c r="T235" t="s">
        <v>69</v>
      </c>
      <c r="U235" t="s">
        <v>4233</v>
      </c>
      <c r="V235" t="s">
        <v>4234</v>
      </c>
      <c r="W235" t="s">
        <v>4235</v>
      </c>
      <c r="X235" t="s">
        <v>4236</v>
      </c>
      <c r="Y235" t="s">
        <v>69</v>
      </c>
      <c r="Z235" t="s">
        <v>4237</v>
      </c>
      <c r="AA235" t="s">
        <v>69</v>
      </c>
      <c r="AB235" t="s">
        <v>69</v>
      </c>
      <c r="AC235" t="s">
        <v>69</v>
      </c>
      <c r="AD235" t="s">
        <v>69</v>
      </c>
      <c r="AE235">
        <v>85</v>
      </c>
      <c r="AF235">
        <v>30</v>
      </c>
      <c r="AG235">
        <v>31</v>
      </c>
      <c r="AH235">
        <v>0</v>
      </c>
      <c r="AI235">
        <v>7</v>
      </c>
      <c r="AJ235" t="s">
        <v>4238</v>
      </c>
      <c r="AK235" t="s">
        <v>224</v>
      </c>
      <c r="AL235" t="s">
        <v>4239</v>
      </c>
      <c r="AM235" t="s">
        <v>4240</v>
      </c>
      <c r="AN235" t="s">
        <v>69</v>
      </c>
      <c r="AO235" t="s">
        <v>69</v>
      </c>
      <c r="AP235" t="s">
        <v>4241</v>
      </c>
      <c r="AQ235" t="s">
        <v>4242</v>
      </c>
      <c r="AR235" t="s">
        <v>1374</v>
      </c>
      <c r="AS235">
        <v>2002</v>
      </c>
      <c r="AT235">
        <v>30</v>
      </c>
      <c r="AU235">
        <v>5</v>
      </c>
      <c r="AV235" t="s">
        <v>69</v>
      </c>
      <c r="AW235" t="s">
        <v>69</v>
      </c>
      <c r="AX235" t="s">
        <v>69</v>
      </c>
      <c r="AY235" t="s">
        <v>69</v>
      </c>
      <c r="AZ235">
        <v>565</v>
      </c>
      <c r="BA235">
        <v>584</v>
      </c>
      <c r="BB235" t="s">
        <v>69</v>
      </c>
      <c r="BC235" t="s">
        <v>4243</v>
      </c>
      <c r="BD235" t="s">
        <v>69</v>
      </c>
      <c r="BE235" t="s">
        <v>69</v>
      </c>
      <c r="BF235">
        <v>20</v>
      </c>
      <c r="BG235" t="s">
        <v>381</v>
      </c>
      <c r="BH235" t="s">
        <v>382</v>
      </c>
      <c r="BI235" t="s">
        <v>4244</v>
      </c>
      <c r="BJ235" t="s">
        <v>4245</v>
      </c>
      <c r="BK235" t="s">
        <v>69</v>
      </c>
      <c r="BL235" t="s">
        <v>69</v>
      </c>
      <c r="BM235" t="s">
        <v>69</v>
      </c>
      <c r="BN235" t="s">
        <v>69</v>
      </c>
      <c r="BO235" t="s">
        <v>95</v>
      </c>
      <c r="BP235" t="s">
        <v>69</v>
      </c>
    </row>
    <row r="236" spans="1:68" x14ac:dyDescent="0.15">
      <c r="A236" t="s">
        <v>67</v>
      </c>
      <c r="B236" t="s">
        <v>4246</v>
      </c>
      <c r="C236" t="s">
        <v>69</v>
      </c>
      <c r="D236" t="s">
        <v>69</v>
      </c>
      <c r="E236" t="s">
        <v>69</v>
      </c>
      <c r="F236" t="s">
        <v>4246</v>
      </c>
      <c r="G236" t="s">
        <v>69</v>
      </c>
      <c r="H236" t="s">
        <v>69</v>
      </c>
      <c r="I236" t="s">
        <v>4247</v>
      </c>
      <c r="J236" t="s">
        <v>4248</v>
      </c>
      <c r="K236" t="s">
        <v>69</v>
      </c>
      <c r="L236" t="s">
        <v>69</v>
      </c>
      <c r="M236" t="s">
        <v>73</v>
      </c>
      <c r="N236" t="s">
        <v>969</v>
      </c>
      <c r="O236" t="s">
        <v>4249</v>
      </c>
      <c r="P236">
        <v>2000</v>
      </c>
      <c r="Q236" t="s">
        <v>4250</v>
      </c>
      <c r="R236" t="s">
        <v>4251</v>
      </c>
      <c r="S236" t="s">
        <v>69</v>
      </c>
      <c r="T236" t="s">
        <v>69</v>
      </c>
      <c r="U236" t="s">
        <v>4252</v>
      </c>
      <c r="V236" t="s">
        <v>4253</v>
      </c>
      <c r="W236" t="s">
        <v>69</v>
      </c>
      <c r="X236" t="s">
        <v>69</v>
      </c>
      <c r="Y236" t="s">
        <v>69</v>
      </c>
      <c r="Z236" t="s">
        <v>69</v>
      </c>
      <c r="AA236" t="s">
        <v>69</v>
      </c>
      <c r="AB236" t="s">
        <v>69</v>
      </c>
      <c r="AC236" t="s">
        <v>69</v>
      </c>
      <c r="AD236" t="s">
        <v>69</v>
      </c>
      <c r="AE236">
        <v>63</v>
      </c>
      <c r="AF236">
        <v>62</v>
      </c>
      <c r="AG236">
        <v>62</v>
      </c>
      <c r="AH236">
        <v>2</v>
      </c>
      <c r="AI236">
        <v>14</v>
      </c>
      <c r="AJ236" t="s">
        <v>223</v>
      </c>
      <c r="AK236" t="s">
        <v>224</v>
      </c>
      <c r="AL236" t="s">
        <v>225</v>
      </c>
      <c r="AM236" t="s">
        <v>4254</v>
      </c>
      <c r="AN236" t="s">
        <v>4255</v>
      </c>
      <c r="AO236" t="s">
        <v>69</v>
      </c>
      <c r="AP236" t="s">
        <v>4256</v>
      </c>
      <c r="AQ236" t="s">
        <v>4257</v>
      </c>
      <c r="AR236" t="s">
        <v>1374</v>
      </c>
      <c r="AS236">
        <v>2002</v>
      </c>
      <c r="AT236">
        <v>67</v>
      </c>
      <c r="AU236">
        <v>3</v>
      </c>
      <c r="AV236" t="s">
        <v>69</v>
      </c>
      <c r="AW236" t="s">
        <v>69</v>
      </c>
      <c r="AX236" t="s">
        <v>69</v>
      </c>
      <c r="AY236" t="s">
        <v>69</v>
      </c>
      <c r="AZ236">
        <v>372</v>
      </c>
      <c r="BA236">
        <v>393</v>
      </c>
      <c r="BB236" t="s">
        <v>69</v>
      </c>
      <c r="BC236" t="s">
        <v>4258</v>
      </c>
      <c r="BD236" t="s">
        <v>69</v>
      </c>
      <c r="BE236" t="s">
        <v>69</v>
      </c>
      <c r="BF236">
        <v>22</v>
      </c>
      <c r="BG236" t="s">
        <v>493</v>
      </c>
      <c r="BH236" t="s">
        <v>493</v>
      </c>
      <c r="BI236" t="s">
        <v>4259</v>
      </c>
      <c r="BJ236" t="s">
        <v>4260</v>
      </c>
      <c r="BK236" t="s">
        <v>69</v>
      </c>
      <c r="BL236" t="s">
        <v>69</v>
      </c>
      <c r="BM236" t="s">
        <v>69</v>
      </c>
      <c r="BN236" t="s">
        <v>69</v>
      </c>
      <c r="BO236" t="s">
        <v>95</v>
      </c>
      <c r="BP236" t="s">
        <v>69</v>
      </c>
    </row>
    <row r="237" spans="1:68" x14ac:dyDescent="0.15">
      <c r="A237" t="s">
        <v>67</v>
      </c>
      <c r="B237" t="s">
        <v>4261</v>
      </c>
      <c r="C237" t="s">
        <v>69</v>
      </c>
      <c r="D237" t="s">
        <v>69</v>
      </c>
      <c r="E237" t="s">
        <v>69</v>
      </c>
      <c r="F237" t="s">
        <v>4261</v>
      </c>
      <c r="G237" t="s">
        <v>69</v>
      </c>
      <c r="H237" t="s">
        <v>69</v>
      </c>
      <c r="I237" t="s">
        <v>4262</v>
      </c>
      <c r="J237" t="s">
        <v>4263</v>
      </c>
      <c r="K237" t="s">
        <v>69</v>
      </c>
      <c r="L237" t="s">
        <v>69</v>
      </c>
      <c r="M237" t="s">
        <v>73</v>
      </c>
      <c r="N237" t="s">
        <v>318</v>
      </c>
      <c r="O237" t="s">
        <v>69</v>
      </c>
      <c r="P237" t="s">
        <v>69</v>
      </c>
      <c r="Q237" t="s">
        <v>69</v>
      </c>
      <c r="R237" t="s">
        <v>69</v>
      </c>
      <c r="S237" t="s">
        <v>69</v>
      </c>
      <c r="T237" t="s">
        <v>69</v>
      </c>
      <c r="U237" t="s">
        <v>4264</v>
      </c>
      <c r="V237" t="s">
        <v>4265</v>
      </c>
      <c r="W237" t="s">
        <v>4266</v>
      </c>
      <c r="X237" t="s">
        <v>4267</v>
      </c>
      <c r="Y237" t="s">
        <v>4268</v>
      </c>
      <c r="Z237" t="s">
        <v>69</v>
      </c>
      <c r="AA237" t="s">
        <v>4269</v>
      </c>
      <c r="AB237" t="s">
        <v>69</v>
      </c>
      <c r="AC237" t="s">
        <v>69</v>
      </c>
      <c r="AD237" t="s">
        <v>69</v>
      </c>
      <c r="AE237">
        <v>44</v>
      </c>
      <c r="AF237">
        <v>25</v>
      </c>
      <c r="AG237">
        <v>26</v>
      </c>
      <c r="AH237">
        <v>0</v>
      </c>
      <c r="AI237">
        <v>4</v>
      </c>
      <c r="AJ237" t="s">
        <v>4270</v>
      </c>
      <c r="AK237" t="s">
        <v>4271</v>
      </c>
      <c r="AL237" t="s">
        <v>4272</v>
      </c>
      <c r="AM237" t="s">
        <v>4273</v>
      </c>
      <c r="AN237" t="s">
        <v>4274</v>
      </c>
      <c r="AO237" t="s">
        <v>69</v>
      </c>
      <c r="AP237" t="s">
        <v>4275</v>
      </c>
      <c r="AQ237" t="s">
        <v>4276</v>
      </c>
      <c r="AR237" t="s">
        <v>3503</v>
      </c>
      <c r="AS237">
        <v>2002</v>
      </c>
      <c r="AT237">
        <v>93</v>
      </c>
      <c r="AU237">
        <v>3</v>
      </c>
      <c r="AV237" t="s">
        <v>69</v>
      </c>
      <c r="AW237" t="s">
        <v>69</v>
      </c>
      <c r="AX237" t="s">
        <v>69</v>
      </c>
      <c r="AY237" t="s">
        <v>69</v>
      </c>
      <c r="AZ237">
        <v>183</v>
      </c>
      <c r="BA237">
        <v>187</v>
      </c>
      <c r="BB237" t="s">
        <v>69</v>
      </c>
      <c r="BC237" t="s">
        <v>4277</v>
      </c>
      <c r="BD237" t="s">
        <v>69</v>
      </c>
      <c r="BE237" t="s">
        <v>69</v>
      </c>
      <c r="BF237">
        <v>5</v>
      </c>
      <c r="BG237" t="s">
        <v>424</v>
      </c>
      <c r="BH237" t="s">
        <v>424</v>
      </c>
      <c r="BI237" t="s">
        <v>4278</v>
      </c>
      <c r="BJ237" t="s">
        <v>4279</v>
      </c>
      <c r="BK237">
        <v>12050984</v>
      </c>
      <c r="BL237" t="s">
        <v>1532</v>
      </c>
      <c r="BM237" t="s">
        <v>69</v>
      </c>
      <c r="BN237" t="s">
        <v>69</v>
      </c>
      <c r="BO237" t="s">
        <v>95</v>
      </c>
      <c r="BP237" t="s">
        <v>69</v>
      </c>
    </row>
    <row r="238" spans="1:68" x14ac:dyDescent="0.15">
      <c r="A238" t="s">
        <v>67</v>
      </c>
      <c r="B238" t="s">
        <v>4280</v>
      </c>
      <c r="C238" t="s">
        <v>69</v>
      </c>
      <c r="D238" t="s">
        <v>69</v>
      </c>
      <c r="E238" t="s">
        <v>69</v>
      </c>
      <c r="F238" t="s">
        <v>4280</v>
      </c>
      <c r="G238" t="s">
        <v>69</v>
      </c>
      <c r="H238" t="s">
        <v>69</v>
      </c>
      <c r="I238" t="s">
        <v>4281</v>
      </c>
      <c r="J238" t="s">
        <v>4282</v>
      </c>
      <c r="K238" t="s">
        <v>69</v>
      </c>
      <c r="L238" t="s">
        <v>69</v>
      </c>
      <c r="M238" t="s">
        <v>73</v>
      </c>
      <c r="N238" t="s">
        <v>74</v>
      </c>
      <c r="O238" t="s">
        <v>69</v>
      </c>
      <c r="P238" t="s">
        <v>69</v>
      </c>
      <c r="Q238" t="s">
        <v>69</v>
      </c>
      <c r="R238" t="s">
        <v>69</v>
      </c>
      <c r="S238" t="s">
        <v>69</v>
      </c>
      <c r="T238" t="s">
        <v>69</v>
      </c>
      <c r="U238" t="s">
        <v>4283</v>
      </c>
      <c r="V238" t="s">
        <v>4284</v>
      </c>
      <c r="W238" t="s">
        <v>4285</v>
      </c>
      <c r="X238" t="s">
        <v>4286</v>
      </c>
      <c r="Y238" t="s">
        <v>69</v>
      </c>
      <c r="Z238" t="s">
        <v>4287</v>
      </c>
      <c r="AA238" t="s">
        <v>4288</v>
      </c>
      <c r="AB238" t="s">
        <v>69</v>
      </c>
      <c r="AC238" t="s">
        <v>69</v>
      </c>
      <c r="AD238" t="s">
        <v>69</v>
      </c>
      <c r="AE238">
        <v>31</v>
      </c>
      <c r="AF238">
        <v>197</v>
      </c>
      <c r="AG238">
        <v>208</v>
      </c>
      <c r="AH238">
        <v>3</v>
      </c>
      <c r="AI238">
        <v>34</v>
      </c>
      <c r="AJ238" t="s">
        <v>4289</v>
      </c>
      <c r="AK238" t="s">
        <v>4290</v>
      </c>
      <c r="AL238" t="s">
        <v>4291</v>
      </c>
      <c r="AM238" t="s">
        <v>4292</v>
      </c>
      <c r="AN238" t="s">
        <v>69</v>
      </c>
      <c r="AO238" t="s">
        <v>69</v>
      </c>
      <c r="AP238" t="s">
        <v>4293</v>
      </c>
      <c r="AQ238" t="s">
        <v>4294</v>
      </c>
      <c r="AR238" t="s">
        <v>69</v>
      </c>
      <c r="AS238">
        <v>2002</v>
      </c>
      <c r="AT238">
        <v>40</v>
      </c>
      <c r="AU238">
        <v>4</v>
      </c>
      <c r="AV238" t="s">
        <v>69</v>
      </c>
      <c r="AW238" t="s">
        <v>69</v>
      </c>
      <c r="AX238" t="s">
        <v>69</v>
      </c>
      <c r="AY238" t="s">
        <v>69</v>
      </c>
      <c r="AZ238">
        <v>5</v>
      </c>
      <c r="BA238">
        <v>38</v>
      </c>
      <c r="BB238" t="s">
        <v>69</v>
      </c>
      <c r="BC238" t="s">
        <v>4295</v>
      </c>
      <c r="BD238" t="s">
        <v>69</v>
      </c>
      <c r="BE238" t="s">
        <v>69</v>
      </c>
      <c r="BF238">
        <v>34</v>
      </c>
      <c r="BG238" t="s">
        <v>604</v>
      </c>
      <c r="BH238" t="s">
        <v>604</v>
      </c>
      <c r="BI238" t="s">
        <v>4296</v>
      </c>
      <c r="BJ238" t="s">
        <v>4297</v>
      </c>
      <c r="BK238" t="s">
        <v>69</v>
      </c>
      <c r="BL238" t="s">
        <v>69</v>
      </c>
      <c r="BM238" t="s">
        <v>69</v>
      </c>
      <c r="BN238" t="s">
        <v>69</v>
      </c>
      <c r="BO238" t="s">
        <v>95</v>
      </c>
      <c r="BP238" t="s">
        <v>69</v>
      </c>
    </row>
    <row r="239" spans="1:68" x14ac:dyDescent="0.15">
      <c r="A239" t="s">
        <v>67</v>
      </c>
      <c r="B239" t="s">
        <v>4298</v>
      </c>
      <c r="C239" t="s">
        <v>69</v>
      </c>
      <c r="D239" t="s">
        <v>69</v>
      </c>
      <c r="E239" t="s">
        <v>69</v>
      </c>
      <c r="F239" t="s">
        <v>4298</v>
      </c>
      <c r="G239" t="s">
        <v>69</v>
      </c>
      <c r="H239" t="s">
        <v>69</v>
      </c>
      <c r="I239" t="s">
        <v>4299</v>
      </c>
      <c r="J239" t="s">
        <v>4300</v>
      </c>
      <c r="K239" t="s">
        <v>69</v>
      </c>
      <c r="L239" t="s">
        <v>69</v>
      </c>
      <c r="M239" t="s">
        <v>73</v>
      </c>
      <c r="N239" t="s">
        <v>74</v>
      </c>
      <c r="O239" t="s">
        <v>69</v>
      </c>
      <c r="P239" t="s">
        <v>69</v>
      </c>
      <c r="Q239" t="s">
        <v>69</v>
      </c>
      <c r="R239" t="s">
        <v>69</v>
      </c>
      <c r="S239" t="s">
        <v>69</v>
      </c>
      <c r="T239" t="s">
        <v>4301</v>
      </c>
      <c r="U239" t="s">
        <v>4302</v>
      </c>
      <c r="V239" t="s">
        <v>4303</v>
      </c>
      <c r="W239" t="s">
        <v>4304</v>
      </c>
      <c r="X239" t="s">
        <v>4305</v>
      </c>
      <c r="Y239" t="s">
        <v>69</v>
      </c>
      <c r="Z239" t="s">
        <v>69</v>
      </c>
      <c r="AA239" t="s">
        <v>69</v>
      </c>
      <c r="AB239" t="s">
        <v>69</v>
      </c>
      <c r="AC239" t="s">
        <v>69</v>
      </c>
      <c r="AD239" t="s">
        <v>69</v>
      </c>
      <c r="AE239">
        <v>41</v>
      </c>
      <c r="AF239">
        <v>41</v>
      </c>
      <c r="AG239">
        <v>41</v>
      </c>
      <c r="AH239">
        <v>0</v>
      </c>
      <c r="AI239">
        <v>9</v>
      </c>
      <c r="AJ239" t="s">
        <v>4306</v>
      </c>
      <c r="AK239" t="s">
        <v>4307</v>
      </c>
      <c r="AL239" t="s">
        <v>4308</v>
      </c>
      <c r="AM239" t="s">
        <v>4309</v>
      </c>
      <c r="AN239" t="s">
        <v>69</v>
      </c>
      <c r="AO239" t="s">
        <v>69</v>
      </c>
      <c r="AP239" t="s">
        <v>4310</v>
      </c>
      <c r="AQ239" t="s">
        <v>4311</v>
      </c>
      <c r="AR239" t="s">
        <v>754</v>
      </c>
      <c r="AS239">
        <v>2001</v>
      </c>
      <c r="AT239">
        <v>33</v>
      </c>
      <c r="AU239">
        <v>6</v>
      </c>
      <c r="AV239" t="s">
        <v>69</v>
      </c>
      <c r="AW239" t="s">
        <v>69</v>
      </c>
      <c r="AX239" t="s">
        <v>69</v>
      </c>
      <c r="AY239" t="s">
        <v>69</v>
      </c>
      <c r="AZ239">
        <v>322</v>
      </c>
      <c r="BA239">
        <v>331</v>
      </c>
      <c r="BB239" t="s">
        <v>69</v>
      </c>
      <c r="BC239" t="s">
        <v>4312</v>
      </c>
      <c r="BD239" t="s">
        <v>69</v>
      </c>
      <c r="BE239" t="s">
        <v>69</v>
      </c>
      <c r="BF239">
        <v>10</v>
      </c>
      <c r="BG239" t="s">
        <v>4313</v>
      </c>
      <c r="BH239" t="s">
        <v>4314</v>
      </c>
      <c r="BI239" t="s">
        <v>4315</v>
      </c>
      <c r="BJ239" t="s">
        <v>4316</v>
      </c>
      <c r="BK239">
        <v>12031170</v>
      </c>
      <c r="BL239" t="s">
        <v>69</v>
      </c>
      <c r="BM239" t="s">
        <v>69</v>
      </c>
      <c r="BN239" t="s">
        <v>69</v>
      </c>
      <c r="BO239" t="s">
        <v>95</v>
      </c>
      <c r="BP239" t="s">
        <v>69</v>
      </c>
    </row>
    <row r="240" spans="1:68" x14ac:dyDescent="0.15">
      <c r="A240" t="s">
        <v>67</v>
      </c>
      <c r="B240" t="s">
        <v>4317</v>
      </c>
      <c r="C240" t="s">
        <v>69</v>
      </c>
      <c r="D240" t="s">
        <v>69</v>
      </c>
      <c r="E240" t="s">
        <v>69</v>
      </c>
      <c r="F240" t="s">
        <v>4317</v>
      </c>
      <c r="G240" t="s">
        <v>69</v>
      </c>
      <c r="H240" t="s">
        <v>69</v>
      </c>
      <c r="I240" t="s">
        <v>4318</v>
      </c>
      <c r="J240" t="s">
        <v>4319</v>
      </c>
      <c r="K240" t="s">
        <v>69</v>
      </c>
      <c r="L240" t="s">
        <v>69</v>
      </c>
      <c r="M240" t="s">
        <v>73</v>
      </c>
      <c r="N240" t="s">
        <v>74</v>
      </c>
      <c r="O240" t="s">
        <v>69</v>
      </c>
      <c r="P240" t="s">
        <v>69</v>
      </c>
      <c r="Q240" t="s">
        <v>69</v>
      </c>
      <c r="R240" t="s">
        <v>69</v>
      </c>
      <c r="S240" t="s">
        <v>69</v>
      </c>
      <c r="T240" t="s">
        <v>69</v>
      </c>
      <c r="U240" t="s">
        <v>4039</v>
      </c>
      <c r="V240" t="s">
        <v>4320</v>
      </c>
      <c r="W240" t="s">
        <v>4321</v>
      </c>
      <c r="X240" t="s">
        <v>4322</v>
      </c>
      <c r="Y240" t="s">
        <v>69</v>
      </c>
      <c r="Z240" t="s">
        <v>69</v>
      </c>
      <c r="AA240" t="s">
        <v>69</v>
      </c>
      <c r="AB240" t="s">
        <v>69</v>
      </c>
      <c r="AC240" t="s">
        <v>69</v>
      </c>
      <c r="AD240" t="s">
        <v>69</v>
      </c>
      <c r="AE240">
        <v>46</v>
      </c>
      <c r="AF240">
        <v>3</v>
      </c>
      <c r="AG240">
        <v>3</v>
      </c>
      <c r="AH240">
        <v>0</v>
      </c>
      <c r="AI240">
        <v>1</v>
      </c>
      <c r="AJ240" t="s">
        <v>1833</v>
      </c>
      <c r="AK240" t="s">
        <v>573</v>
      </c>
      <c r="AL240" t="s">
        <v>1834</v>
      </c>
      <c r="AM240" t="s">
        <v>4323</v>
      </c>
      <c r="AN240" t="s">
        <v>4324</v>
      </c>
      <c r="AO240" t="s">
        <v>69</v>
      </c>
      <c r="AP240" t="s">
        <v>4325</v>
      </c>
      <c r="AQ240" t="s">
        <v>4326</v>
      </c>
      <c r="AR240" t="s">
        <v>1888</v>
      </c>
      <c r="AS240">
        <v>2001</v>
      </c>
      <c r="AT240" t="s">
        <v>69</v>
      </c>
      <c r="AU240">
        <v>60</v>
      </c>
      <c r="AV240" t="s">
        <v>69</v>
      </c>
      <c r="AW240" t="s">
        <v>69</v>
      </c>
      <c r="AX240" t="s">
        <v>69</v>
      </c>
      <c r="AY240" t="s">
        <v>69</v>
      </c>
      <c r="AZ240">
        <v>61</v>
      </c>
      <c r="BA240">
        <v>68</v>
      </c>
      <c r="BB240" t="s">
        <v>69</v>
      </c>
      <c r="BC240" t="s">
        <v>69</v>
      </c>
      <c r="BD240" t="s">
        <v>69</v>
      </c>
      <c r="BE240" t="s">
        <v>69</v>
      </c>
      <c r="BF240">
        <v>8</v>
      </c>
      <c r="BG240" t="s">
        <v>4327</v>
      </c>
      <c r="BH240" t="s">
        <v>4328</v>
      </c>
      <c r="BI240" t="s">
        <v>4329</v>
      </c>
      <c r="BJ240" t="s">
        <v>4330</v>
      </c>
      <c r="BK240" t="s">
        <v>69</v>
      </c>
      <c r="BL240" t="s">
        <v>69</v>
      </c>
      <c r="BM240" t="s">
        <v>69</v>
      </c>
      <c r="BN240" t="s">
        <v>69</v>
      </c>
      <c r="BO240" t="s">
        <v>95</v>
      </c>
      <c r="BP240" t="s">
        <v>69</v>
      </c>
    </row>
    <row r="241" spans="1:68" x14ac:dyDescent="0.15">
      <c r="A241" t="s">
        <v>67</v>
      </c>
      <c r="B241" t="s">
        <v>4331</v>
      </c>
      <c r="C241" t="s">
        <v>69</v>
      </c>
      <c r="D241" t="s">
        <v>69</v>
      </c>
      <c r="E241" t="s">
        <v>69</v>
      </c>
      <c r="F241" t="s">
        <v>4331</v>
      </c>
      <c r="G241" t="s">
        <v>69</v>
      </c>
      <c r="H241" t="s">
        <v>69</v>
      </c>
      <c r="I241" t="s">
        <v>4332</v>
      </c>
      <c r="J241" t="s">
        <v>4333</v>
      </c>
      <c r="K241" t="s">
        <v>69</v>
      </c>
      <c r="L241" t="s">
        <v>69</v>
      </c>
      <c r="M241" t="s">
        <v>73</v>
      </c>
      <c r="N241" t="s">
        <v>969</v>
      </c>
      <c r="O241" t="s">
        <v>4334</v>
      </c>
      <c r="P241" t="s">
        <v>4335</v>
      </c>
      <c r="Q241" t="s">
        <v>4336</v>
      </c>
      <c r="R241" t="s">
        <v>4337</v>
      </c>
      <c r="S241" t="s">
        <v>69</v>
      </c>
      <c r="T241" t="s">
        <v>4338</v>
      </c>
      <c r="U241" t="s">
        <v>4339</v>
      </c>
      <c r="V241" t="s">
        <v>4340</v>
      </c>
      <c r="W241" t="s">
        <v>4341</v>
      </c>
      <c r="X241" t="s">
        <v>4342</v>
      </c>
      <c r="Y241" t="s">
        <v>4343</v>
      </c>
      <c r="Z241" t="s">
        <v>4344</v>
      </c>
      <c r="AA241" t="s">
        <v>4345</v>
      </c>
      <c r="AB241" t="s">
        <v>69</v>
      </c>
      <c r="AC241" t="s">
        <v>69</v>
      </c>
      <c r="AD241" t="s">
        <v>69</v>
      </c>
      <c r="AE241">
        <v>57</v>
      </c>
      <c r="AF241">
        <v>96</v>
      </c>
      <c r="AG241">
        <v>96</v>
      </c>
      <c r="AH241">
        <v>0</v>
      </c>
      <c r="AI241">
        <v>32</v>
      </c>
      <c r="AJ241" t="s">
        <v>223</v>
      </c>
      <c r="AK241" t="s">
        <v>224</v>
      </c>
      <c r="AL241" t="s">
        <v>225</v>
      </c>
      <c r="AM241" t="s">
        <v>4346</v>
      </c>
      <c r="AN241" t="s">
        <v>4347</v>
      </c>
      <c r="AO241" t="s">
        <v>69</v>
      </c>
      <c r="AP241" t="s">
        <v>4348</v>
      </c>
      <c r="AQ241" t="s">
        <v>4349</v>
      </c>
      <c r="AR241" t="s">
        <v>490</v>
      </c>
      <c r="AS241">
        <v>2001</v>
      </c>
      <c r="AT241">
        <v>20</v>
      </c>
      <c r="AU241">
        <v>8</v>
      </c>
      <c r="AV241" t="s">
        <v>69</v>
      </c>
      <c r="AW241" t="s">
        <v>69</v>
      </c>
      <c r="AX241" t="s">
        <v>69</v>
      </c>
      <c r="AY241" t="s">
        <v>69</v>
      </c>
      <c r="AZ241">
        <v>1698</v>
      </c>
      <c r="BA241">
        <v>1703</v>
      </c>
      <c r="BB241" t="s">
        <v>69</v>
      </c>
      <c r="BC241" t="s">
        <v>4350</v>
      </c>
      <c r="BD241" t="s">
        <v>69</v>
      </c>
      <c r="BE241" t="s">
        <v>69</v>
      </c>
      <c r="BF241">
        <v>6</v>
      </c>
      <c r="BG241" t="s">
        <v>4351</v>
      </c>
      <c r="BH241" t="s">
        <v>4352</v>
      </c>
      <c r="BI241" t="s">
        <v>4353</v>
      </c>
      <c r="BJ241" t="s">
        <v>4354</v>
      </c>
      <c r="BK241">
        <v>11491551</v>
      </c>
      <c r="BL241" t="s">
        <v>69</v>
      </c>
      <c r="BM241" t="s">
        <v>69</v>
      </c>
      <c r="BN241" t="s">
        <v>69</v>
      </c>
      <c r="BO241" t="s">
        <v>95</v>
      </c>
      <c r="BP241" t="s">
        <v>69</v>
      </c>
    </row>
    <row r="242" spans="1:68" x14ac:dyDescent="0.15">
      <c r="A242" t="s">
        <v>67</v>
      </c>
      <c r="B242" t="s">
        <v>4355</v>
      </c>
      <c r="C242" t="s">
        <v>69</v>
      </c>
      <c r="D242" t="s">
        <v>69</v>
      </c>
      <c r="E242" t="s">
        <v>69</v>
      </c>
      <c r="F242" t="s">
        <v>4355</v>
      </c>
      <c r="G242" t="s">
        <v>69</v>
      </c>
      <c r="H242" t="s">
        <v>69</v>
      </c>
      <c r="I242" t="s">
        <v>4356</v>
      </c>
      <c r="J242" t="s">
        <v>4357</v>
      </c>
      <c r="K242" t="s">
        <v>69</v>
      </c>
      <c r="L242" t="s">
        <v>69</v>
      </c>
      <c r="M242" t="s">
        <v>73</v>
      </c>
      <c r="N242" t="s">
        <v>74</v>
      </c>
      <c r="O242" t="s">
        <v>69</v>
      </c>
      <c r="P242" t="s">
        <v>69</v>
      </c>
      <c r="Q242" t="s">
        <v>69</v>
      </c>
      <c r="R242" t="s">
        <v>69</v>
      </c>
      <c r="S242" t="s">
        <v>69</v>
      </c>
      <c r="T242" t="s">
        <v>4358</v>
      </c>
      <c r="U242" t="s">
        <v>4359</v>
      </c>
      <c r="V242" t="s">
        <v>4360</v>
      </c>
      <c r="W242" t="s">
        <v>4361</v>
      </c>
      <c r="X242" t="s">
        <v>4362</v>
      </c>
      <c r="Y242" t="s">
        <v>4363</v>
      </c>
      <c r="Z242" t="s">
        <v>69</v>
      </c>
      <c r="AA242" t="s">
        <v>69</v>
      </c>
      <c r="AB242" t="s">
        <v>69</v>
      </c>
      <c r="AC242" t="s">
        <v>69</v>
      </c>
      <c r="AD242" t="s">
        <v>69</v>
      </c>
      <c r="AE242">
        <v>52</v>
      </c>
      <c r="AF242">
        <v>19</v>
      </c>
      <c r="AG242">
        <v>19</v>
      </c>
      <c r="AH242">
        <v>0</v>
      </c>
      <c r="AI242">
        <v>3</v>
      </c>
      <c r="AJ242" t="s">
        <v>771</v>
      </c>
      <c r="AK242" t="s">
        <v>772</v>
      </c>
      <c r="AL242" t="s">
        <v>773</v>
      </c>
      <c r="AM242" t="s">
        <v>4364</v>
      </c>
      <c r="AN242" t="s">
        <v>4365</v>
      </c>
      <c r="AO242" t="s">
        <v>69</v>
      </c>
      <c r="AP242" t="s">
        <v>4366</v>
      </c>
      <c r="AQ242" t="s">
        <v>4367</v>
      </c>
      <c r="AR242" t="s">
        <v>490</v>
      </c>
      <c r="AS242">
        <v>2001</v>
      </c>
      <c r="AT242">
        <v>24</v>
      </c>
      <c r="AU242">
        <v>3</v>
      </c>
      <c r="AV242" t="s">
        <v>69</v>
      </c>
      <c r="AW242" t="s">
        <v>69</v>
      </c>
      <c r="AX242" t="s">
        <v>69</v>
      </c>
      <c r="AY242" t="s">
        <v>69</v>
      </c>
      <c r="AZ242">
        <v>307</v>
      </c>
      <c r="BA242">
        <v>318</v>
      </c>
      <c r="BB242" t="s">
        <v>69</v>
      </c>
      <c r="BC242" t="s">
        <v>4368</v>
      </c>
      <c r="BD242" t="s">
        <v>69</v>
      </c>
      <c r="BE242" t="s">
        <v>69</v>
      </c>
      <c r="BF242">
        <v>12</v>
      </c>
      <c r="BG242" t="s">
        <v>1128</v>
      </c>
      <c r="BH242" t="s">
        <v>922</v>
      </c>
      <c r="BI242" t="s">
        <v>4369</v>
      </c>
      <c r="BJ242" t="s">
        <v>4370</v>
      </c>
      <c r="BK242" t="s">
        <v>69</v>
      </c>
      <c r="BL242" t="s">
        <v>69</v>
      </c>
      <c r="BM242" t="s">
        <v>69</v>
      </c>
      <c r="BN242" t="s">
        <v>69</v>
      </c>
      <c r="BO242" t="s">
        <v>95</v>
      </c>
      <c r="BP242" t="s">
        <v>69</v>
      </c>
    </row>
    <row r="243" spans="1:68" x14ac:dyDescent="0.15">
      <c r="A243" t="s">
        <v>67</v>
      </c>
      <c r="B243" t="s">
        <v>4371</v>
      </c>
      <c r="C243" t="s">
        <v>69</v>
      </c>
      <c r="D243" t="s">
        <v>69</v>
      </c>
      <c r="E243" t="s">
        <v>69</v>
      </c>
      <c r="F243" t="s">
        <v>4371</v>
      </c>
      <c r="G243" t="s">
        <v>69</v>
      </c>
      <c r="H243" t="s">
        <v>69</v>
      </c>
      <c r="I243" t="s">
        <v>4372</v>
      </c>
      <c r="J243" t="s">
        <v>197</v>
      </c>
      <c r="K243" t="s">
        <v>69</v>
      </c>
      <c r="L243" t="s">
        <v>69</v>
      </c>
      <c r="M243" t="s">
        <v>73</v>
      </c>
      <c r="N243" t="s">
        <v>74</v>
      </c>
      <c r="O243" t="s">
        <v>69</v>
      </c>
      <c r="P243" t="s">
        <v>69</v>
      </c>
      <c r="Q243" t="s">
        <v>69</v>
      </c>
      <c r="R243" t="s">
        <v>69</v>
      </c>
      <c r="S243" t="s">
        <v>69</v>
      </c>
      <c r="T243" t="s">
        <v>4373</v>
      </c>
      <c r="U243" t="s">
        <v>4374</v>
      </c>
      <c r="V243" t="s">
        <v>4375</v>
      </c>
      <c r="W243" t="s">
        <v>4376</v>
      </c>
      <c r="X243" t="s">
        <v>4377</v>
      </c>
      <c r="Y243" t="s">
        <v>69</v>
      </c>
      <c r="Z243" t="s">
        <v>69</v>
      </c>
      <c r="AA243" t="s">
        <v>69</v>
      </c>
      <c r="AB243" t="s">
        <v>69</v>
      </c>
      <c r="AC243" t="s">
        <v>69</v>
      </c>
      <c r="AD243" t="s">
        <v>69</v>
      </c>
      <c r="AE243">
        <v>80</v>
      </c>
      <c r="AF243">
        <v>300</v>
      </c>
      <c r="AG243">
        <v>309</v>
      </c>
      <c r="AH243">
        <v>0</v>
      </c>
      <c r="AI243">
        <v>75</v>
      </c>
      <c r="AJ243" t="s">
        <v>4378</v>
      </c>
      <c r="AK243" t="s">
        <v>4379</v>
      </c>
      <c r="AL243" t="s">
        <v>4380</v>
      </c>
      <c r="AM243" t="s">
        <v>205</v>
      </c>
      <c r="AN243" t="s">
        <v>69</v>
      </c>
      <c r="AO243" t="s">
        <v>69</v>
      </c>
      <c r="AP243" t="s">
        <v>207</v>
      </c>
      <c r="AQ243" t="s">
        <v>208</v>
      </c>
      <c r="AR243" t="s">
        <v>934</v>
      </c>
      <c r="AS243">
        <v>2001</v>
      </c>
      <c r="AT243">
        <v>24</v>
      </c>
      <c r="AU243">
        <v>4</v>
      </c>
      <c r="AV243" t="s">
        <v>69</v>
      </c>
      <c r="AW243" t="s">
        <v>69</v>
      </c>
      <c r="AX243" t="s">
        <v>69</v>
      </c>
      <c r="AY243" t="s">
        <v>69</v>
      </c>
      <c r="AZ243">
        <v>549</v>
      </c>
      <c r="BA243">
        <v>577</v>
      </c>
      <c r="BB243" t="s">
        <v>69</v>
      </c>
      <c r="BC243" t="s">
        <v>4381</v>
      </c>
      <c r="BD243" t="s">
        <v>69</v>
      </c>
      <c r="BE243" t="s">
        <v>69</v>
      </c>
      <c r="BF243">
        <v>29</v>
      </c>
      <c r="BG243" t="s">
        <v>210</v>
      </c>
      <c r="BH243" t="s">
        <v>210</v>
      </c>
      <c r="BI243" t="s">
        <v>4382</v>
      </c>
      <c r="BJ243" t="s">
        <v>4383</v>
      </c>
      <c r="BK243" t="s">
        <v>69</v>
      </c>
      <c r="BL243" t="s">
        <v>69</v>
      </c>
      <c r="BM243" t="s">
        <v>69</v>
      </c>
      <c r="BN243" t="s">
        <v>69</v>
      </c>
      <c r="BO243" t="s">
        <v>95</v>
      </c>
      <c r="BP243" t="s">
        <v>69</v>
      </c>
    </row>
    <row r="244" spans="1:68" x14ac:dyDescent="0.15">
      <c r="A244" t="s">
        <v>67</v>
      </c>
      <c r="B244" t="s">
        <v>4384</v>
      </c>
      <c r="C244" t="s">
        <v>69</v>
      </c>
      <c r="D244" t="s">
        <v>69</v>
      </c>
      <c r="E244" t="s">
        <v>69</v>
      </c>
      <c r="F244" t="s">
        <v>4384</v>
      </c>
      <c r="G244" t="s">
        <v>69</v>
      </c>
      <c r="H244" t="s">
        <v>69</v>
      </c>
      <c r="I244" t="s">
        <v>4385</v>
      </c>
      <c r="J244" t="s">
        <v>4386</v>
      </c>
      <c r="K244" t="s">
        <v>69</v>
      </c>
      <c r="L244" t="s">
        <v>69</v>
      </c>
      <c r="M244" t="s">
        <v>73</v>
      </c>
      <c r="N244" t="s">
        <v>74</v>
      </c>
      <c r="O244" t="s">
        <v>69</v>
      </c>
      <c r="P244" t="s">
        <v>69</v>
      </c>
      <c r="Q244" t="s">
        <v>69</v>
      </c>
      <c r="R244" t="s">
        <v>69</v>
      </c>
      <c r="S244" t="s">
        <v>69</v>
      </c>
      <c r="T244" t="s">
        <v>69</v>
      </c>
      <c r="U244" t="s">
        <v>4387</v>
      </c>
      <c r="V244" t="s">
        <v>4388</v>
      </c>
      <c r="W244" t="s">
        <v>4389</v>
      </c>
      <c r="X244" t="s">
        <v>4390</v>
      </c>
      <c r="Y244" t="s">
        <v>69</v>
      </c>
      <c r="Z244" t="s">
        <v>69</v>
      </c>
      <c r="AA244" t="s">
        <v>69</v>
      </c>
      <c r="AB244" t="s">
        <v>69</v>
      </c>
      <c r="AC244" t="s">
        <v>69</v>
      </c>
      <c r="AD244" t="s">
        <v>69</v>
      </c>
      <c r="AE244">
        <v>45</v>
      </c>
      <c r="AF244">
        <v>52</v>
      </c>
      <c r="AG244">
        <v>52</v>
      </c>
      <c r="AH244">
        <v>0</v>
      </c>
      <c r="AI244">
        <v>8</v>
      </c>
      <c r="AJ244" t="s">
        <v>4391</v>
      </c>
      <c r="AK244" t="s">
        <v>4392</v>
      </c>
      <c r="AL244" t="s">
        <v>4393</v>
      </c>
      <c r="AM244" t="s">
        <v>4394</v>
      </c>
      <c r="AN244" t="s">
        <v>69</v>
      </c>
      <c r="AO244" t="s">
        <v>69</v>
      </c>
      <c r="AP244" t="s">
        <v>4395</v>
      </c>
      <c r="AQ244" t="s">
        <v>4396</v>
      </c>
      <c r="AR244" t="s">
        <v>422</v>
      </c>
      <c r="AS244">
        <v>2001</v>
      </c>
      <c r="AT244">
        <v>42</v>
      </c>
      <c r="AU244">
        <v>3</v>
      </c>
      <c r="AV244" t="s">
        <v>69</v>
      </c>
      <c r="AW244" t="s">
        <v>69</v>
      </c>
      <c r="AX244" t="s">
        <v>69</v>
      </c>
      <c r="AY244" t="s">
        <v>69</v>
      </c>
      <c r="AZ244">
        <v>351</v>
      </c>
      <c r="BA244">
        <v>372</v>
      </c>
      <c r="BB244" t="s">
        <v>69</v>
      </c>
      <c r="BC244" t="s">
        <v>4397</v>
      </c>
      <c r="BD244" t="s">
        <v>69</v>
      </c>
      <c r="BE244" t="s">
        <v>69</v>
      </c>
      <c r="BF244">
        <v>22</v>
      </c>
      <c r="BG244" t="s">
        <v>493</v>
      </c>
      <c r="BH244" t="s">
        <v>493</v>
      </c>
      <c r="BI244" t="s">
        <v>4398</v>
      </c>
      <c r="BJ244" t="s">
        <v>4399</v>
      </c>
      <c r="BK244" t="s">
        <v>69</v>
      </c>
      <c r="BL244" t="s">
        <v>69</v>
      </c>
      <c r="BM244" t="s">
        <v>69</v>
      </c>
      <c r="BN244" t="s">
        <v>69</v>
      </c>
      <c r="BO244" t="s">
        <v>95</v>
      </c>
      <c r="BP244" t="s">
        <v>69</v>
      </c>
    </row>
    <row r="245" spans="1:68" x14ac:dyDescent="0.15">
      <c r="A245" t="s">
        <v>67</v>
      </c>
      <c r="B245" t="s">
        <v>4400</v>
      </c>
      <c r="C245" t="s">
        <v>69</v>
      </c>
      <c r="D245" t="s">
        <v>69</v>
      </c>
      <c r="E245" t="s">
        <v>69</v>
      </c>
      <c r="F245" t="s">
        <v>4400</v>
      </c>
      <c r="G245" t="s">
        <v>69</v>
      </c>
      <c r="H245" t="s">
        <v>69</v>
      </c>
      <c r="I245" t="s">
        <v>4401</v>
      </c>
      <c r="J245" t="s">
        <v>762</v>
      </c>
      <c r="K245" t="s">
        <v>69</v>
      </c>
      <c r="L245" t="s">
        <v>69</v>
      </c>
      <c r="M245" t="s">
        <v>73</v>
      </c>
      <c r="N245" t="s">
        <v>969</v>
      </c>
      <c r="O245" t="s">
        <v>4402</v>
      </c>
      <c r="P245" t="s">
        <v>4403</v>
      </c>
      <c r="Q245" t="s">
        <v>4404</v>
      </c>
      <c r="R245" t="s">
        <v>4405</v>
      </c>
      <c r="S245" t="s">
        <v>4406</v>
      </c>
      <c r="T245" t="s">
        <v>69</v>
      </c>
      <c r="U245" t="s">
        <v>4407</v>
      </c>
      <c r="V245" t="s">
        <v>4408</v>
      </c>
      <c r="W245" t="s">
        <v>4409</v>
      </c>
      <c r="X245" t="s">
        <v>4410</v>
      </c>
      <c r="Y245" t="s">
        <v>4411</v>
      </c>
      <c r="Z245" t="s">
        <v>69</v>
      </c>
      <c r="AA245" t="s">
        <v>69</v>
      </c>
      <c r="AB245" t="s">
        <v>69</v>
      </c>
      <c r="AC245" t="s">
        <v>69</v>
      </c>
      <c r="AD245" t="s">
        <v>69</v>
      </c>
      <c r="AE245">
        <v>100</v>
      </c>
      <c r="AF245">
        <v>15</v>
      </c>
      <c r="AG245">
        <v>15</v>
      </c>
      <c r="AH245">
        <v>0</v>
      </c>
      <c r="AI245">
        <v>9</v>
      </c>
      <c r="AJ245" t="s">
        <v>771</v>
      </c>
      <c r="AK245" t="s">
        <v>772</v>
      </c>
      <c r="AL245" t="s">
        <v>773</v>
      </c>
      <c r="AM245" t="s">
        <v>774</v>
      </c>
      <c r="AN245" t="s">
        <v>775</v>
      </c>
      <c r="AO245" t="s">
        <v>69</v>
      </c>
      <c r="AP245" t="s">
        <v>776</v>
      </c>
      <c r="AQ245" t="s">
        <v>777</v>
      </c>
      <c r="AR245" t="s">
        <v>490</v>
      </c>
      <c r="AS245">
        <v>1999</v>
      </c>
      <c r="AT245">
        <v>23</v>
      </c>
      <c r="AU245">
        <v>4</v>
      </c>
      <c r="AV245" t="s">
        <v>69</v>
      </c>
      <c r="AW245" t="s">
        <v>69</v>
      </c>
      <c r="AX245" t="s">
        <v>69</v>
      </c>
      <c r="AY245" t="s">
        <v>69</v>
      </c>
      <c r="AZ245">
        <v>629</v>
      </c>
      <c r="BA245">
        <v>658</v>
      </c>
      <c r="BB245" t="s">
        <v>69</v>
      </c>
      <c r="BC245" t="s">
        <v>4412</v>
      </c>
      <c r="BD245" t="s">
        <v>69</v>
      </c>
      <c r="BE245" t="s">
        <v>69</v>
      </c>
      <c r="BF245">
        <v>30</v>
      </c>
      <c r="BG245" t="s">
        <v>779</v>
      </c>
      <c r="BH245" t="s">
        <v>780</v>
      </c>
      <c r="BI245" t="s">
        <v>4413</v>
      </c>
      <c r="BJ245" t="s">
        <v>4414</v>
      </c>
      <c r="BK245" t="s">
        <v>69</v>
      </c>
      <c r="BL245" t="s">
        <v>69</v>
      </c>
      <c r="BM245" t="s">
        <v>69</v>
      </c>
      <c r="BN245" t="s">
        <v>69</v>
      </c>
      <c r="BO245" t="s">
        <v>95</v>
      </c>
      <c r="BP245" t="s">
        <v>69</v>
      </c>
    </row>
    <row r="246" spans="1:68" x14ac:dyDescent="0.15">
      <c r="A246" t="s">
        <v>67</v>
      </c>
      <c r="B246" t="s">
        <v>4415</v>
      </c>
      <c r="C246" t="s">
        <v>69</v>
      </c>
      <c r="D246" t="s">
        <v>69</v>
      </c>
      <c r="E246" t="s">
        <v>69</v>
      </c>
      <c r="F246" t="s">
        <v>4415</v>
      </c>
      <c r="G246" t="s">
        <v>69</v>
      </c>
      <c r="H246" t="s">
        <v>69</v>
      </c>
      <c r="I246" t="s">
        <v>4416</v>
      </c>
      <c r="J246" t="s">
        <v>4417</v>
      </c>
      <c r="K246" t="s">
        <v>69</v>
      </c>
      <c r="L246" t="s">
        <v>69</v>
      </c>
      <c r="M246" t="s">
        <v>73</v>
      </c>
      <c r="N246" t="s">
        <v>74</v>
      </c>
      <c r="O246" t="s">
        <v>69</v>
      </c>
      <c r="P246" t="s">
        <v>69</v>
      </c>
      <c r="Q246" t="s">
        <v>69</v>
      </c>
      <c r="R246" t="s">
        <v>69</v>
      </c>
      <c r="S246" t="s">
        <v>69</v>
      </c>
      <c r="T246" t="s">
        <v>69</v>
      </c>
      <c r="U246" t="s">
        <v>69</v>
      </c>
      <c r="V246" t="s">
        <v>4418</v>
      </c>
      <c r="W246" t="s">
        <v>4419</v>
      </c>
      <c r="X246" t="s">
        <v>4420</v>
      </c>
      <c r="Y246" t="s">
        <v>69</v>
      </c>
      <c r="Z246" t="s">
        <v>69</v>
      </c>
      <c r="AA246" t="s">
        <v>69</v>
      </c>
      <c r="AB246" t="s">
        <v>69</v>
      </c>
      <c r="AC246" t="s">
        <v>69</v>
      </c>
      <c r="AD246" t="s">
        <v>69</v>
      </c>
      <c r="AE246">
        <v>80</v>
      </c>
      <c r="AF246">
        <v>1</v>
      </c>
      <c r="AG246">
        <v>1</v>
      </c>
      <c r="AH246">
        <v>0</v>
      </c>
      <c r="AI246">
        <v>2</v>
      </c>
      <c r="AJ246" t="s">
        <v>4421</v>
      </c>
      <c r="AK246" t="s">
        <v>4422</v>
      </c>
      <c r="AL246" t="s">
        <v>4423</v>
      </c>
      <c r="AM246" t="s">
        <v>4424</v>
      </c>
      <c r="AN246" t="s">
        <v>69</v>
      </c>
      <c r="AO246" t="s">
        <v>69</v>
      </c>
      <c r="AP246" t="s">
        <v>4425</v>
      </c>
      <c r="AQ246" t="s">
        <v>4426</v>
      </c>
      <c r="AR246" t="s">
        <v>490</v>
      </c>
      <c r="AS246">
        <v>1999</v>
      </c>
      <c r="AT246">
        <v>35</v>
      </c>
      <c r="AU246">
        <v>2</v>
      </c>
      <c r="AV246" t="s">
        <v>69</v>
      </c>
      <c r="AW246" t="s">
        <v>69</v>
      </c>
      <c r="AX246" t="s">
        <v>69</v>
      </c>
      <c r="AY246" t="s">
        <v>69</v>
      </c>
      <c r="AZ246">
        <v>149</v>
      </c>
      <c r="BA246">
        <v>168</v>
      </c>
      <c r="BB246" t="s">
        <v>69</v>
      </c>
      <c r="BC246" t="s">
        <v>4427</v>
      </c>
      <c r="BD246" t="s">
        <v>69</v>
      </c>
      <c r="BE246" t="s">
        <v>69</v>
      </c>
      <c r="BF246">
        <v>20</v>
      </c>
      <c r="BG246" t="s">
        <v>493</v>
      </c>
      <c r="BH246" t="s">
        <v>493</v>
      </c>
      <c r="BI246" t="s">
        <v>4428</v>
      </c>
      <c r="BJ246" t="s">
        <v>4429</v>
      </c>
      <c r="BK246" t="s">
        <v>69</v>
      </c>
      <c r="BL246" t="s">
        <v>69</v>
      </c>
      <c r="BM246" t="s">
        <v>69</v>
      </c>
      <c r="BN246" t="s">
        <v>69</v>
      </c>
      <c r="BO246" t="s">
        <v>95</v>
      </c>
      <c r="BP246" t="s">
        <v>69</v>
      </c>
    </row>
    <row r="247" spans="1:68" x14ac:dyDescent="0.15">
      <c r="A247" t="s">
        <v>67</v>
      </c>
      <c r="B247" t="s">
        <v>4430</v>
      </c>
      <c r="C247" t="s">
        <v>69</v>
      </c>
      <c r="D247" t="s">
        <v>69</v>
      </c>
      <c r="E247" t="s">
        <v>69</v>
      </c>
      <c r="F247" t="s">
        <v>4430</v>
      </c>
      <c r="G247" t="s">
        <v>69</v>
      </c>
      <c r="H247" t="s">
        <v>69</v>
      </c>
      <c r="I247" t="s">
        <v>4431</v>
      </c>
      <c r="J247" t="s">
        <v>4432</v>
      </c>
      <c r="K247" t="s">
        <v>69</v>
      </c>
      <c r="L247" t="s">
        <v>69</v>
      </c>
      <c r="M247" t="s">
        <v>73</v>
      </c>
      <c r="N247" t="s">
        <v>969</v>
      </c>
      <c r="O247" t="s">
        <v>4433</v>
      </c>
      <c r="P247" t="s">
        <v>4434</v>
      </c>
      <c r="Q247" t="s">
        <v>4435</v>
      </c>
      <c r="R247" t="s">
        <v>69</v>
      </c>
      <c r="S247" t="s">
        <v>69</v>
      </c>
      <c r="T247" t="s">
        <v>4436</v>
      </c>
      <c r="U247" t="s">
        <v>4437</v>
      </c>
      <c r="V247" t="s">
        <v>4438</v>
      </c>
      <c r="W247" t="s">
        <v>4439</v>
      </c>
      <c r="X247" t="s">
        <v>4440</v>
      </c>
      <c r="Y247" t="s">
        <v>4441</v>
      </c>
      <c r="Z247" t="s">
        <v>69</v>
      </c>
      <c r="AA247" t="s">
        <v>4442</v>
      </c>
      <c r="AB247" t="s">
        <v>69</v>
      </c>
      <c r="AC247" t="s">
        <v>69</v>
      </c>
      <c r="AD247" t="s">
        <v>69</v>
      </c>
      <c r="AE247">
        <v>58</v>
      </c>
      <c r="AF247">
        <v>20</v>
      </c>
      <c r="AG247">
        <v>21</v>
      </c>
      <c r="AH247">
        <v>0</v>
      </c>
      <c r="AI247">
        <v>3</v>
      </c>
      <c r="AJ247" t="s">
        <v>4443</v>
      </c>
      <c r="AK247" t="s">
        <v>4444</v>
      </c>
      <c r="AL247" t="s">
        <v>4445</v>
      </c>
      <c r="AM247" t="s">
        <v>4446</v>
      </c>
      <c r="AN247" t="s">
        <v>69</v>
      </c>
      <c r="AO247" t="s">
        <v>69</v>
      </c>
      <c r="AP247" t="s">
        <v>4447</v>
      </c>
      <c r="AQ247" t="s">
        <v>4448</v>
      </c>
      <c r="AR247" t="s">
        <v>1374</v>
      </c>
      <c r="AS247">
        <v>1998</v>
      </c>
      <c r="AT247">
        <v>26</v>
      </c>
      <c r="AU247">
        <v>3</v>
      </c>
      <c r="AV247" t="s">
        <v>69</v>
      </c>
      <c r="AW247" t="s">
        <v>69</v>
      </c>
      <c r="AX247" t="s">
        <v>69</v>
      </c>
      <c r="AY247" t="s">
        <v>69</v>
      </c>
      <c r="AZ247">
        <v>173</v>
      </c>
      <c r="BA247">
        <v>180</v>
      </c>
      <c r="BB247" t="s">
        <v>69</v>
      </c>
      <c r="BC247" t="s">
        <v>4449</v>
      </c>
      <c r="BD247" t="s">
        <v>69</v>
      </c>
      <c r="BE247" t="s">
        <v>69</v>
      </c>
      <c r="BF247">
        <v>8</v>
      </c>
      <c r="BG247" t="s">
        <v>424</v>
      </c>
      <c r="BH247" t="s">
        <v>424</v>
      </c>
      <c r="BI247" t="s">
        <v>4450</v>
      </c>
      <c r="BJ247" t="s">
        <v>4451</v>
      </c>
      <c r="BK247">
        <v>9768446</v>
      </c>
      <c r="BL247" t="s">
        <v>69</v>
      </c>
      <c r="BM247" t="s">
        <v>69</v>
      </c>
      <c r="BN247" t="s">
        <v>69</v>
      </c>
      <c r="BO247" t="s">
        <v>95</v>
      </c>
      <c r="BP247" t="s">
        <v>69</v>
      </c>
    </row>
    <row r="248" spans="1:68" x14ac:dyDescent="0.15">
      <c r="A248" t="s">
        <v>67</v>
      </c>
      <c r="B248" t="s">
        <v>4452</v>
      </c>
      <c r="C248" t="s">
        <v>69</v>
      </c>
      <c r="D248" t="s">
        <v>69</v>
      </c>
      <c r="E248" t="s">
        <v>69</v>
      </c>
      <c r="F248" t="s">
        <v>4452</v>
      </c>
      <c r="G248" t="s">
        <v>69</v>
      </c>
      <c r="H248" t="s">
        <v>69</v>
      </c>
      <c r="I248" t="s">
        <v>4453</v>
      </c>
      <c r="J248" t="s">
        <v>4454</v>
      </c>
      <c r="K248" t="s">
        <v>69</v>
      </c>
      <c r="L248" t="s">
        <v>69</v>
      </c>
      <c r="M248" t="s">
        <v>73</v>
      </c>
      <c r="N248" t="s">
        <v>74</v>
      </c>
      <c r="O248" t="s">
        <v>69</v>
      </c>
      <c r="P248" t="s">
        <v>69</v>
      </c>
      <c r="Q248" t="s">
        <v>69</v>
      </c>
      <c r="R248" t="s">
        <v>69</v>
      </c>
      <c r="S248" t="s">
        <v>69</v>
      </c>
      <c r="T248" t="s">
        <v>69</v>
      </c>
      <c r="U248" t="s">
        <v>4455</v>
      </c>
      <c r="V248" t="s">
        <v>4456</v>
      </c>
      <c r="W248" t="s">
        <v>4457</v>
      </c>
      <c r="X248" t="s">
        <v>4458</v>
      </c>
      <c r="Y248" t="s">
        <v>69</v>
      </c>
      <c r="Z248" t="s">
        <v>69</v>
      </c>
      <c r="AA248" t="s">
        <v>69</v>
      </c>
      <c r="AB248" t="s">
        <v>69</v>
      </c>
      <c r="AC248" t="s">
        <v>69</v>
      </c>
      <c r="AD248" t="s">
        <v>69</v>
      </c>
      <c r="AE248">
        <v>32</v>
      </c>
      <c r="AF248">
        <v>59</v>
      </c>
      <c r="AG248">
        <v>60</v>
      </c>
      <c r="AH248">
        <v>0</v>
      </c>
      <c r="AI248">
        <v>10</v>
      </c>
      <c r="AJ248" t="s">
        <v>4459</v>
      </c>
      <c r="AK248" t="s">
        <v>4460</v>
      </c>
      <c r="AL248" t="s">
        <v>4461</v>
      </c>
      <c r="AM248" t="s">
        <v>4462</v>
      </c>
      <c r="AN248" t="s">
        <v>69</v>
      </c>
      <c r="AO248" t="s">
        <v>69</v>
      </c>
      <c r="AP248" t="s">
        <v>4463</v>
      </c>
      <c r="AQ248" t="s">
        <v>4464</v>
      </c>
      <c r="AR248" t="s">
        <v>579</v>
      </c>
      <c r="AS248">
        <v>1998</v>
      </c>
      <c r="AT248">
        <v>76</v>
      </c>
      <c r="AU248">
        <v>4</v>
      </c>
      <c r="AV248" t="s">
        <v>69</v>
      </c>
      <c r="AW248" t="s">
        <v>69</v>
      </c>
      <c r="AX248" t="s">
        <v>69</v>
      </c>
      <c r="AY248" t="s">
        <v>69</v>
      </c>
      <c r="AZ248">
        <v>1437</v>
      </c>
      <c r="BA248">
        <v>1464</v>
      </c>
      <c r="BB248" t="s">
        <v>69</v>
      </c>
      <c r="BC248" t="s">
        <v>4465</v>
      </c>
      <c r="BD248" t="s">
        <v>69</v>
      </c>
      <c r="BE248" t="s">
        <v>69</v>
      </c>
      <c r="BF248">
        <v>28</v>
      </c>
      <c r="BG248" t="s">
        <v>493</v>
      </c>
      <c r="BH248" t="s">
        <v>493</v>
      </c>
      <c r="BI248" t="s">
        <v>4466</v>
      </c>
      <c r="BJ248" t="s">
        <v>4467</v>
      </c>
      <c r="BK248" t="s">
        <v>69</v>
      </c>
      <c r="BL248" t="s">
        <v>69</v>
      </c>
      <c r="BM248" t="s">
        <v>69</v>
      </c>
      <c r="BN248" t="s">
        <v>69</v>
      </c>
      <c r="BO248" t="s">
        <v>95</v>
      </c>
      <c r="BP248" t="s">
        <v>69</v>
      </c>
    </row>
    <row r="249" spans="1:68" x14ac:dyDescent="0.15">
      <c r="A249" t="s">
        <v>67</v>
      </c>
      <c r="B249" t="s">
        <v>4468</v>
      </c>
      <c r="C249" t="s">
        <v>69</v>
      </c>
      <c r="D249" t="s">
        <v>69</v>
      </c>
      <c r="E249" t="s">
        <v>69</v>
      </c>
      <c r="F249" t="s">
        <v>4468</v>
      </c>
      <c r="G249" t="s">
        <v>69</v>
      </c>
      <c r="H249" t="s">
        <v>69</v>
      </c>
      <c r="I249" t="s">
        <v>4469</v>
      </c>
      <c r="J249" t="s">
        <v>4470</v>
      </c>
      <c r="K249" t="s">
        <v>69</v>
      </c>
      <c r="L249" t="s">
        <v>69</v>
      </c>
      <c r="M249" t="s">
        <v>73</v>
      </c>
      <c r="N249" t="s">
        <v>318</v>
      </c>
      <c r="O249" t="s">
        <v>69</v>
      </c>
      <c r="P249" t="s">
        <v>69</v>
      </c>
      <c r="Q249" t="s">
        <v>69</v>
      </c>
      <c r="R249" t="s">
        <v>69</v>
      </c>
      <c r="S249" t="s">
        <v>69</v>
      </c>
      <c r="T249" t="s">
        <v>4471</v>
      </c>
      <c r="U249" t="s">
        <v>4472</v>
      </c>
      <c r="V249" t="s">
        <v>4473</v>
      </c>
      <c r="W249" t="s">
        <v>4474</v>
      </c>
      <c r="X249" t="s">
        <v>4475</v>
      </c>
      <c r="Y249" t="s">
        <v>4476</v>
      </c>
      <c r="Z249" t="s">
        <v>69</v>
      </c>
      <c r="AA249" t="s">
        <v>69</v>
      </c>
      <c r="AB249" t="s">
        <v>69</v>
      </c>
      <c r="AC249" t="s">
        <v>69</v>
      </c>
      <c r="AD249" t="s">
        <v>69</v>
      </c>
      <c r="AE249">
        <v>107</v>
      </c>
      <c r="AF249">
        <v>107</v>
      </c>
      <c r="AG249">
        <v>109</v>
      </c>
      <c r="AH249">
        <v>0</v>
      </c>
      <c r="AI249">
        <v>38</v>
      </c>
      <c r="AJ249" t="s">
        <v>4062</v>
      </c>
      <c r="AK249" t="s">
        <v>4063</v>
      </c>
      <c r="AL249" t="s">
        <v>4064</v>
      </c>
      <c r="AM249" t="s">
        <v>4477</v>
      </c>
      <c r="AN249" t="s">
        <v>69</v>
      </c>
      <c r="AO249" t="s">
        <v>69</v>
      </c>
      <c r="AP249" t="s">
        <v>4478</v>
      </c>
      <c r="AQ249" t="s">
        <v>4479</v>
      </c>
      <c r="AR249" t="s">
        <v>69</v>
      </c>
      <c r="AS249">
        <v>1998</v>
      </c>
      <c r="AT249">
        <v>49</v>
      </c>
      <c r="AU249" t="s">
        <v>69</v>
      </c>
      <c r="AV249" t="s">
        <v>69</v>
      </c>
      <c r="AW249" t="s">
        <v>69</v>
      </c>
      <c r="AX249" t="s">
        <v>69</v>
      </c>
      <c r="AY249" t="s">
        <v>69</v>
      </c>
      <c r="AZ249">
        <v>559</v>
      </c>
      <c r="BA249">
        <v>584</v>
      </c>
      <c r="BB249" t="s">
        <v>69</v>
      </c>
      <c r="BC249" t="s">
        <v>4480</v>
      </c>
      <c r="BD249" t="s">
        <v>69</v>
      </c>
      <c r="BE249" t="s">
        <v>69</v>
      </c>
      <c r="BF249">
        <v>26</v>
      </c>
      <c r="BG249" t="s">
        <v>4481</v>
      </c>
      <c r="BH249" t="s">
        <v>288</v>
      </c>
      <c r="BI249" t="s">
        <v>4482</v>
      </c>
      <c r="BJ249" t="s">
        <v>4483</v>
      </c>
      <c r="BK249">
        <v>15012474</v>
      </c>
      <c r="BL249" t="s">
        <v>69</v>
      </c>
      <c r="BM249" t="s">
        <v>69</v>
      </c>
      <c r="BN249" t="s">
        <v>69</v>
      </c>
      <c r="BO249" t="s">
        <v>95</v>
      </c>
      <c r="BP249" t="s">
        <v>69</v>
      </c>
    </row>
    <row r="250" spans="1:68" x14ac:dyDescent="0.15">
      <c r="A250" t="s">
        <v>67</v>
      </c>
      <c r="B250" t="s">
        <v>4484</v>
      </c>
      <c r="C250" t="s">
        <v>69</v>
      </c>
      <c r="D250" t="s">
        <v>69</v>
      </c>
      <c r="E250" t="s">
        <v>69</v>
      </c>
      <c r="F250" t="s">
        <v>4484</v>
      </c>
      <c r="G250" t="s">
        <v>69</v>
      </c>
      <c r="H250" t="s">
        <v>69</v>
      </c>
      <c r="I250" t="s">
        <v>4485</v>
      </c>
      <c r="J250" t="s">
        <v>3038</v>
      </c>
      <c r="K250" t="s">
        <v>69</v>
      </c>
      <c r="L250" t="s">
        <v>69</v>
      </c>
      <c r="M250" t="s">
        <v>73</v>
      </c>
      <c r="N250" t="s">
        <v>74</v>
      </c>
      <c r="O250" t="s">
        <v>69</v>
      </c>
      <c r="P250" t="s">
        <v>69</v>
      </c>
      <c r="Q250" t="s">
        <v>69</v>
      </c>
      <c r="R250" t="s">
        <v>69</v>
      </c>
      <c r="S250" t="s">
        <v>69</v>
      </c>
      <c r="T250" t="s">
        <v>69</v>
      </c>
      <c r="U250" t="s">
        <v>4486</v>
      </c>
      <c r="V250" t="s">
        <v>4487</v>
      </c>
      <c r="W250" t="s">
        <v>4488</v>
      </c>
      <c r="X250" t="s">
        <v>4489</v>
      </c>
      <c r="Y250" t="s">
        <v>69</v>
      </c>
      <c r="Z250" t="s">
        <v>4490</v>
      </c>
      <c r="AA250" t="s">
        <v>69</v>
      </c>
      <c r="AB250" t="s">
        <v>69</v>
      </c>
      <c r="AC250" t="s">
        <v>69</v>
      </c>
      <c r="AD250" t="s">
        <v>69</v>
      </c>
      <c r="AE250">
        <v>160</v>
      </c>
      <c r="AF250">
        <v>948</v>
      </c>
      <c r="AG250">
        <v>973</v>
      </c>
      <c r="AH250">
        <v>5</v>
      </c>
      <c r="AI250">
        <v>210</v>
      </c>
      <c r="AJ250" t="s">
        <v>4097</v>
      </c>
      <c r="AK250" t="s">
        <v>4098</v>
      </c>
      <c r="AL250" t="s">
        <v>4491</v>
      </c>
      <c r="AM250" t="s">
        <v>3043</v>
      </c>
      <c r="AN250" t="s">
        <v>69</v>
      </c>
      <c r="AO250" t="s">
        <v>69</v>
      </c>
      <c r="AP250" t="s">
        <v>3045</v>
      </c>
      <c r="AQ250" t="s">
        <v>3046</v>
      </c>
      <c r="AR250" t="s">
        <v>3983</v>
      </c>
      <c r="AS250">
        <v>1997</v>
      </c>
      <c r="AT250">
        <v>31</v>
      </c>
      <c r="AU250">
        <v>4</v>
      </c>
      <c r="AV250" t="s">
        <v>69</v>
      </c>
      <c r="AW250" t="s">
        <v>69</v>
      </c>
      <c r="AX250" t="s">
        <v>69</v>
      </c>
      <c r="AY250" t="s">
        <v>69</v>
      </c>
      <c r="AZ250">
        <v>826</v>
      </c>
      <c r="BA250">
        <v>874</v>
      </c>
      <c r="BB250" t="s">
        <v>69</v>
      </c>
      <c r="BC250" t="s">
        <v>4492</v>
      </c>
      <c r="BD250" t="s">
        <v>69</v>
      </c>
      <c r="BE250" t="s">
        <v>69</v>
      </c>
      <c r="BF250">
        <v>49</v>
      </c>
      <c r="BG250" t="s">
        <v>604</v>
      </c>
      <c r="BH250" t="s">
        <v>604</v>
      </c>
      <c r="BI250" t="s">
        <v>4493</v>
      </c>
      <c r="BJ250" t="s">
        <v>4494</v>
      </c>
      <c r="BK250">
        <v>12293207</v>
      </c>
      <c r="BL250" t="s">
        <v>69</v>
      </c>
      <c r="BM250" t="s">
        <v>69</v>
      </c>
      <c r="BN250" t="s">
        <v>69</v>
      </c>
      <c r="BO250" t="s">
        <v>95</v>
      </c>
      <c r="BP250" t="s">
        <v>69</v>
      </c>
    </row>
    <row r="251" spans="1:68" x14ac:dyDescent="0.15">
      <c r="A251" t="s">
        <v>67</v>
      </c>
      <c r="B251" t="s">
        <v>4495</v>
      </c>
      <c r="C251" t="s">
        <v>69</v>
      </c>
      <c r="D251" t="s">
        <v>69</v>
      </c>
      <c r="E251" t="s">
        <v>69</v>
      </c>
      <c r="F251" t="s">
        <v>4495</v>
      </c>
      <c r="G251" t="s">
        <v>69</v>
      </c>
      <c r="H251" t="s">
        <v>69</v>
      </c>
      <c r="I251" t="s">
        <v>4496</v>
      </c>
      <c r="J251" t="s">
        <v>3038</v>
      </c>
      <c r="K251" t="s">
        <v>69</v>
      </c>
      <c r="L251" t="s">
        <v>69</v>
      </c>
      <c r="M251" t="s">
        <v>73</v>
      </c>
      <c r="N251" t="s">
        <v>74</v>
      </c>
      <c r="O251" t="s">
        <v>69</v>
      </c>
      <c r="P251" t="s">
        <v>69</v>
      </c>
      <c r="Q251" t="s">
        <v>69</v>
      </c>
      <c r="R251" t="s">
        <v>69</v>
      </c>
      <c r="S251" t="s">
        <v>69</v>
      </c>
      <c r="T251" t="s">
        <v>69</v>
      </c>
      <c r="U251" t="s">
        <v>3536</v>
      </c>
      <c r="V251" t="s">
        <v>4497</v>
      </c>
      <c r="W251" t="s">
        <v>4498</v>
      </c>
      <c r="X251" t="s">
        <v>69</v>
      </c>
      <c r="Y251" t="s">
        <v>69</v>
      </c>
      <c r="Z251" t="s">
        <v>69</v>
      </c>
      <c r="AA251" t="s">
        <v>69</v>
      </c>
      <c r="AB251" t="s">
        <v>69</v>
      </c>
      <c r="AC251" t="s">
        <v>69</v>
      </c>
      <c r="AD251" t="s">
        <v>69</v>
      </c>
      <c r="AE251">
        <v>40</v>
      </c>
      <c r="AF251">
        <v>48</v>
      </c>
      <c r="AG251">
        <v>48</v>
      </c>
      <c r="AH251">
        <v>0</v>
      </c>
      <c r="AI251">
        <v>6</v>
      </c>
      <c r="AJ251" t="s">
        <v>4097</v>
      </c>
      <c r="AK251" t="s">
        <v>4098</v>
      </c>
      <c r="AL251" t="s">
        <v>4491</v>
      </c>
      <c r="AM251" t="s">
        <v>3043</v>
      </c>
      <c r="AN251" t="s">
        <v>69</v>
      </c>
      <c r="AO251" t="s">
        <v>69</v>
      </c>
      <c r="AP251" t="s">
        <v>3045</v>
      </c>
      <c r="AQ251" t="s">
        <v>3046</v>
      </c>
      <c r="AR251" t="s">
        <v>3983</v>
      </c>
      <c r="AS251">
        <v>1997</v>
      </c>
      <c r="AT251">
        <v>31</v>
      </c>
      <c r="AU251">
        <v>4</v>
      </c>
      <c r="AV251" t="s">
        <v>69</v>
      </c>
      <c r="AW251" t="s">
        <v>69</v>
      </c>
      <c r="AX251" t="s">
        <v>69</v>
      </c>
      <c r="AY251" t="s">
        <v>69</v>
      </c>
      <c r="AZ251">
        <v>1096</v>
      </c>
      <c r="BA251">
        <v>1111</v>
      </c>
      <c r="BB251" t="s">
        <v>69</v>
      </c>
      <c r="BC251" t="s">
        <v>4499</v>
      </c>
      <c r="BD251" t="s">
        <v>69</v>
      </c>
      <c r="BE251" t="s">
        <v>69</v>
      </c>
      <c r="BF251">
        <v>16</v>
      </c>
      <c r="BG251" t="s">
        <v>604</v>
      </c>
      <c r="BH251" t="s">
        <v>604</v>
      </c>
      <c r="BI251" t="s">
        <v>4493</v>
      </c>
      <c r="BJ251" t="s">
        <v>4500</v>
      </c>
      <c r="BK251" t="s">
        <v>69</v>
      </c>
      <c r="BL251" t="s">
        <v>69</v>
      </c>
      <c r="BM251" t="s">
        <v>69</v>
      </c>
      <c r="BN251" t="s">
        <v>69</v>
      </c>
      <c r="BO251" t="s">
        <v>95</v>
      </c>
      <c r="BP251" t="s">
        <v>69</v>
      </c>
    </row>
    <row r="252" spans="1:68" x14ac:dyDescent="0.15">
      <c r="A252" t="s">
        <v>67</v>
      </c>
      <c r="B252" t="s">
        <v>4501</v>
      </c>
      <c r="C252" t="s">
        <v>69</v>
      </c>
      <c r="D252" t="s">
        <v>69</v>
      </c>
      <c r="E252" t="s">
        <v>69</v>
      </c>
      <c r="F252" t="s">
        <v>4501</v>
      </c>
      <c r="G252" t="s">
        <v>69</v>
      </c>
      <c r="H252" t="s">
        <v>69</v>
      </c>
      <c r="I252" t="s">
        <v>4502</v>
      </c>
      <c r="J252" t="s">
        <v>4503</v>
      </c>
      <c r="K252" t="s">
        <v>69</v>
      </c>
      <c r="L252" t="s">
        <v>69</v>
      </c>
      <c r="M252" t="s">
        <v>73</v>
      </c>
      <c r="N252" t="s">
        <v>74</v>
      </c>
      <c r="O252" t="s">
        <v>69</v>
      </c>
      <c r="P252" t="s">
        <v>69</v>
      </c>
      <c r="Q252" t="s">
        <v>69</v>
      </c>
      <c r="R252" t="s">
        <v>69</v>
      </c>
      <c r="S252" t="s">
        <v>69</v>
      </c>
      <c r="T252" t="s">
        <v>69</v>
      </c>
      <c r="U252" t="s">
        <v>69</v>
      </c>
      <c r="V252" t="s">
        <v>4504</v>
      </c>
      <c r="W252" t="s">
        <v>4505</v>
      </c>
      <c r="X252" t="s">
        <v>4506</v>
      </c>
      <c r="Y252" t="s">
        <v>69</v>
      </c>
      <c r="Z252" t="s">
        <v>69</v>
      </c>
      <c r="AA252" t="s">
        <v>69</v>
      </c>
      <c r="AB252" t="s">
        <v>69</v>
      </c>
      <c r="AC252" t="s">
        <v>69</v>
      </c>
      <c r="AD252" t="s">
        <v>69</v>
      </c>
      <c r="AE252">
        <v>43</v>
      </c>
      <c r="AF252">
        <v>11</v>
      </c>
      <c r="AG252">
        <v>11</v>
      </c>
      <c r="AH252">
        <v>0</v>
      </c>
      <c r="AI252">
        <v>5</v>
      </c>
      <c r="AJ252" t="s">
        <v>4507</v>
      </c>
      <c r="AK252" t="s">
        <v>4508</v>
      </c>
      <c r="AL252" t="s">
        <v>4509</v>
      </c>
      <c r="AM252" t="s">
        <v>4510</v>
      </c>
      <c r="AN252" t="s">
        <v>69</v>
      </c>
      <c r="AO252" t="s">
        <v>69</v>
      </c>
      <c r="AP252" t="s">
        <v>4511</v>
      </c>
      <c r="AQ252" t="s">
        <v>4512</v>
      </c>
      <c r="AR252" t="s">
        <v>3503</v>
      </c>
      <c r="AS252">
        <v>1997</v>
      </c>
      <c r="AT252">
        <v>78</v>
      </c>
      <c r="AU252">
        <v>3</v>
      </c>
      <c r="AV252" t="s">
        <v>69</v>
      </c>
      <c r="AW252" t="s">
        <v>69</v>
      </c>
      <c r="AX252" t="s">
        <v>69</v>
      </c>
      <c r="AY252" t="s">
        <v>69</v>
      </c>
      <c r="AZ252">
        <v>240</v>
      </c>
      <c r="BA252">
        <v>254</v>
      </c>
      <c r="BB252" t="s">
        <v>69</v>
      </c>
      <c r="BC252" t="s">
        <v>4513</v>
      </c>
      <c r="BD252" t="s">
        <v>69</v>
      </c>
      <c r="BE252" t="s">
        <v>69</v>
      </c>
      <c r="BF252">
        <v>15</v>
      </c>
      <c r="BG252" t="s">
        <v>1357</v>
      </c>
      <c r="BH252" t="s">
        <v>1357</v>
      </c>
      <c r="BI252" t="s">
        <v>4514</v>
      </c>
      <c r="BJ252" t="s">
        <v>4515</v>
      </c>
      <c r="BK252" t="s">
        <v>69</v>
      </c>
      <c r="BL252" t="s">
        <v>69</v>
      </c>
      <c r="BM252" t="s">
        <v>69</v>
      </c>
      <c r="BN252" t="s">
        <v>69</v>
      </c>
      <c r="BO252" t="s">
        <v>95</v>
      </c>
      <c r="BP252" t="s">
        <v>69</v>
      </c>
    </row>
    <row r="253" spans="1:68" x14ac:dyDescent="0.15">
      <c r="A253" t="s">
        <v>67</v>
      </c>
      <c r="B253" t="s">
        <v>4516</v>
      </c>
      <c r="C253" t="s">
        <v>69</v>
      </c>
      <c r="D253" t="s">
        <v>69</v>
      </c>
      <c r="E253" t="s">
        <v>69</v>
      </c>
      <c r="F253" t="s">
        <v>4516</v>
      </c>
      <c r="G253" t="s">
        <v>69</v>
      </c>
      <c r="H253" t="s">
        <v>69</v>
      </c>
      <c r="I253" t="s">
        <v>4517</v>
      </c>
      <c r="J253" t="s">
        <v>4518</v>
      </c>
      <c r="K253" t="s">
        <v>69</v>
      </c>
      <c r="L253" t="s">
        <v>69</v>
      </c>
      <c r="M253" t="s">
        <v>73</v>
      </c>
      <c r="N253" t="s">
        <v>74</v>
      </c>
      <c r="O253" t="s">
        <v>69</v>
      </c>
      <c r="P253" t="s">
        <v>69</v>
      </c>
      <c r="Q253" t="s">
        <v>69</v>
      </c>
      <c r="R253" t="s">
        <v>69</v>
      </c>
      <c r="S253" t="s">
        <v>69</v>
      </c>
      <c r="T253" t="s">
        <v>4519</v>
      </c>
      <c r="U253" t="s">
        <v>4520</v>
      </c>
      <c r="V253" t="s">
        <v>4521</v>
      </c>
      <c r="W253" t="s">
        <v>4522</v>
      </c>
      <c r="X253" t="s">
        <v>4523</v>
      </c>
      <c r="Y253" t="s">
        <v>69</v>
      </c>
      <c r="Z253" t="s">
        <v>69</v>
      </c>
      <c r="AA253" t="s">
        <v>69</v>
      </c>
      <c r="AB253" t="s">
        <v>69</v>
      </c>
      <c r="AC253" t="s">
        <v>69</v>
      </c>
      <c r="AD253" t="s">
        <v>69</v>
      </c>
      <c r="AE253">
        <v>57</v>
      </c>
      <c r="AF253">
        <v>3</v>
      </c>
      <c r="AG253">
        <v>3</v>
      </c>
      <c r="AH253">
        <v>0</v>
      </c>
      <c r="AI253">
        <v>3</v>
      </c>
      <c r="AJ253" t="s">
        <v>953</v>
      </c>
      <c r="AK253" t="s">
        <v>954</v>
      </c>
      <c r="AL253" t="s">
        <v>955</v>
      </c>
      <c r="AM253" t="s">
        <v>4524</v>
      </c>
      <c r="AN253" t="s">
        <v>4525</v>
      </c>
      <c r="AO253" t="s">
        <v>69</v>
      </c>
      <c r="AP253" t="s">
        <v>4526</v>
      </c>
      <c r="AQ253" t="s">
        <v>4527</v>
      </c>
      <c r="AR253" t="s">
        <v>69</v>
      </c>
      <c r="AS253">
        <v>1997</v>
      </c>
      <c r="AT253">
        <v>18</v>
      </c>
      <c r="AU253">
        <v>6</v>
      </c>
      <c r="AV253" t="s">
        <v>69</v>
      </c>
      <c r="AW253" t="s">
        <v>69</v>
      </c>
      <c r="AX253" t="s">
        <v>69</v>
      </c>
      <c r="AY253" t="s">
        <v>69</v>
      </c>
      <c r="AZ253">
        <v>637</v>
      </c>
      <c r="BA253">
        <v>655</v>
      </c>
      <c r="BB253" t="s">
        <v>69</v>
      </c>
      <c r="BC253" t="s">
        <v>4528</v>
      </c>
      <c r="BD253" t="s">
        <v>69</v>
      </c>
      <c r="BE253" t="s">
        <v>69</v>
      </c>
      <c r="BF253">
        <v>19</v>
      </c>
      <c r="BG253" t="s">
        <v>4529</v>
      </c>
      <c r="BH253" t="s">
        <v>4530</v>
      </c>
      <c r="BI253" t="s">
        <v>4531</v>
      </c>
      <c r="BJ253" t="s">
        <v>4532</v>
      </c>
      <c r="BK253" t="s">
        <v>69</v>
      </c>
      <c r="BL253" t="s">
        <v>69</v>
      </c>
      <c r="BM253" t="s">
        <v>69</v>
      </c>
      <c r="BN253" t="s">
        <v>69</v>
      </c>
      <c r="BO253" t="s">
        <v>95</v>
      </c>
      <c r="BP253" t="s">
        <v>69</v>
      </c>
    </row>
    <row r="254" spans="1:68" x14ac:dyDescent="0.15">
      <c r="A254" t="s">
        <v>67</v>
      </c>
      <c r="B254" t="s">
        <v>4533</v>
      </c>
      <c r="C254" t="s">
        <v>69</v>
      </c>
      <c r="D254" t="s">
        <v>69</v>
      </c>
      <c r="E254" t="s">
        <v>69</v>
      </c>
      <c r="F254" t="s">
        <v>4533</v>
      </c>
      <c r="G254" t="s">
        <v>69</v>
      </c>
      <c r="H254" t="s">
        <v>69</v>
      </c>
      <c r="I254" t="s">
        <v>4534</v>
      </c>
      <c r="J254" t="s">
        <v>4535</v>
      </c>
      <c r="K254" t="s">
        <v>69</v>
      </c>
      <c r="L254" t="s">
        <v>69</v>
      </c>
      <c r="M254" t="s">
        <v>544</v>
      </c>
      <c r="N254" t="s">
        <v>74</v>
      </c>
      <c r="O254" t="s">
        <v>69</v>
      </c>
      <c r="P254" t="s">
        <v>69</v>
      </c>
      <c r="Q254" t="s">
        <v>69</v>
      </c>
      <c r="R254" t="s">
        <v>69</v>
      </c>
      <c r="S254" t="s">
        <v>69</v>
      </c>
      <c r="T254" t="s">
        <v>69</v>
      </c>
      <c r="U254" t="s">
        <v>69</v>
      </c>
      <c r="V254" t="s">
        <v>4536</v>
      </c>
      <c r="W254" t="s">
        <v>4537</v>
      </c>
      <c r="X254" t="s">
        <v>4538</v>
      </c>
      <c r="Y254" t="s">
        <v>69</v>
      </c>
      <c r="Z254" t="s">
        <v>69</v>
      </c>
      <c r="AA254" t="s">
        <v>69</v>
      </c>
      <c r="AB254" t="s">
        <v>69</v>
      </c>
      <c r="AC254" t="s">
        <v>69</v>
      </c>
      <c r="AD254" t="s">
        <v>69</v>
      </c>
      <c r="AE254">
        <v>58</v>
      </c>
      <c r="AF254">
        <v>0</v>
      </c>
      <c r="AG254">
        <v>0</v>
      </c>
      <c r="AH254">
        <v>0</v>
      </c>
      <c r="AI254">
        <v>11</v>
      </c>
      <c r="AJ254" t="s">
        <v>4539</v>
      </c>
      <c r="AK254" t="s">
        <v>3284</v>
      </c>
      <c r="AL254" t="s">
        <v>4540</v>
      </c>
      <c r="AM254" t="s">
        <v>4541</v>
      </c>
      <c r="AN254" t="s">
        <v>69</v>
      </c>
      <c r="AO254" t="s">
        <v>69</v>
      </c>
      <c r="AP254" t="s">
        <v>4542</v>
      </c>
      <c r="AQ254" t="s">
        <v>4543</v>
      </c>
      <c r="AR254" t="s">
        <v>69</v>
      </c>
      <c r="AS254">
        <v>1997</v>
      </c>
      <c r="AT254">
        <v>48</v>
      </c>
      <c r="AU254">
        <v>3</v>
      </c>
      <c r="AV254" t="s">
        <v>69</v>
      </c>
      <c r="AW254" t="s">
        <v>69</v>
      </c>
      <c r="AX254" t="s">
        <v>69</v>
      </c>
      <c r="AY254" t="s">
        <v>69</v>
      </c>
      <c r="AZ254">
        <v>253</v>
      </c>
      <c r="BA254" t="s">
        <v>1757</v>
      </c>
      <c r="BB254" t="s">
        <v>69</v>
      </c>
      <c r="BC254" t="s">
        <v>69</v>
      </c>
      <c r="BD254" t="s">
        <v>69</v>
      </c>
      <c r="BE254" t="s">
        <v>69</v>
      </c>
      <c r="BF254">
        <v>24</v>
      </c>
      <c r="BG254" t="s">
        <v>493</v>
      </c>
      <c r="BH254" t="s">
        <v>493</v>
      </c>
      <c r="BI254" t="s">
        <v>4544</v>
      </c>
      <c r="BJ254" t="s">
        <v>4545</v>
      </c>
      <c r="BK254" t="s">
        <v>69</v>
      </c>
      <c r="BL254" t="s">
        <v>69</v>
      </c>
      <c r="BM254" t="s">
        <v>69</v>
      </c>
      <c r="BN254" t="s">
        <v>69</v>
      </c>
      <c r="BO254" t="s">
        <v>95</v>
      </c>
      <c r="BP254" t="s">
        <v>69</v>
      </c>
    </row>
    <row r="255" spans="1:68" x14ac:dyDescent="0.15">
      <c r="A255" t="s">
        <v>67</v>
      </c>
      <c r="B255" t="s">
        <v>4546</v>
      </c>
      <c r="C255" t="s">
        <v>69</v>
      </c>
      <c r="D255" t="s">
        <v>69</v>
      </c>
      <c r="E255" t="s">
        <v>69</v>
      </c>
      <c r="F255" t="s">
        <v>4546</v>
      </c>
      <c r="G255" t="s">
        <v>69</v>
      </c>
      <c r="H255" t="s">
        <v>69</v>
      </c>
      <c r="I255" t="s">
        <v>4547</v>
      </c>
      <c r="J255" t="s">
        <v>4548</v>
      </c>
      <c r="K255" t="s">
        <v>69</v>
      </c>
      <c r="L255" t="s">
        <v>69</v>
      </c>
      <c r="M255" t="s">
        <v>73</v>
      </c>
      <c r="N255" t="s">
        <v>74</v>
      </c>
      <c r="O255" t="s">
        <v>69</v>
      </c>
      <c r="P255" t="s">
        <v>69</v>
      </c>
      <c r="Q255" t="s">
        <v>69</v>
      </c>
      <c r="R255" t="s">
        <v>69</v>
      </c>
      <c r="S255" t="s">
        <v>69</v>
      </c>
      <c r="T255" t="s">
        <v>4549</v>
      </c>
      <c r="U255" t="s">
        <v>4550</v>
      </c>
      <c r="V255" t="s">
        <v>4551</v>
      </c>
      <c r="W255" t="s">
        <v>4552</v>
      </c>
      <c r="X255" t="s">
        <v>4553</v>
      </c>
      <c r="Y255" t="s">
        <v>69</v>
      </c>
      <c r="Z255" t="s">
        <v>69</v>
      </c>
      <c r="AA255" t="s">
        <v>69</v>
      </c>
      <c r="AB255" t="s">
        <v>69</v>
      </c>
      <c r="AC255" t="s">
        <v>69</v>
      </c>
      <c r="AD255" t="s">
        <v>69</v>
      </c>
      <c r="AE255">
        <v>66</v>
      </c>
      <c r="AF255">
        <v>10</v>
      </c>
      <c r="AG255">
        <v>10</v>
      </c>
      <c r="AH255">
        <v>0</v>
      </c>
      <c r="AI255">
        <v>20</v>
      </c>
      <c r="AJ255" t="s">
        <v>4554</v>
      </c>
      <c r="AK255" t="s">
        <v>702</v>
      </c>
      <c r="AL255" t="s">
        <v>4555</v>
      </c>
      <c r="AM255" t="s">
        <v>4556</v>
      </c>
      <c r="AN255" t="s">
        <v>4557</v>
      </c>
      <c r="AO255" t="s">
        <v>69</v>
      </c>
      <c r="AP255" t="s">
        <v>4558</v>
      </c>
      <c r="AQ255" t="s">
        <v>4559</v>
      </c>
      <c r="AR255" t="s">
        <v>355</v>
      </c>
      <c r="AS255">
        <v>1996</v>
      </c>
      <c r="AT255">
        <v>19</v>
      </c>
      <c r="AU255">
        <v>2</v>
      </c>
      <c r="AV255" t="s">
        <v>69</v>
      </c>
      <c r="AW255" t="s">
        <v>69</v>
      </c>
      <c r="AX255" t="s">
        <v>69</v>
      </c>
      <c r="AY255" t="s">
        <v>69</v>
      </c>
      <c r="AZ255">
        <v>74</v>
      </c>
      <c r="BA255">
        <v>87</v>
      </c>
      <c r="BB255" t="s">
        <v>69</v>
      </c>
      <c r="BC255" t="s">
        <v>4560</v>
      </c>
      <c r="BD255" t="s">
        <v>69</v>
      </c>
      <c r="BE255" t="s">
        <v>69</v>
      </c>
      <c r="BF255">
        <v>14</v>
      </c>
      <c r="BG255" t="s">
        <v>1979</v>
      </c>
      <c r="BH255" t="s">
        <v>1979</v>
      </c>
      <c r="BI255" t="s">
        <v>4561</v>
      </c>
      <c r="BJ255" t="s">
        <v>4562</v>
      </c>
      <c r="BK255">
        <v>8939290</v>
      </c>
      <c r="BL255" t="s">
        <v>69</v>
      </c>
      <c r="BM255" t="s">
        <v>69</v>
      </c>
      <c r="BN255" t="s">
        <v>69</v>
      </c>
      <c r="BO255" t="s">
        <v>95</v>
      </c>
      <c r="BP255" t="s">
        <v>69</v>
      </c>
    </row>
    <row r="256" spans="1:68" x14ac:dyDescent="0.15">
      <c r="A256" t="s">
        <v>67</v>
      </c>
      <c r="B256" t="s">
        <v>4563</v>
      </c>
      <c r="C256" t="s">
        <v>69</v>
      </c>
      <c r="D256" t="s">
        <v>69</v>
      </c>
      <c r="E256" t="s">
        <v>69</v>
      </c>
      <c r="F256" t="s">
        <v>4563</v>
      </c>
      <c r="G256" t="s">
        <v>69</v>
      </c>
      <c r="H256" t="s">
        <v>69</v>
      </c>
      <c r="I256" t="s">
        <v>4564</v>
      </c>
      <c r="J256" t="s">
        <v>3636</v>
      </c>
      <c r="K256" t="s">
        <v>69</v>
      </c>
      <c r="L256" t="s">
        <v>69</v>
      </c>
      <c r="M256" t="s">
        <v>544</v>
      </c>
      <c r="N256" t="s">
        <v>74</v>
      </c>
      <c r="O256" t="s">
        <v>69</v>
      </c>
      <c r="P256" t="s">
        <v>69</v>
      </c>
      <c r="Q256" t="s">
        <v>69</v>
      </c>
      <c r="R256" t="s">
        <v>69</v>
      </c>
      <c r="S256" t="s">
        <v>69</v>
      </c>
      <c r="T256" t="s">
        <v>69</v>
      </c>
      <c r="U256" t="s">
        <v>4565</v>
      </c>
      <c r="V256" t="s">
        <v>4566</v>
      </c>
      <c r="W256" t="s">
        <v>69</v>
      </c>
      <c r="X256" t="s">
        <v>4567</v>
      </c>
      <c r="Y256" t="s">
        <v>69</v>
      </c>
      <c r="Z256" t="s">
        <v>69</v>
      </c>
      <c r="AA256" t="s">
        <v>69</v>
      </c>
      <c r="AB256" t="s">
        <v>69</v>
      </c>
      <c r="AC256" t="s">
        <v>69</v>
      </c>
      <c r="AD256" t="s">
        <v>69</v>
      </c>
      <c r="AE256">
        <v>61</v>
      </c>
      <c r="AF256">
        <v>26</v>
      </c>
      <c r="AG256">
        <v>28</v>
      </c>
      <c r="AH256">
        <v>1</v>
      </c>
      <c r="AI256">
        <v>3</v>
      </c>
      <c r="AJ256" t="s">
        <v>4568</v>
      </c>
      <c r="AK256" t="s">
        <v>552</v>
      </c>
      <c r="AL256" t="s">
        <v>4569</v>
      </c>
      <c r="AM256" t="s">
        <v>3645</v>
      </c>
      <c r="AN256" t="s">
        <v>69</v>
      </c>
      <c r="AO256" t="s">
        <v>69</v>
      </c>
      <c r="AP256" t="s">
        <v>3647</v>
      </c>
      <c r="AQ256" t="s">
        <v>3648</v>
      </c>
      <c r="AR256" t="s">
        <v>355</v>
      </c>
      <c r="AS256">
        <v>1996</v>
      </c>
      <c r="AT256">
        <v>25</v>
      </c>
      <c r="AU256">
        <v>6</v>
      </c>
      <c r="AV256" t="s">
        <v>69</v>
      </c>
      <c r="AW256" t="s">
        <v>69</v>
      </c>
      <c r="AX256" t="s">
        <v>69</v>
      </c>
      <c r="AY256" t="s">
        <v>69</v>
      </c>
      <c r="AZ256">
        <v>456</v>
      </c>
      <c r="BA256" t="s">
        <v>4570</v>
      </c>
      <c r="BB256" t="s">
        <v>69</v>
      </c>
      <c r="BC256" t="s">
        <v>69</v>
      </c>
      <c r="BD256" t="s">
        <v>69</v>
      </c>
      <c r="BE256" t="s">
        <v>69</v>
      </c>
      <c r="BF256">
        <v>18</v>
      </c>
      <c r="BG256" t="s">
        <v>493</v>
      </c>
      <c r="BH256" t="s">
        <v>493</v>
      </c>
      <c r="BI256" t="s">
        <v>4571</v>
      </c>
      <c r="BJ256" t="s">
        <v>4572</v>
      </c>
      <c r="BK256" t="s">
        <v>69</v>
      </c>
      <c r="BL256" t="s">
        <v>69</v>
      </c>
      <c r="BM256" t="s">
        <v>69</v>
      </c>
      <c r="BN256" t="s">
        <v>69</v>
      </c>
      <c r="BO256" t="s">
        <v>95</v>
      </c>
      <c r="BP256" t="s">
        <v>69</v>
      </c>
    </row>
    <row r="257" spans="1:68" x14ac:dyDescent="0.15">
      <c r="A257" t="s">
        <v>67</v>
      </c>
      <c r="B257" t="s">
        <v>4573</v>
      </c>
      <c r="C257" t="s">
        <v>69</v>
      </c>
      <c r="D257" t="s">
        <v>69</v>
      </c>
      <c r="E257" t="s">
        <v>69</v>
      </c>
      <c r="F257" t="s">
        <v>4573</v>
      </c>
      <c r="G257" t="s">
        <v>69</v>
      </c>
      <c r="H257" t="s">
        <v>69</v>
      </c>
      <c r="I257" t="s">
        <v>4574</v>
      </c>
      <c r="J257" t="s">
        <v>695</v>
      </c>
      <c r="K257" t="s">
        <v>69</v>
      </c>
      <c r="L257" t="s">
        <v>69</v>
      </c>
      <c r="M257" t="s">
        <v>73</v>
      </c>
      <c r="N257" t="s">
        <v>74</v>
      </c>
      <c r="O257" t="s">
        <v>69</v>
      </c>
      <c r="P257" t="s">
        <v>69</v>
      </c>
      <c r="Q257" t="s">
        <v>69</v>
      </c>
      <c r="R257" t="s">
        <v>69</v>
      </c>
      <c r="S257" t="s">
        <v>69</v>
      </c>
      <c r="T257" t="s">
        <v>69</v>
      </c>
      <c r="U257" t="s">
        <v>69</v>
      </c>
      <c r="V257" t="s">
        <v>4575</v>
      </c>
      <c r="W257" t="s">
        <v>4576</v>
      </c>
      <c r="X257" t="s">
        <v>4577</v>
      </c>
      <c r="Y257" t="s">
        <v>69</v>
      </c>
      <c r="Z257" t="s">
        <v>69</v>
      </c>
      <c r="AA257" t="s">
        <v>69</v>
      </c>
      <c r="AB257" t="s">
        <v>69</v>
      </c>
      <c r="AC257" t="s">
        <v>69</v>
      </c>
      <c r="AD257" t="s">
        <v>69</v>
      </c>
      <c r="AE257">
        <v>37</v>
      </c>
      <c r="AF257">
        <v>8</v>
      </c>
      <c r="AG257">
        <v>8</v>
      </c>
      <c r="AH257">
        <v>0</v>
      </c>
      <c r="AI257">
        <v>3</v>
      </c>
      <c r="AJ257" t="s">
        <v>4578</v>
      </c>
      <c r="AK257" t="s">
        <v>4579</v>
      </c>
      <c r="AL257" t="s">
        <v>4580</v>
      </c>
      <c r="AM257" t="s">
        <v>704</v>
      </c>
      <c r="AN257" t="s">
        <v>69</v>
      </c>
      <c r="AO257" t="s">
        <v>69</v>
      </c>
      <c r="AP257" t="s">
        <v>706</v>
      </c>
      <c r="AQ257" t="s">
        <v>707</v>
      </c>
      <c r="AR257" t="s">
        <v>3993</v>
      </c>
      <c r="AS257">
        <v>1996</v>
      </c>
      <c r="AT257">
        <v>17</v>
      </c>
      <c r="AU257">
        <v>2</v>
      </c>
      <c r="AV257" t="s">
        <v>69</v>
      </c>
      <c r="AW257" t="s">
        <v>69</v>
      </c>
      <c r="AX257" t="s">
        <v>69</v>
      </c>
      <c r="AY257" t="s">
        <v>69</v>
      </c>
      <c r="AZ257">
        <v>159</v>
      </c>
      <c r="BA257">
        <v>181</v>
      </c>
      <c r="BB257" t="s">
        <v>69</v>
      </c>
      <c r="BC257" t="s">
        <v>4581</v>
      </c>
      <c r="BD257" t="s">
        <v>69</v>
      </c>
      <c r="BE257" t="s">
        <v>69</v>
      </c>
      <c r="BF257">
        <v>23</v>
      </c>
      <c r="BG257" t="s">
        <v>710</v>
      </c>
      <c r="BH257" t="s">
        <v>711</v>
      </c>
      <c r="BI257" t="s">
        <v>4582</v>
      </c>
      <c r="BJ257" t="s">
        <v>4583</v>
      </c>
      <c r="BK257" t="s">
        <v>69</v>
      </c>
      <c r="BL257" t="s">
        <v>69</v>
      </c>
      <c r="BM257" t="s">
        <v>69</v>
      </c>
      <c r="BN257" t="s">
        <v>69</v>
      </c>
      <c r="BO257" t="s">
        <v>95</v>
      </c>
      <c r="BP257" t="s">
        <v>69</v>
      </c>
    </row>
    <row r="258" spans="1:68" x14ac:dyDescent="0.15">
      <c r="A258" t="s">
        <v>3894</v>
      </c>
      <c r="B258" t="s">
        <v>4584</v>
      </c>
      <c r="C258" t="s">
        <v>69</v>
      </c>
      <c r="D258" t="s">
        <v>4585</v>
      </c>
      <c r="E258" t="s">
        <v>69</v>
      </c>
      <c r="F258" t="s">
        <v>4584</v>
      </c>
      <c r="G258" t="s">
        <v>69</v>
      </c>
      <c r="H258" t="s">
        <v>69</v>
      </c>
      <c r="I258" t="s">
        <v>4586</v>
      </c>
      <c r="J258" t="s">
        <v>4587</v>
      </c>
      <c r="K258" t="s">
        <v>4588</v>
      </c>
      <c r="L258" t="s">
        <v>69</v>
      </c>
      <c r="M258" t="s">
        <v>73</v>
      </c>
      <c r="N258" t="s">
        <v>969</v>
      </c>
      <c r="O258" t="s">
        <v>4589</v>
      </c>
      <c r="P258" t="s">
        <v>4590</v>
      </c>
      <c r="Q258" t="s">
        <v>4591</v>
      </c>
      <c r="R258" t="s">
        <v>4592</v>
      </c>
      <c r="S258" t="s">
        <v>69</v>
      </c>
      <c r="T258" t="s">
        <v>69</v>
      </c>
      <c r="U258" t="s">
        <v>69</v>
      </c>
      <c r="V258" t="s">
        <v>4593</v>
      </c>
      <c r="W258" t="s">
        <v>69</v>
      </c>
      <c r="X258" t="s">
        <v>4594</v>
      </c>
      <c r="Y258" t="s">
        <v>69</v>
      </c>
      <c r="Z258" t="s">
        <v>69</v>
      </c>
      <c r="AA258" t="s">
        <v>69</v>
      </c>
      <c r="AB258" t="s">
        <v>69</v>
      </c>
      <c r="AC258" t="s">
        <v>69</v>
      </c>
      <c r="AD258" t="s">
        <v>69</v>
      </c>
      <c r="AE258">
        <v>29</v>
      </c>
      <c r="AF258">
        <v>7</v>
      </c>
      <c r="AG258">
        <v>7</v>
      </c>
      <c r="AH258">
        <v>0</v>
      </c>
      <c r="AI258">
        <v>1</v>
      </c>
      <c r="AJ258" t="s">
        <v>4595</v>
      </c>
      <c r="AK258" t="s">
        <v>4596</v>
      </c>
      <c r="AL258" t="s">
        <v>4597</v>
      </c>
      <c r="AM258" t="s">
        <v>4598</v>
      </c>
      <c r="AN258" t="s">
        <v>69</v>
      </c>
      <c r="AO258" t="s">
        <v>4599</v>
      </c>
      <c r="AP258" t="s">
        <v>4600</v>
      </c>
      <c r="AQ258" t="s">
        <v>69</v>
      </c>
      <c r="AR258" t="s">
        <v>69</v>
      </c>
      <c r="AS258">
        <v>1996</v>
      </c>
      <c r="AT258">
        <v>23</v>
      </c>
      <c r="AU258" t="s">
        <v>69</v>
      </c>
      <c r="AV258" t="s">
        <v>69</v>
      </c>
      <c r="AW258" t="s">
        <v>69</v>
      </c>
      <c r="AX258" t="s">
        <v>69</v>
      </c>
      <c r="AY258" t="s">
        <v>69</v>
      </c>
      <c r="AZ258">
        <v>418</v>
      </c>
      <c r="BA258">
        <v>423</v>
      </c>
      <c r="BB258" t="s">
        <v>69</v>
      </c>
      <c r="BC258" t="s">
        <v>69</v>
      </c>
      <c r="BD258" t="s">
        <v>69</v>
      </c>
      <c r="BE258" t="s">
        <v>69</v>
      </c>
      <c r="BF258">
        <v>6</v>
      </c>
      <c r="BG258" t="s">
        <v>850</v>
      </c>
      <c r="BH258" t="s">
        <v>232</v>
      </c>
      <c r="BI258" t="s">
        <v>4601</v>
      </c>
      <c r="BJ258" t="s">
        <v>4602</v>
      </c>
      <c r="BK258" t="s">
        <v>69</v>
      </c>
      <c r="BL258" t="s">
        <v>69</v>
      </c>
      <c r="BM258" t="s">
        <v>69</v>
      </c>
      <c r="BN258" t="s">
        <v>69</v>
      </c>
      <c r="BO258" t="s">
        <v>95</v>
      </c>
      <c r="BP258" t="s">
        <v>69</v>
      </c>
    </row>
    <row r="259" spans="1:68" x14ac:dyDescent="0.15">
      <c r="A259" t="s">
        <v>67</v>
      </c>
      <c r="B259" t="s">
        <v>4603</v>
      </c>
      <c r="C259" t="s">
        <v>69</v>
      </c>
      <c r="D259" t="s">
        <v>69</v>
      </c>
      <c r="E259" t="s">
        <v>69</v>
      </c>
      <c r="F259" t="s">
        <v>4603</v>
      </c>
      <c r="G259" t="s">
        <v>69</v>
      </c>
      <c r="H259" t="s">
        <v>69</v>
      </c>
      <c r="I259" t="s">
        <v>4604</v>
      </c>
      <c r="J259" t="s">
        <v>4605</v>
      </c>
      <c r="K259" t="s">
        <v>69</v>
      </c>
      <c r="L259" t="s">
        <v>69</v>
      </c>
      <c r="M259" t="s">
        <v>73</v>
      </c>
      <c r="N259" t="s">
        <v>969</v>
      </c>
      <c r="O259" t="s">
        <v>4606</v>
      </c>
      <c r="P259" t="s">
        <v>4607</v>
      </c>
      <c r="Q259" t="s">
        <v>4608</v>
      </c>
      <c r="R259" t="s">
        <v>4609</v>
      </c>
      <c r="S259" t="s">
        <v>69</v>
      </c>
      <c r="T259" t="s">
        <v>69</v>
      </c>
      <c r="U259" t="s">
        <v>4610</v>
      </c>
      <c r="V259" t="s">
        <v>4611</v>
      </c>
      <c r="W259" t="s">
        <v>4612</v>
      </c>
      <c r="X259" t="s">
        <v>69</v>
      </c>
      <c r="Y259" t="s">
        <v>69</v>
      </c>
      <c r="Z259" t="s">
        <v>69</v>
      </c>
      <c r="AA259" t="s">
        <v>69</v>
      </c>
      <c r="AB259" t="s">
        <v>69</v>
      </c>
      <c r="AC259" t="s">
        <v>69</v>
      </c>
      <c r="AD259" t="s">
        <v>69</v>
      </c>
      <c r="AE259">
        <v>56</v>
      </c>
      <c r="AF259">
        <v>129</v>
      </c>
      <c r="AG259">
        <v>130</v>
      </c>
      <c r="AH259">
        <v>0</v>
      </c>
      <c r="AI259">
        <v>12</v>
      </c>
      <c r="AJ259" t="s">
        <v>4613</v>
      </c>
      <c r="AK259" t="s">
        <v>4614</v>
      </c>
      <c r="AL259" t="s">
        <v>4615</v>
      </c>
      <c r="AM259" t="s">
        <v>4616</v>
      </c>
      <c r="AN259" t="s">
        <v>69</v>
      </c>
      <c r="AO259" t="s">
        <v>69</v>
      </c>
      <c r="AP259" t="s">
        <v>4617</v>
      </c>
      <c r="AQ259" t="s">
        <v>4618</v>
      </c>
      <c r="AR259" t="s">
        <v>355</v>
      </c>
      <c r="AS259">
        <v>1995</v>
      </c>
      <c r="AT259">
        <v>34</v>
      </c>
      <c r="AU259">
        <v>4</v>
      </c>
      <c r="AV259" t="s">
        <v>69</v>
      </c>
      <c r="AW259" t="s">
        <v>69</v>
      </c>
      <c r="AX259" t="s">
        <v>69</v>
      </c>
      <c r="AY259" t="s">
        <v>69</v>
      </c>
      <c r="AZ259">
        <v>373</v>
      </c>
      <c r="BA259">
        <v>388</v>
      </c>
      <c r="BB259" t="s">
        <v>69</v>
      </c>
      <c r="BC259" t="s">
        <v>4619</v>
      </c>
      <c r="BD259" t="s">
        <v>69</v>
      </c>
      <c r="BE259" t="s">
        <v>69</v>
      </c>
      <c r="BF259">
        <v>16</v>
      </c>
      <c r="BG259" t="s">
        <v>3447</v>
      </c>
      <c r="BH259" t="s">
        <v>3448</v>
      </c>
      <c r="BI259" t="s">
        <v>4620</v>
      </c>
      <c r="BJ259" t="s">
        <v>4621</v>
      </c>
      <c r="BK259">
        <v>8674519</v>
      </c>
      <c r="BL259" t="s">
        <v>69</v>
      </c>
      <c r="BM259" t="s">
        <v>69</v>
      </c>
      <c r="BN259" t="s">
        <v>69</v>
      </c>
      <c r="BO259" t="s">
        <v>95</v>
      </c>
      <c r="BP259" t="s">
        <v>69</v>
      </c>
    </row>
    <row r="260" spans="1:68" x14ac:dyDescent="0.15">
      <c r="A260" t="s">
        <v>67</v>
      </c>
      <c r="B260" t="s">
        <v>4622</v>
      </c>
      <c r="C260" t="s">
        <v>69</v>
      </c>
      <c r="D260" t="s">
        <v>69</v>
      </c>
      <c r="E260" t="s">
        <v>69</v>
      </c>
      <c r="F260" t="s">
        <v>4622</v>
      </c>
      <c r="G260" t="s">
        <v>69</v>
      </c>
      <c r="H260" t="s">
        <v>69</v>
      </c>
      <c r="I260" t="s">
        <v>4623</v>
      </c>
      <c r="J260" t="s">
        <v>4624</v>
      </c>
      <c r="K260" t="s">
        <v>69</v>
      </c>
      <c r="L260" t="s">
        <v>69</v>
      </c>
      <c r="M260" t="s">
        <v>73</v>
      </c>
      <c r="N260" t="s">
        <v>74</v>
      </c>
      <c r="O260" t="s">
        <v>69</v>
      </c>
      <c r="P260" t="s">
        <v>69</v>
      </c>
      <c r="Q260" t="s">
        <v>69</v>
      </c>
      <c r="R260" t="s">
        <v>69</v>
      </c>
      <c r="S260" t="s">
        <v>69</v>
      </c>
      <c r="T260" t="s">
        <v>69</v>
      </c>
      <c r="U260" t="s">
        <v>4625</v>
      </c>
      <c r="V260" t="s">
        <v>4626</v>
      </c>
      <c r="W260" t="s">
        <v>69</v>
      </c>
      <c r="X260" t="s">
        <v>4627</v>
      </c>
      <c r="Y260" t="s">
        <v>69</v>
      </c>
      <c r="Z260" t="s">
        <v>69</v>
      </c>
      <c r="AA260" t="s">
        <v>69</v>
      </c>
      <c r="AB260" t="s">
        <v>69</v>
      </c>
      <c r="AC260" t="s">
        <v>69</v>
      </c>
      <c r="AD260" t="s">
        <v>69</v>
      </c>
      <c r="AE260">
        <v>48</v>
      </c>
      <c r="AF260">
        <v>11</v>
      </c>
      <c r="AG260">
        <v>12</v>
      </c>
      <c r="AH260">
        <v>1</v>
      </c>
      <c r="AI260">
        <v>19</v>
      </c>
      <c r="AJ260" t="s">
        <v>4628</v>
      </c>
      <c r="AK260" t="s">
        <v>1108</v>
      </c>
      <c r="AL260" t="s">
        <v>4629</v>
      </c>
      <c r="AM260" t="s">
        <v>4630</v>
      </c>
      <c r="AN260" t="s">
        <v>69</v>
      </c>
      <c r="AO260" t="s">
        <v>69</v>
      </c>
      <c r="AP260" t="s">
        <v>4631</v>
      </c>
      <c r="AQ260" t="s">
        <v>4632</v>
      </c>
      <c r="AR260" t="s">
        <v>4633</v>
      </c>
      <c r="AS260">
        <v>1993</v>
      </c>
      <c r="AT260">
        <v>34</v>
      </c>
      <c r="AU260" t="s">
        <v>379</v>
      </c>
      <c r="AV260" t="s">
        <v>69</v>
      </c>
      <c r="AW260" t="s">
        <v>69</v>
      </c>
      <c r="AX260" t="s">
        <v>69</v>
      </c>
      <c r="AY260" t="s">
        <v>69</v>
      </c>
      <c r="AZ260">
        <v>244</v>
      </c>
      <c r="BA260">
        <v>259</v>
      </c>
      <c r="BB260" t="s">
        <v>69</v>
      </c>
      <c r="BC260" t="s">
        <v>4634</v>
      </c>
      <c r="BD260" t="s">
        <v>69</v>
      </c>
      <c r="BE260" t="s">
        <v>69</v>
      </c>
      <c r="BF260">
        <v>16</v>
      </c>
      <c r="BG260" t="s">
        <v>493</v>
      </c>
      <c r="BH260" t="s">
        <v>493</v>
      </c>
      <c r="BI260" t="s">
        <v>4635</v>
      </c>
      <c r="BJ260" t="s">
        <v>4636</v>
      </c>
      <c r="BK260" t="s">
        <v>69</v>
      </c>
      <c r="BL260" t="s">
        <v>69</v>
      </c>
      <c r="BM260" t="s">
        <v>69</v>
      </c>
      <c r="BN260" t="s">
        <v>69</v>
      </c>
      <c r="BO260" t="s">
        <v>95</v>
      </c>
      <c r="BP260" t="s">
        <v>69</v>
      </c>
    </row>
    <row r="261" spans="1:68" x14ac:dyDescent="0.15">
      <c r="A261" t="s">
        <v>67</v>
      </c>
      <c r="B261" t="s">
        <v>4637</v>
      </c>
      <c r="C261" t="s">
        <v>69</v>
      </c>
      <c r="D261" t="s">
        <v>69</v>
      </c>
      <c r="E261" t="s">
        <v>69</v>
      </c>
      <c r="F261" t="s">
        <v>4637</v>
      </c>
      <c r="G261" t="s">
        <v>69</v>
      </c>
      <c r="H261" t="s">
        <v>69</v>
      </c>
      <c r="I261" t="s">
        <v>4638</v>
      </c>
      <c r="J261" t="s">
        <v>4639</v>
      </c>
      <c r="K261" t="s">
        <v>69</v>
      </c>
      <c r="L261" t="s">
        <v>69</v>
      </c>
      <c r="M261" t="s">
        <v>73</v>
      </c>
      <c r="N261" t="s">
        <v>74</v>
      </c>
      <c r="O261" t="s">
        <v>69</v>
      </c>
      <c r="P261" t="s">
        <v>69</v>
      </c>
      <c r="Q261" t="s">
        <v>69</v>
      </c>
      <c r="R261" t="s">
        <v>69</v>
      </c>
      <c r="S261" t="s">
        <v>69</v>
      </c>
      <c r="T261" t="s">
        <v>69</v>
      </c>
      <c r="U261" t="s">
        <v>69</v>
      </c>
      <c r="V261" t="s">
        <v>69</v>
      </c>
      <c r="W261" t="s">
        <v>69</v>
      </c>
      <c r="X261" t="s">
        <v>4640</v>
      </c>
      <c r="Y261" t="s">
        <v>69</v>
      </c>
      <c r="Z261" t="s">
        <v>69</v>
      </c>
      <c r="AA261" t="s">
        <v>69</v>
      </c>
      <c r="AB261" t="s">
        <v>69</v>
      </c>
      <c r="AC261" t="s">
        <v>69</v>
      </c>
      <c r="AD261" t="s">
        <v>69</v>
      </c>
      <c r="AE261">
        <v>103</v>
      </c>
      <c r="AF261">
        <v>25</v>
      </c>
      <c r="AG261">
        <v>25</v>
      </c>
      <c r="AH261">
        <v>0</v>
      </c>
      <c r="AI261">
        <v>2</v>
      </c>
      <c r="AJ261" t="s">
        <v>4641</v>
      </c>
      <c r="AK261" t="s">
        <v>1184</v>
      </c>
      <c r="AL261" t="s">
        <v>4642</v>
      </c>
      <c r="AM261" t="s">
        <v>4643</v>
      </c>
      <c r="AN261" t="s">
        <v>69</v>
      </c>
      <c r="AO261" t="s">
        <v>69</v>
      </c>
      <c r="AP261" t="s">
        <v>4644</v>
      </c>
      <c r="AQ261" t="s">
        <v>4645</v>
      </c>
      <c r="AR261" t="s">
        <v>490</v>
      </c>
      <c r="AS261">
        <v>1986</v>
      </c>
      <c r="AT261">
        <v>51</v>
      </c>
      <c r="AU261">
        <v>4</v>
      </c>
      <c r="AV261" t="s">
        <v>69</v>
      </c>
      <c r="AW261" t="s">
        <v>69</v>
      </c>
      <c r="AX261" t="s">
        <v>69</v>
      </c>
      <c r="AY261" t="s">
        <v>69</v>
      </c>
      <c r="AZ261">
        <v>523</v>
      </c>
      <c r="BA261">
        <v>540</v>
      </c>
      <c r="BB261" t="s">
        <v>69</v>
      </c>
      <c r="BC261" t="s">
        <v>4646</v>
      </c>
      <c r="BD261" t="s">
        <v>69</v>
      </c>
      <c r="BE261" t="s">
        <v>69</v>
      </c>
      <c r="BF261">
        <v>18</v>
      </c>
      <c r="BG261" t="s">
        <v>493</v>
      </c>
      <c r="BH261" t="s">
        <v>493</v>
      </c>
      <c r="BI261" t="s">
        <v>4647</v>
      </c>
      <c r="BJ261" t="s">
        <v>4648</v>
      </c>
      <c r="BK261" t="s">
        <v>69</v>
      </c>
      <c r="BL261" t="s">
        <v>69</v>
      </c>
      <c r="BM261" t="s">
        <v>69</v>
      </c>
      <c r="BN261" t="s">
        <v>69</v>
      </c>
      <c r="BO261" t="s">
        <v>95</v>
      </c>
      <c r="BP261" t="s">
        <v>69</v>
      </c>
    </row>
    <row r="262" spans="1:68" x14ac:dyDescent="0.15">
      <c r="A262" t="s">
        <v>67</v>
      </c>
      <c r="B262" t="s">
        <v>4649</v>
      </c>
      <c r="C262" t="s">
        <v>69</v>
      </c>
      <c r="D262" t="s">
        <v>69</v>
      </c>
      <c r="E262" t="s">
        <v>69</v>
      </c>
      <c r="F262" t="s">
        <v>4649</v>
      </c>
      <c r="G262" t="s">
        <v>69</v>
      </c>
      <c r="H262" t="s">
        <v>69</v>
      </c>
      <c r="I262" t="s">
        <v>4650</v>
      </c>
      <c r="J262" t="s">
        <v>1764</v>
      </c>
      <c r="K262" t="s">
        <v>69</v>
      </c>
      <c r="L262" t="s">
        <v>69</v>
      </c>
      <c r="M262" t="s">
        <v>544</v>
      </c>
      <c r="N262" t="s">
        <v>4651</v>
      </c>
      <c r="O262" t="s">
        <v>69</v>
      </c>
      <c r="P262" t="s">
        <v>69</v>
      </c>
      <c r="Q262" t="s">
        <v>69</v>
      </c>
      <c r="R262" t="s">
        <v>69</v>
      </c>
      <c r="S262" t="s">
        <v>69</v>
      </c>
      <c r="T262" t="s">
        <v>69</v>
      </c>
      <c r="U262" t="s">
        <v>69</v>
      </c>
      <c r="V262" t="s">
        <v>69</v>
      </c>
      <c r="W262" t="s">
        <v>69</v>
      </c>
      <c r="X262" t="s">
        <v>69</v>
      </c>
      <c r="Y262" t="s">
        <v>69</v>
      </c>
      <c r="Z262" t="s">
        <v>69</v>
      </c>
      <c r="AA262" t="s">
        <v>69</v>
      </c>
      <c r="AB262" t="s">
        <v>69</v>
      </c>
      <c r="AC262" t="s">
        <v>69</v>
      </c>
      <c r="AD262" t="s">
        <v>69</v>
      </c>
      <c r="AE262">
        <v>1</v>
      </c>
      <c r="AF262">
        <v>0</v>
      </c>
      <c r="AG262">
        <v>0</v>
      </c>
      <c r="AH262">
        <v>0</v>
      </c>
      <c r="AI262">
        <v>3</v>
      </c>
      <c r="AJ262" t="s">
        <v>4652</v>
      </c>
      <c r="AK262" t="s">
        <v>1772</v>
      </c>
      <c r="AL262" t="s">
        <v>4653</v>
      </c>
      <c r="AM262" t="s">
        <v>1774</v>
      </c>
      <c r="AN262" t="s">
        <v>69</v>
      </c>
      <c r="AO262" t="s">
        <v>69</v>
      </c>
      <c r="AP262" t="s">
        <v>1776</v>
      </c>
      <c r="AQ262" t="s">
        <v>1777</v>
      </c>
      <c r="AR262" t="s">
        <v>69</v>
      </c>
      <c r="AS262">
        <v>1981</v>
      </c>
      <c r="AT262">
        <v>33</v>
      </c>
      <c r="AU262">
        <v>2</v>
      </c>
      <c r="AV262" t="s">
        <v>69</v>
      </c>
      <c r="AW262" t="s">
        <v>69</v>
      </c>
      <c r="AX262" t="s">
        <v>69</v>
      </c>
      <c r="AY262" t="s">
        <v>69</v>
      </c>
      <c r="AZ262">
        <v>385</v>
      </c>
      <c r="BA262">
        <v>386</v>
      </c>
      <c r="BB262" t="s">
        <v>69</v>
      </c>
      <c r="BC262" t="s">
        <v>69</v>
      </c>
      <c r="BD262" t="s">
        <v>69</v>
      </c>
      <c r="BE262" t="s">
        <v>69</v>
      </c>
      <c r="BF262">
        <v>2</v>
      </c>
      <c r="BG262" t="s">
        <v>1779</v>
      </c>
      <c r="BH262" t="s">
        <v>1780</v>
      </c>
      <c r="BI262" t="s">
        <v>4654</v>
      </c>
      <c r="BJ262" t="s">
        <v>4655</v>
      </c>
      <c r="BK262" t="s">
        <v>69</v>
      </c>
      <c r="BL262" t="s">
        <v>69</v>
      </c>
      <c r="BM262" t="s">
        <v>69</v>
      </c>
      <c r="BN262" t="s">
        <v>69</v>
      </c>
      <c r="BO262" t="s">
        <v>95</v>
      </c>
      <c r="BP262" t="s">
        <v>69</v>
      </c>
    </row>
  </sheetData>
  <pageMargins left="0.75" right="0.75" top="1" bottom="1" header="0.5" footer="0.5"/>
  <pageSetup orientation="portrait" horizontalDpi="300" verticalDpi="300"/>
  <headerFooter alignWithMargins="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217"/>
  <sheetViews>
    <sheetView topLeftCell="N1" workbookViewId="0">
      <pane ySplit="1" topLeftCell="A2" activePane="bottomLeft" state="frozen"/>
      <selection pane="bottomLeft" activeCell="R2" sqref="R2:R217"/>
    </sheetView>
  </sheetViews>
  <sheetFormatPr baseColWidth="10" defaultRowHeight="13" x14ac:dyDescent="0.15"/>
  <cols>
    <col min="1" max="3" width="80.6640625" bestFit="1" customWidth="1"/>
    <col min="4" max="4" width="9.33203125" bestFit="1" customWidth="1"/>
    <col min="5" max="5" width="51.33203125" bestFit="1" customWidth="1"/>
    <col min="6" max="6" width="16.83203125" customWidth="1"/>
    <col min="7" max="7" width="9.6640625" customWidth="1"/>
    <col min="8" max="8" width="8" customWidth="1"/>
    <col min="9" max="9" width="11.83203125" customWidth="1"/>
    <col min="10" max="10" width="12.83203125" customWidth="1"/>
    <col min="11" max="11" width="19" customWidth="1"/>
    <col min="12" max="12" width="60.1640625" bestFit="1" customWidth="1"/>
    <col min="13" max="13" width="63" bestFit="1" customWidth="1"/>
    <col min="14" max="14" width="13.33203125" bestFit="1" customWidth="1"/>
    <col min="15" max="15" width="80.6640625" bestFit="1" customWidth="1"/>
    <col min="16" max="16" width="11.6640625" customWidth="1"/>
    <col min="17" max="18" width="80.6640625" bestFit="1" customWidth="1"/>
  </cols>
  <sheetData>
    <row r="1" spans="1:18" x14ac:dyDescent="0.15">
      <c r="A1" t="s">
        <v>8</v>
      </c>
      <c r="B1" t="s">
        <v>4656</v>
      </c>
      <c r="C1" t="s">
        <v>4657</v>
      </c>
      <c r="D1" t="s">
        <v>38</v>
      </c>
      <c r="E1" t="s">
        <v>40</v>
      </c>
      <c r="F1" t="s">
        <v>43</v>
      </c>
      <c r="G1" t="s">
        <v>45</v>
      </c>
      <c r="H1" t="s">
        <v>46</v>
      </c>
      <c r="I1" t="s">
        <v>4658</v>
      </c>
      <c r="J1" t="s">
        <v>4659</v>
      </c>
      <c r="K1" t="s">
        <v>4660</v>
      </c>
      <c r="L1" t="s">
        <v>54</v>
      </c>
      <c r="M1" t="s">
        <v>35</v>
      </c>
      <c r="N1" t="s">
        <v>4661</v>
      </c>
      <c r="O1" t="s">
        <v>4662</v>
      </c>
      <c r="P1" t="s">
        <v>4663</v>
      </c>
      <c r="Q1" t="s">
        <v>21</v>
      </c>
      <c r="R1" t="s">
        <v>4664</v>
      </c>
    </row>
    <row r="2" spans="1:18" x14ac:dyDescent="0.15">
      <c r="A2" t="s">
        <v>4665</v>
      </c>
      <c r="B2" t="s">
        <v>4666</v>
      </c>
      <c r="C2" t="s">
        <v>4667</v>
      </c>
      <c r="D2" t="str">
        <f>"04194217"</f>
        <v>04194217</v>
      </c>
      <c r="E2" t="str">
        <f>"9781124610313"</f>
        <v>9781124610313</v>
      </c>
      <c r="F2" t="str">
        <f>"20120101"</f>
        <v>20120101</v>
      </c>
      <c r="G2">
        <v>72</v>
      </c>
      <c r="H2" t="s">
        <v>4668</v>
      </c>
      <c r="I2">
        <v>4317</v>
      </c>
      <c r="J2">
        <v>1</v>
      </c>
      <c r="K2" t="s">
        <v>4669</v>
      </c>
      <c r="M2" t="s">
        <v>4670</v>
      </c>
      <c r="N2" t="s">
        <v>4671</v>
      </c>
      <c r="O2" t="s">
        <v>4672</v>
      </c>
      <c r="Q2" t="s">
        <v>4673</v>
      </c>
      <c r="R2" t="s">
        <v>4674</v>
      </c>
    </row>
    <row r="3" spans="1:18" x14ac:dyDescent="0.15">
      <c r="A3" t="s">
        <v>4675</v>
      </c>
      <c r="B3" t="s">
        <v>1449</v>
      </c>
      <c r="C3" t="s">
        <v>4676</v>
      </c>
      <c r="D3" t="str">
        <f>"07399863"</f>
        <v>07399863</v>
      </c>
      <c r="F3" t="str">
        <f>"20180501"</f>
        <v>20180501</v>
      </c>
      <c r="G3">
        <v>40</v>
      </c>
      <c r="H3">
        <v>2</v>
      </c>
      <c r="I3">
        <v>91</v>
      </c>
      <c r="J3">
        <v>24</v>
      </c>
      <c r="K3" t="s">
        <v>4677</v>
      </c>
      <c r="L3" t="s">
        <v>1465</v>
      </c>
      <c r="M3" t="s">
        <v>4678</v>
      </c>
      <c r="N3" t="s">
        <v>4679</v>
      </c>
      <c r="O3" t="s">
        <v>4680</v>
      </c>
      <c r="Q3" t="s">
        <v>4681</v>
      </c>
      <c r="R3" t="s">
        <v>4682</v>
      </c>
    </row>
    <row r="4" spans="1:18" x14ac:dyDescent="0.15">
      <c r="A4" t="s">
        <v>4683</v>
      </c>
      <c r="B4" t="s">
        <v>4684</v>
      </c>
      <c r="C4" t="s">
        <v>4685</v>
      </c>
      <c r="D4" t="str">
        <f>"01619268"</f>
        <v>01619268</v>
      </c>
      <c r="F4" t="str">
        <f>"19961201"</f>
        <v>19961201</v>
      </c>
      <c r="G4">
        <v>19</v>
      </c>
      <c r="H4">
        <v>2</v>
      </c>
      <c r="I4">
        <v>74</v>
      </c>
      <c r="J4">
        <v>14</v>
      </c>
      <c r="K4" t="s">
        <v>4686</v>
      </c>
      <c r="L4" t="s">
        <v>4560</v>
      </c>
      <c r="M4" t="s">
        <v>4687</v>
      </c>
      <c r="N4" t="s">
        <v>4679</v>
      </c>
      <c r="O4" t="s">
        <v>4688</v>
      </c>
      <c r="Q4" t="s">
        <v>4689</v>
      </c>
      <c r="R4" t="s">
        <v>4690</v>
      </c>
    </row>
    <row r="5" spans="1:18" x14ac:dyDescent="0.15">
      <c r="A5" t="s">
        <v>4691</v>
      </c>
      <c r="B5" t="s">
        <v>4692</v>
      </c>
      <c r="C5" t="s">
        <v>4693</v>
      </c>
      <c r="D5" t="str">
        <f>"16139372"</f>
        <v>16139372</v>
      </c>
      <c r="F5" t="str">
        <f>"20200301"</f>
        <v>20200301</v>
      </c>
      <c r="G5">
        <v>17</v>
      </c>
      <c r="H5">
        <v>1</v>
      </c>
      <c r="I5">
        <v>3</v>
      </c>
      <c r="J5">
        <v>17</v>
      </c>
      <c r="K5" t="s">
        <v>4694</v>
      </c>
      <c r="L5" t="s">
        <v>4695</v>
      </c>
      <c r="M5" t="s">
        <v>4696</v>
      </c>
      <c r="N5" t="s">
        <v>4679</v>
      </c>
      <c r="O5" t="s">
        <v>4697</v>
      </c>
      <c r="Q5" t="s">
        <v>4698</v>
      </c>
      <c r="R5" t="s">
        <v>4699</v>
      </c>
    </row>
    <row r="6" spans="1:18" x14ac:dyDescent="0.15">
      <c r="A6" t="s">
        <v>4700</v>
      </c>
      <c r="B6" t="s">
        <v>3602</v>
      </c>
      <c r="C6" t="s">
        <v>4701</v>
      </c>
      <c r="D6" t="str">
        <f>"00207640"</f>
        <v>00207640</v>
      </c>
      <c r="F6" t="str">
        <f>"20091101"</f>
        <v>20091101</v>
      </c>
      <c r="G6">
        <v>55</v>
      </c>
      <c r="H6">
        <v>6</v>
      </c>
      <c r="I6">
        <v>496</v>
      </c>
      <c r="J6">
        <v>10</v>
      </c>
      <c r="K6" t="s">
        <v>4702</v>
      </c>
      <c r="L6" t="s">
        <v>3610</v>
      </c>
      <c r="M6" t="s">
        <v>4678</v>
      </c>
      <c r="N6" t="s">
        <v>4679</v>
      </c>
      <c r="O6" t="s">
        <v>4703</v>
      </c>
      <c r="Q6" t="s">
        <v>4704</v>
      </c>
      <c r="R6" t="s">
        <v>4705</v>
      </c>
    </row>
    <row r="7" spans="1:18" x14ac:dyDescent="0.15">
      <c r="A7" t="s">
        <v>4706</v>
      </c>
      <c r="B7" t="s">
        <v>4707</v>
      </c>
      <c r="C7" t="s">
        <v>4708</v>
      </c>
      <c r="D7" t="str">
        <f>"00029432"</f>
        <v>00029432</v>
      </c>
      <c r="F7" t="str">
        <f>"20060101"</f>
        <v>20060101</v>
      </c>
      <c r="G7">
        <v>76</v>
      </c>
      <c r="H7">
        <v>1</v>
      </c>
      <c r="I7">
        <v>1</v>
      </c>
      <c r="J7">
        <v>9</v>
      </c>
      <c r="K7" t="s">
        <v>4709</v>
      </c>
      <c r="L7" t="s">
        <v>4710</v>
      </c>
      <c r="M7" t="s">
        <v>4711</v>
      </c>
      <c r="N7" t="s">
        <v>4679</v>
      </c>
      <c r="O7" t="s">
        <v>4712</v>
      </c>
      <c r="Q7" t="s">
        <v>4713</v>
      </c>
      <c r="R7" t="s">
        <v>4714</v>
      </c>
    </row>
    <row r="8" spans="1:18" x14ac:dyDescent="0.15">
      <c r="A8" t="s">
        <v>4715</v>
      </c>
      <c r="B8" t="s">
        <v>4716</v>
      </c>
      <c r="C8" t="s">
        <v>4717</v>
      </c>
      <c r="D8" t="str">
        <f>"23290382"</f>
        <v>23290382</v>
      </c>
      <c r="F8" t="str">
        <f>"20171201"</f>
        <v>20171201</v>
      </c>
      <c r="G8">
        <v>4</v>
      </c>
      <c r="H8">
        <v>4</v>
      </c>
      <c r="I8">
        <v>383</v>
      </c>
      <c r="J8">
        <v>9</v>
      </c>
      <c r="K8" t="s">
        <v>4718</v>
      </c>
      <c r="L8" t="s">
        <v>4719</v>
      </c>
      <c r="M8" t="s">
        <v>4711</v>
      </c>
      <c r="N8" t="s">
        <v>4679</v>
      </c>
      <c r="O8" t="s">
        <v>4720</v>
      </c>
      <c r="Q8" t="s">
        <v>4721</v>
      </c>
      <c r="R8" t="s">
        <v>4722</v>
      </c>
    </row>
    <row r="9" spans="1:18" x14ac:dyDescent="0.15">
      <c r="A9" t="s">
        <v>4723</v>
      </c>
      <c r="B9" t="s">
        <v>4724</v>
      </c>
      <c r="C9" t="s">
        <v>4725</v>
      </c>
      <c r="D9" t="str">
        <f>"15564908"</f>
        <v>15564908</v>
      </c>
      <c r="F9" t="str">
        <f>"20070301"</f>
        <v>20070301</v>
      </c>
      <c r="G9">
        <v>2</v>
      </c>
      <c r="H9">
        <v>1</v>
      </c>
      <c r="I9">
        <v>5</v>
      </c>
      <c r="J9">
        <v>16</v>
      </c>
      <c r="K9" t="s">
        <v>4726</v>
      </c>
      <c r="L9" t="s">
        <v>4727</v>
      </c>
      <c r="M9" t="s">
        <v>4728</v>
      </c>
      <c r="N9" t="s">
        <v>4679</v>
      </c>
      <c r="O9" t="s">
        <v>4729</v>
      </c>
      <c r="Q9" t="s">
        <v>4730</v>
      </c>
      <c r="R9" t="s">
        <v>4731</v>
      </c>
    </row>
    <row r="10" spans="1:18" x14ac:dyDescent="0.15">
      <c r="A10" t="s">
        <v>4732</v>
      </c>
      <c r="B10" t="s">
        <v>3022</v>
      </c>
      <c r="C10" t="s">
        <v>4733</v>
      </c>
      <c r="D10" t="str">
        <f>"01471767"</f>
        <v>01471767</v>
      </c>
      <c r="F10" t="str">
        <f>"20080301"</f>
        <v>20080301</v>
      </c>
      <c r="G10">
        <v>32</v>
      </c>
      <c r="H10">
        <v>2</v>
      </c>
      <c r="I10">
        <v>115</v>
      </c>
      <c r="J10">
        <v>15</v>
      </c>
      <c r="K10" t="s">
        <v>4734</v>
      </c>
      <c r="L10" t="s">
        <v>3827</v>
      </c>
      <c r="M10" t="s">
        <v>4735</v>
      </c>
      <c r="N10" t="s">
        <v>4679</v>
      </c>
      <c r="O10" t="s">
        <v>4736</v>
      </c>
      <c r="Q10" t="s">
        <v>4737</v>
      </c>
      <c r="R10" t="s">
        <v>4738</v>
      </c>
    </row>
    <row r="11" spans="1:18" x14ac:dyDescent="0.15">
      <c r="A11" t="s">
        <v>4739</v>
      </c>
      <c r="B11" t="s">
        <v>3022</v>
      </c>
      <c r="C11" t="s">
        <v>4667</v>
      </c>
      <c r="D11" t="str">
        <f>"04194217"</f>
        <v>04194217</v>
      </c>
      <c r="F11" t="str">
        <f>"20060101"</f>
        <v>20060101</v>
      </c>
      <c r="G11">
        <v>67</v>
      </c>
      <c r="H11" t="s">
        <v>4740</v>
      </c>
      <c r="I11">
        <v>2877</v>
      </c>
      <c r="J11">
        <v>1</v>
      </c>
      <c r="K11" t="s">
        <v>4741</v>
      </c>
      <c r="M11" t="s">
        <v>4670</v>
      </c>
      <c r="N11" t="s">
        <v>4671</v>
      </c>
      <c r="O11" t="s">
        <v>4742</v>
      </c>
      <c r="Q11" t="s">
        <v>4743</v>
      </c>
      <c r="R11" t="s">
        <v>4744</v>
      </c>
    </row>
    <row r="12" spans="1:18" x14ac:dyDescent="0.15">
      <c r="A12" t="s">
        <v>4745</v>
      </c>
      <c r="B12" t="s">
        <v>4746</v>
      </c>
      <c r="C12" t="s">
        <v>4747</v>
      </c>
      <c r="D12" t="str">
        <f>"10436596"</f>
        <v>10436596</v>
      </c>
      <c r="F12" t="str">
        <f>"20130401"</f>
        <v>20130401</v>
      </c>
      <c r="G12">
        <v>24</v>
      </c>
      <c r="H12">
        <v>2</v>
      </c>
      <c r="I12">
        <v>134</v>
      </c>
      <c r="J12">
        <v>10</v>
      </c>
      <c r="K12" t="s">
        <v>4748</v>
      </c>
      <c r="L12" t="s">
        <v>3078</v>
      </c>
      <c r="M12" t="s">
        <v>4678</v>
      </c>
      <c r="N12" t="s">
        <v>4679</v>
      </c>
      <c r="O12" t="s">
        <v>4749</v>
      </c>
      <c r="Q12" t="s">
        <v>4750</v>
      </c>
      <c r="R12" t="s">
        <v>4751</v>
      </c>
    </row>
    <row r="13" spans="1:18" x14ac:dyDescent="0.15">
      <c r="A13" t="s">
        <v>4752</v>
      </c>
      <c r="B13" t="s">
        <v>4753</v>
      </c>
      <c r="C13" t="s">
        <v>4733</v>
      </c>
      <c r="D13" t="str">
        <f>"01471767"</f>
        <v>01471767</v>
      </c>
      <c r="F13" t="str">
        <f>"19850101"</f>
        <v>19850101</v>
      </c>
      <c r="G13">
        <v>9</v>
      </c>
      <c r="H13">
        <v>2</v>
      </c>
      <c r="I13">
        <v>205</v>
      </c>
      <c r="J13">
        <v>29</v>
      </c>
      <c r="K13" t="s">
        <v>4754</v>
      </c>
      <c r="L13" t="s">
        <v>4755</v>
      </c>
      <c r="M13" t="s">
        <v>4756</v>
      </c>
      <c r="N13" t="s">
        <v>4679</v>
      </c>
      <c r="O13" t="s">
        <v>4757</v>
      </c>
      <c r="Q13" t="s">
        <v>4758</v>
      </c>
      <c r="R13" t="s">
        <v>4759</v>
      </c>
    </row>
    <row r="14" spans="1:18" x14ac:dyDescent="0.15">
      <c r="A14" t="s">
        <v>4760</v>
      </c>
      <c r="B14" t="s">
        <v>4761</v>
      </c>
      <c r="C14" t="s">
        <v>4762</v>
      </c>
      <c r="D14" t="str">
        <f>"04194209"</f>
        <v>04194209</v>
      </c>
      <c r="E14" t="str">
        <f>"9781303655715"</f>
        <v>9781303655715</v>
      </c>
      <c r="F14" t="str">
        <f>"20140101"</f>
        <v>20140101</v>
      </c>
      <c r="G14">
        <v>75</v>
      </c>
      <c r="H14" t="s">
        <v>4763</v>
      </c>
      <c r="K14" t="s">
        <v>4764</v>
      </c>
      <c r="M14" t="s">
        <v>4670</v>
      </c>
      <c r="N14" t="s">
        <v>4671</v>
      </c>
      <c r="O14" t="s">
        <v>4765</v>
      </c>
      <c r="Q14" t="s">
        <v>4766</v>
      </c>
      <c r="R14" t="s">
        <v>4767</v>
      </c>
    </row>
    <row r="15" spans="1:18" x14ac:dyDescent="0.15">
      <c r="A15" t="s">
        <v>4768</v>
      </c>
      <c r="B15" t="s">
        <v>4769</v>
      </c>
      <c r="C15" t="s">
        <v>4770</v>
      </c>
      <c r="E15" t="str">
        <f>"9781633213470; 9781633213487"</f>
        <v>9781633213470; 9781633213487</v>
      </c>
      <c r="F15" t="str">
        <f>"20140101"</f>
        <v>20140101</v>
      </c>
      <c r="I15">
        <v>221</v>
      </c>
      <c r="J15">
        <v>13</v>
      </c>
      <c r="K15" t="s">
        <v>4771</v>
      </c>
      <c r="M15" t="s">
        <v>4772</v>
      </c>
      <c r="N15" t="s">
        <v>4773</v>
      </c>
      <c r="O15" t="s">
        <v>4774</v>
      </c>
      <c r="Q15" t="s">
        <v>4775</v>
      </c>
      <c r="R15" t="s">
        <v>4776</v>
      </c>
    </row>
    <row r="16" spans="1:18" x14ac:dyDescent="0.15">
      <c r="A16" t="s">
        <v>4777</v>
      </c>
      <c r="B16" t="s">
        <v>4778</v>
      </c>
      <c r="C16" t="s">
        <v>4779</v>
      </c>
      <c r="D16" t="str">
        <f>"10443894"</f>
        <v>10443894</v>
      </c>
      <c r="F16" t="str">
        <f>"20081001"</f>
        <v>20081001</v>
      </c>
      <c r="G16">
        <v>89</v>
      </c>
      <c r="H16">
        <v>4</v>
      </c>
      <c r="I16">
        <v>543</v>
      </c>
      <c r="J16">
        <v>8</v>
      </c>
      <c r="K16" t="s">
        <v>4780</v>
      </c>
      <c r="L16" t="s">
        <v>4781</v>
      </c>
      <c r="M16" t="s">
        <v>4782</v>
      </c>
      <c r="N16" t="s">
        <v>4679</v>
      </c>
      <c r="O16" t="s">
        <v>4783</v>
      </c>
      <c r="Q16" t="s">
        <v>4784</v>
      </c>
      <c r="R16" t="s">
        <v>4785</v>
      </c>
    </row>
    <row r="17" spans="1:18" x14ac:dyDescent="0.15">
      <c r="A17" t="s">
        <v>4786</v>
      </c>
      <c r="B17" t="s">
        <v>4787</v>
      </c>
      <c r="C17" t="s">
        <v>4788</v>
      </c>
      <c r="D17" t="str">
        <f>"07009801"</f>
        <v>07009801</v>
      </c>
      <c r="F17" t="str">
        <f>"19850301"</f>
        <v>19850301</v>
      </c>
      <c r="G17">
        <v>9</v>
      </c>
      <c r="H17">
        <v>1</v>
      </c>
      <c r="I17">
        <v>36</v>
      </c>
      <c r="J17">
        <v>10</v>
      </c>
      <c r="K17" t="s">
        <v>4789</v>
      </c>
      <c r="M17" t="s">
        <v>4696</v>
      </c>
      <c r="N17" t="s">
        <v>4679</v>
      </c>
      <c r="O17" t="s">
        <v>4790</v>
      </c>
      <c r="Q17" t="s">
        <v>4791</v>
      </c>
      <c r="R17" t="s">
        <v>4792</v>
      </c>
    </row>
    <row r="18" spans="1:18" x14ac:dyDescent="0.15">
      <c r="A18" t="s">
        <v>4793</v>
      </c>
      <c r="B18" t="s">
        <v>4794</v>
      </c>
      <c r="C18" t="s">
        <v>4795</v>
      </c>
      <c r="E18" t="str">
        <f>"0943463106"</f>
        <v>0943463106</v>
      </c>
      <c r="F18" t="str">
        <f>"19900101"</f>
        <v>19900101</v>
      </c>
      <c r="I18">
        <v>90</v>
      </c>
      <c r="J18">
        <v>13</v>
      </c>
      <c r="K18" t="s">
        <v>4796</v>
      </c>
      <c r="M18" t="s">
        <v>4797</v>
      </c>
      <c r="N18" t="s">
        <v>4773</v>
      </c>
      <c r="O18" t="s">
        <v>4798</v>
      </c>
      <c r="Q18" t="s">
        <v>4799</v>
      </c>
      <c r="R18" t="s">
        <v>4800</v>
      </c>
    </row>
    <row r="19" spans="1:18" x14ac:dyDescent="0.15">
      <c r="A19" t="s">
        <v>4801</v>
      </c>
      <c r="B19" t="s">
        <v>4802</v>
      </c>
      <c r="C19" t="s">
        <v>4803</v>
      </c>
      <c r="E19" t="str">
        <f>"9781440846724; 9781440833366; 9781440833373"</f>
        <v>9781440846724; 9781440833366; 9781440833373</v>
      </c>
      <c r="F19" t="str">
        <f>"20170101"</f>
        <v>20170101</v>
      </c>
      <c r="I19">
        <v>25</v>
      </c>
      <c r="J19">
        <v>28</v>
      </c>
      <c r="K19" t="s">
        <v>4804</v>
      </c>
      <c r="M19" t="s">
        <v>4805</v>
      </c>
      <c r="N19" t="s">
        <v>4773</v>
      </c>
      <c r="O19" t="s">
        <v>4806</v>
      </c>
      <c r="Q19" t="s">
        <v>4807</v>
      </c>
      <c r="R19" t="s">
        <v>4808</v>
      </c>
    </row>
    <row r="20" spans="1:18" x14ac:dyDescent="0.15">
      <c r="A20" t="s">
        <v>4809</v>
      </c>
      <c r="B20" t="s">
        <v>4810</v>
      </c>
      <c r="C20" t="s">
        <v>4811</v>
      </c>
      <c r="E20" t="str">
        <f>"0195109457; 0195109465"</f>
        <v>0195109457; 0195109465</v>
      </c>
      <c r="F20" t="str">
        <f>"19980101"</f>
        <v>19980101</v>
      </c>
      <c r="I20">
        <v>39</v>
      </c>
      <c r="J20">
        <v>19</v>
      </c>
      <c r="K20" t="s">
        <v>4812</v>
      </c>
      <c r="M20" t="s">
        <v>4813</v>
      </c>
      <c r="N20" t="s">
        <v>4773</v>
      </c>
      <c r="O20" t="s">
        <v>4814</v>
      </c>
      <c r="Q20" t="s">
        <v>4815</v>
      </c>
      <c r="R20" t="s">
        <v>4816</v>
      </c>
    </row>
    <row r="21" spans="1:18" x14ac:dyDescent="0.15">
      <c r="A21" t="s">
        <v>4817</v>
      </c>
      <c r="B21" t="s">
        <v>2168</v>
      </c>
      <c r="C21" t="s">
        <v>4818</v>
      </c>
      <c r="D21" t="str">
        <f>"10474412"</f>
        <v>10474412</v>
      </c>
      <c r="F21" t="str">
        <f>"20170701"</f>
        <v>20170701</v>
      </c>
      <c r="G21">
        <v>27</v>
      </c>
      <c r="H21">
        <v>3</v>
      </c>
      <c r="I21">
        <v>271</v>
      </c>
      <c r="J21">
        <v>18</v>
      </c>
      <c r="K21" t="s">
        <v>4819</v>
      </c>
      <c r="L21" t="s">
        <v>2181</v>
      </c>
      <c r="M21" t="s">
        <v>4728</v>
      </c>
      <c r="N21" t="s">
        <v>4679</v>
      </c>
      <c r="O21" t="s">
        <v>4820</v>
      </c>
      <c r="Q21" t="s">
        <v>4821</v>
      </c>
      <c r="R21" t="s">
        <v>4822</v>
      </c>
    </row>
    <row r="22" spans="1:18" x14ac:dyDescent="0.15">
      <c r="A22" t="s">
        <v>4823</v>
      </c>
      <c r="B22" t="s">
        <v>4824</v>
      </c>
      <c r="C22" t="s">
        <v>4825</v>
      </c>
      <c r="D22" t="str">
        <f>"0018716X"</f>
        <v>0018716X</v>
      </c>
      <c r="F22" t="str">
        <f>"20060201"</f>
        <v>20060201</v>
      </c>
      <c r="G22">
        <v>49</v>
      </c>
      <c r="H22">
        <v>1</v>
      </c>
      <c r="I22">
        <v>31</v>
      </c>
      <c r="J22">
        <v>5</v>
      </c>
      <c r="K22" t="s">
        <v>4826</v>
      </c>
      <c r="L22" t="s">
        <v>4015</v>
      </c>
      <c r="M22" t="s">
        <v>4827</v>
      </c>
      <c r="N22" t="s">
        <v>4828</v>
      </c>
      <c r="O22" t="s">
        <v>4829</v>
      </c>
      <c r="Q22" t="s">
        <v>4830</v>
      </c>
      <c r="R22" t="s">
        <v>4831</v>
      </c>
    </row>
    <row r="23" spans="1:18" x14ac:dyDescent="0.15">
      <c r="A23" t="s">
        <v>4832</v>
      </c>
      <c r="B23" t="s">
        <v>4833</v>
      </c>
      <c r="C23" t="s">
        <v>4834</v>
      </c>
      <c r="D23" t="str">
        <f>"19236182"</f>
        <v>19236182</v>
      </c>
      <c r="F23" t="str">
        <f>"20190101"</f>
        <v>20190101</v>
      </c>
      <c r="G23">
        <v>53</v>
      </c>
      <c r="H23">
        <v>2</v>
      </c>
      <c r="I23">
        <v>126</v>
      </c>
      <c r="J23">
        <v>21</v>
      </c>
      <c r="K23" t="s">
        <v>4835</v>
      </c>
      <c r="M23" t="s">
        <v>4836</v>
      </c>
      <c r="N23" t="s">
        <v>4679</v>
      </c>
      <c r="O23" t="s">
        <v>4837</v>
      </c>
      <c r="Q23" t="s">
        <v>4838</v>
      </c>
      <c r="R23" t="s">
        <v>4839</v>
      </c>
    </row>
    <row r="24" spans="1:18" x14ac:dyDescent="0.15">
      <c r="A24" t="s">
        <v>4840</v>
      </c>
      <c r="B24" t="s">
        <v>2571</v>
      </c>
      <c r="C24" t="s">
        <v>4841</v>
      </c>
      <c r="D24" t="str">
        <f>"00910562"</f>
        <v>00910562</v>
      </c>
      <c r="F24" t="str">
        <f>"20151201"</f>
        <v>20151201</v>
      </c>
      <c r="G24">
        <v>56</v>
      </c>
      <c r="H24" s="1">
        <v>44289</v>
      </c>
      <c r="I24">
        <v>395</v>
      </c>
      <c r="J24">
        <v>13</v>
      </c>
      <c r="K24" t="s">
        <v>4842</v>
      </c>
      <c r="L24" t="s">
        <v>2581</v>
      </c>
      <c r="M24" t="s">
        <v>4696</v>
      </c>
      <c r="N24" t="s">
        <v>4679</v>
      </c>
      <c r="O24" t="s">
        <v>4843</v>
      </c>
      <c r="Q24" t="s">
        <v>4844</v>
      </c>
      <c r="R24" t="s">
        <v>4845</v>
      </c>
    </row>
    <row r="25" spans="1:18" x14ac:dyDescent="0.15">
      <c r="A25" t="s">
        <v>4846</v>
      </c>
      <c r="B25" t="s">
        <v>2242</v>
      </c>
      <c r="C25" t="s">
        <v>4818</v>
      </c>
      <c r="D25" t="str">
        <f>"10474412"</f>
        <v>10474412</v>
      </c>
      <c r="F25" t="str">
        <f>"20170701"</f>
        <v>20170701</v>
      </c>
      <c r="G25">
        <v>27</v>
      </c>
      <c r="H25">
        <v>3</v>
      </c>
      <c r="I25">
        <v>239</v>
      </c>
      <c r="J25">
        <v>6</v>
      </c>
      <c r="K25" t="s">
        <v>4847</v>
      </c>
      <c r="L25" t="s">
        <v>2249</v>
      </c>
      <c r="M25" t="s">
        <v>4728</v>
      </c>
      <c r="N25" t="s">
        <v>4679</v>
      </c>
      <c r="O25" t="s">
        <v>4848</v>
      </c>
      <c r="Q25" t="s">
        <v>4849</v>
      </c>
      <c r="R25" t="s">
        <v>4850</v>
      </c>
    </row>
    <row r="26" spans="1:18" x14ac:dyDescent="0.15">
      <c r="A26" t="s">
        <v>4851</v>
      </c>
      <c r="B26" t="s">
        <v>4852</v>
      </c>
      <c r="C26" t="s">
        <v>4762</v>
      </c>
      <c r="D26" t="str">
        <f>"04194209"</f>
        <v>04194209</v>
      </c>
      <c r="E26" t="str">
        <f>"9781321120097"</f>
        <v>9781321120097</v>
      </c>
      <c r="F26" t="str">
        <f>"20150101"</f>
        <v>20150101</v>
      </c>
      <c r="G26">
        <v>75</v>
      </c>
      <c r="H26" t="s">
        <v>4853</v>
      </c>
      <c r="K26" t="s">
        <v>4854</v>
      </c>
      <c r="M26" t="s">
        <v>4670</v>
      </c>
      <c r="N26" t="s">
        <v>4671</v>
      </c>
      <c r="O26" t="s">
        <v>4855</v>
      </c>
      <c r="Q26" t="s">
        <v>4856</v>
      </c>
      <c r="R26" t="s">
        <v>4857</v>
      </c>
    </row>
    <row r="27" spans="1:18" x14ac:dyDescent="0.15">
      <c r="A27" t="s">
        <v>4858</v>
      </c>
      <c r="B27" t="s">
        <v>2309</v>
      </c>
      <c r="C27" t="s">
        <v>4859</v>
      </c>
      <c r="D27" t="str">
        <f>"07085591"</f>
        <v>07085591</v>
      </c>
      <c r="E27" t="str">
        <f>"1433890143"</f>
        <v>1433890143</v>
      </c>
      <c r="F27" t="str">
        <f>"20161101"</f>
        <v>20161101</v>
      </c>
      <c r="G27">
        <v>57</v>
      </c>
      <c r="H27">
        <v>4</v>
      </c>
      <c r="I27">
        <v>340</v>
      </c>
      <c r="J27">
        <v>16</v>
      </c>
      <c r="K27" t="s">
        <v>4860</v>
      </c>
      <c r="L27" t="s">
        <v>2325</v>
      </c>
      <c r="M27" t="s">
        <v>4711</v>
      </c>
      <c r="N27" t="s">
        <v>4679</v>
      </c>
      <c r="O27" t="s">
        <v>4861</v>
      </c>
      <c r="Q27" t="s">
        <v>4862</v>
      </c>
      <c r="R27" t="s">
        <v>4863</v>
      </c>
    </row>
    <row r="28" spans="1:18" x14ac:dyDescent="0.15">
      <c r="A28" t="s">
        <v>4864</v>
      </c>
      <c r="B28" t="s">
        <v>4865</v>
      </c>
      <c r="C28" t="s">
        <v>4866</v>
      </c>
      <c r="D28" t="str">
        <f>"00220221"</f>
        <v>00220221</v>
      </c>
      <c r="F28" t="str">
        <f>"20030301"</f>
        <v>20030301</v>
      </c>
      <c r="G28">
        <v>34</v>
      </c>
      <c r="H28">
        <v>2</v>
      </c>
      <c r="I28">
        <v>176</v>
      </c>
      <c r="J28">
        <v>13</v>
      </c>
      <c r="K28" t="s">
        <v>4867</v>
      </c>
      <c r="L28" t="s">
        <v>4193</v>
      </c>
      <c r="M28" t="s">
        <v>4678</v>
      </c>
      <c r="N28" t="s">
        <v>4679</v>
      </c>
      <c r="O28" t="s">
        <v>4868</v>
      </c>
      <c r="Q28" t="s">
        <v>4869</v>
      </c>
      <c r="R28" t="s">
        <v>4870</v>
      </c>
    </row>
    <row r="29" spans="1:18" x14ac:dyDescent="0.15">
      <c r="A29" t="s">
        <v>4871</v>
      </c>
      <c r="B29" t="s">
        <v>4872</v>
      </c>
      <c r="C29" t="s">
        <v>4873</v>
      </c>
      <c r="E29" t="str">
        <f>"9780826164049; 9780826164056"</f>
        <v>9780826164049; 9780826164056</v>
      </c>
      <c r="F29" t="str">
        <f>"20140101"</f>
        <v>20140101</v>
      </c>
      <c r="I29">
        <v>225</v>
      </c>
      <c r="J29">
        <v>12</v>
      </c>
      <c r="K29" t="s">
        <v>4874</v>
      </c>
      <c r="M29" t="s">
        <v>4875</v>
      </c>
      <c r="N29" t="s">
        <v>4773</v>
      </c>
      <c r="O29" t="s">
        <v>4876</v>
      </c>
      <c r="Q29" t="s">
        <v>4877</v>
      </c>
      <c r="R29" t="s">
        <v>4878</v>
      </c>
    </row>
    <row r="30" spans="1:18" x14ac:dyDescent="0.15">
      <c r="A30" t="s">
        <v>4879</v>
      </c>
      <c r="B30" t="s">
        <v>4880</v>
      </c>
      <c r="C30" t="s">
        <v>4881</v>
      </c>
      <c r="D30" t="str">
        <f>"09545395"</f>
        <v>09545395</v>
      </c>
      <c r="F30" t="str">
        <f>"20190701"</f>
        <v>20190701</v>
      </c>
      <c r="G30">
        <v>29</v>
      </c>
      <c r="H30">
        <v>3</v>
      </c>
      <c r="I30">
        <v>328</v>
      </c>
      <c r="J30">
        <v>25</v>
      </c>
      <c r="K30" t="s">
        <v>4882</v>
      </c>
      <c r="L30" t="s">
        <v>935</v>
      </c>
      <c r="M30" t="s">
        <v>4883</v>
      </c>
      <c r="N30" t="s">
        <v>4679</v>
      </c>
      <c r="O30" t="s">
        <v>4884</v>
      </c>
      <c r="Q30" t="s">
        <v>4885</v>
      </c>
      <c r="R30" t="s">
        <v>4886</v>
      </c>
    </row>
    <row r="31" spans="1:18" x14ac:dyDescent="0.15">
      <c r="A31" t="s">
        <v>4887</v>
      </c>
      <c r="B31" t="s">
        <v>4888</v>
      </c>
      <c r="C31" t="s">
        <v>4889</v>
      </c>
      <c r="E31" t="str">
        <f>"0521614066; 9780521614061; 0521849241; 9780521849241"</f>
        <v>0521614066; 9780521614061; 0521849241; 9780521849241</v>
      </c>
      <c r="F31" t="str">
        <f>"20060101"</f>
        <v>20060101</v>
      </c>
      <c r="I31">
        <v>11</v>
      </c>
      <c r="J31">
        <v>16</v>
      </c>
      <c r="K31" t="s">
        <v>4890</v>
      </c>
      <c r="L31" t="s">
        <v>4891</v>
      </c>
      <c r="M31" t="s">
        <v>4892</v>
      </c>
      <c r="N31" t="s">
        <v>4773</v>
      </c>
      <c r="O31" t="s">
        <v>4893</v>
      </c>
      <c r="Q31" t="s">
        <v>4894</v>
      </c>
      <c r="R31" t="s">
        <v>4895</v>
      </c>
    </row>
    <row r="32" spans="1:18" x14ac:dyDescent="0.15">
      <c r="A32" t="s">
        <v>4896</v>
      </c>
      <c r="B32" t="s">
        <v>2959</v>
      </c>
      <c r="C32" t="s">
        <v>4897</v>
      </c>
      <c r="D32" t="str">
        <f>"10403590"</f>
        <v>10403590</v>
      </c>
      <c r="F32" t="str">
        <f>"20140601"</f>
        <v>20140601</v>
      </c>
      <c r="G32">
        <v>26</v>
      </c>
      <c r="H32">
        <v>2</v>
      </c>
      <c r="I32">
        <v>493</v>
      </c>
      <c r="J32">
        <v>20</v>
      </c>
      <c r="K32" t="s">
        <v>4898</v>
      </c>
      <c r="L32" t="s">
        <v>2973</v>
      </c>
      <c r="M32" t="s">
        <v>4899</v>
      </c>
      <c r="N32" t="s">
        <v>4679</v>
      </c>
      <c r="O32" t="s">
        <v>4900</v>
      </c>
      <c r="Q32" t="s">
        <v>4901</v>
      </c>
      <c r="R32" t="s">
        <v>4902</v>
      </c>
    </row>
    <row r="33" spans="1:18" x14ac:dyDescent="0.15">
      <c r="A33" t="s">
        <v>4903</v>
      </c>
      <c r="B33" t="s">
        <v>3969</v>
      </c>
      <c r="C33" t="s">
        <v>4904</v>
      </c>
      <c r="D33" t="str">
        <f>"00333204"</f>
        <v>00333204</v>
      </c>
      <c r="E33" t="str">
        <f>"1591479274"</f>
        <v>1591479274</v>
      </c>
      <c r="F33" t="str">
        <f>"20061201"</f>
        <v>20061201</v>
      </c>
      <c r="G33">
        <v>43</v>
      </c>
      <c r="H33">
        <v>4</v>
      </c>
      <c r="I33">
        <v>397</v>
      </c>
      <c r="J33">
        <v>13</v>
      </c>
      <c r="K33" t="s">
        <v>4905</v>
      </c>
      <c r="L33" t="s">
        <v>3984</v>
      </c>
      <c r="M33" t="s">
        <v>4711</v>
      </c>
      <c r="N33" t="s">
        <v>4679</v>
      </c>
      <c r="O33" t="s">
        <v>4906</v>
      </c>
      <c r="Q33" t="s">
        <v>4907</v>
      </c>
      <c r="R33" t="s">
        <v>4908</v>
      </c>
    </row>
    <row r="34" spans="1:18" x14ac:dyDescent="0.15">
      <c r="A34" t="s">
        <v>4909</v>
      </c>
      <c r="B34" t="s">
        <v>4910</v>
      </c>
      <c r="C34" t="s">
        <v>4911</v>
      </c>
      <c r="E34" t="str">
        <f>"9781848440951; 9781848447219"</f>
        <v>9781848440951; 9781848447219</v>
      </c>
      <c r="F34" t="str">
        <f>"20090101"</f>
        <v>20090101</v>
      </c>
      <c r="I34">
        <v>345</v>
      </c>
      <c r="J34">
        <v>17</v>
      </c>
      <c r="K34" t="s">
        <v>4912</v>
      </c>
      <c r="L34" t="s">
        <v>4913</v>
      </c>
      <c r="M34" t="s">
        <v>4914</v>
      </c>
      <c r="N34" t="s">
        <v>4773</v>
      </c>
      <c r="O34" t="s">
        <v>4915</v>
      </c>
      <c r="Q34" t="s">
        <v>4916</v>
      </c>
      <c r="R34" t="s">
        <v>4917</v>
      </c>
    </row>
    <row r="35" spans="1:18" x14ac:dyDescent="0.15">
      <c r="A35" t="s">
        <v>4918</v>
      </c>
      <c r="B35" t="s">
        <v>4919</v>
      </c>
      <c r="C35" t="s">
        <v>4920</v>
      </c>
      <c r="E35" t="str">
        <f>"0761927484; 0761927492"</f>
        <v>0761927484; 0761927492</v>
      </c>
      <c r="F35" t="str">
        <f>"20050101"</f>
        <v>20050101</v>
      </c>
      <c r="I35">
        <v>375</v>
      </c>
      <c r="J35">
        <v>26</v>
      </c>
      <c r="K35" t="s">
        <v>4921</v>
      </c>
      <c r="M35" t="s">
        <v>4922</v>
      </c>
      <c r="N35" t="s">
        <v>4773</v>
      </c>
      <c r="O35" t="s">
        <v>4923</v>
      </c>
      <c r="Q35" t="s">
        <v>4924</v>
      </c>
      <c r="R35" t="s">
        <v>4925</v>
      </c>
    </row>
    <row r="36" spans="1:18" x14ac:dyDescent="0.15">
      <c r="A36" t="s">
        <v>4926</v>
      </c>
      <c r="B36" t="s">
        <v>2446</v>
      </c>
      <c r="C36" t="s">
        <v>4927</v>
      </c>
      <c r="D36" t="str">
        <f>"23522518"</f>
        <v>23522518</v>
      </c>
      <c r="F36" t="str">
        <f>"20160401"</f>
        <v>20160401</v>
      </c>
      <c r="G36">
        <v>8</v>
      </c>
      <c r="I36">
        <v>98</v>
      </c>
      <c r="J36">
        <v>7</v>
      </c>
      <c r="K36" t="s">
        <v>4928</v>
      </c>
      <c r="L36" t="s">
        <v>2458</v>
      </c>
      <c r="M36" t="s">
        <v>4735</v>
      </c>
      <c r="N36" t="s">
        <v>4679</v>
      </c>
      <c r="O36" t="s">
        <v>4929</v>
      </c>
      <c r="Q36" t="s">
        <v>4930</v>
      </c>
      <c r="R36" t="s">
        <v>4931</v>
      </c>
    </row>
    <row r="37" spans="1:18" x14ac:dyDescent="0.15">
      <c r="A37" t="s">
        <v>4932</v>
      </c>
      <c r="B37" t="s">
        <v>2252</v>
      </c>
      <c r="C37" t="s">
        <v>4933</v>
      </c>
      <c r="D37" t="str">
        <f>"13557858"</f>
        <v>13557858</v>
      </c>
      <c r="F37" t="str">
        <f>"20161101"</f>
        <v>20161101</v>
      </c>
      <c r="G37">
        <v>21</v>
      </c>
      <c r="H37">
        <v>6</v>
      </c>
      <c r="I37">
        <v>609</v>
      </c>
      <c r="J37">
        <v>19</v>
      </c>
      <c r="K37" t="s">
        <v>4934</v>
      </c>
      <c r="L37" t="s">
        <v>2268</v>
      </c>
      <c r="M37" t="s">
        <v>4728</v>
      </c>
      <c r="N37" t="s">
        <v>4679</v>
      </c>
      <c r="O37" t="s">
        <v>4935</v>
      </c>
      <c r="Q37" t="s">
        <v>4936</v>
      </c>
      <c r="R37" t="s">
        <v>4937</v>
      </c>
    </row>
    <row r="38" spans="1:18" x14ac:dyDescent="0.15">
      <c r="A38" t="s">
        <v>4938</v>
      </c>
      <c r="B38" t="s">
        <v>4939</v>
      </c>
      <c r="C38" t="s">
        <v>4940</v>
      </c>
      <c r="D38" t="str">
        <f>"00332909"</f>
        <v>00332909</v>
      </c>
      <c r="F38" t="str">
        <f>"20160601"</f>
        <v>20160601</v>
      </c>
      <c r="G38">
        <v>142</v>
      </c>
      <c r="H38">
        <v>6</v>
      </c>
      <c r="I38">
        <v>623</v>
      </c>
      <c r="J38">
        <v>32</v>
      </c>
      <c r="K38" t="s">
        <v>4941</v>
      </c>
      <c r="L38" t="s">
        <v>4942</v>
      </c>
      <c r="M38" t="s">
        <v>4899</v>
      </c>
      <c r="N38" t="s">
        <v>4679</v>
      </c>
      <c r="O38" t="s">
        <v>4943</v>
      </c>
      <c r="Q38" t="s">
        <v>4944</v>
      </c>
      <c r="R38" t="s">
        <v>4945</v>
      </c>
    </row>
    <row r="39" spans="1:18" x14ac:dyDescent="0.15">
      <c r="A39" t="s">
        <v>4946</v>
      </c>
      <c r="B39" t="s">
        <v>3614</v>
      </c>
      <c r="C39" t="s">
        <v>4947</v>
      </c>
      <c r="D39" t="str">
        <f>"10901981"</f>
        <v>10901981</v>
      </c>
      <c r="F39" t="str">
        <f>"20091001"</f>
        <v>20091001</v>
      </c>
      <c r="G39">
        <v>36</v>
      </c>
      <c r="H39" t="s">
        <v>4948</v>
      </c>
      <c r="I39" t="s">
        <v>3628</v>
      </c>
      <c r="J39">
        <v>20</v>
      </c>
      <c r="K39" t="s">
        <v>4949</v>
      </c>
      <c r="L39" t="s">
        <v>3630</v>
      </c>
      <c r="M39" t="s">
        <v>4678</v>
      </c>
      <c r="N39" t="s">
        <v>4679</v>
      </c>
      <c r="O39" t="s">
        <v>4950</v>
      </c>
      <c r="Q39" t="s">
        <v>4951</v>
      </c>
      <c r="R39" t="s">
        <v>4952</v>
      </c>
    </row>
    <row r="40" spans="1:18" x14ac:dyDescent="0.15">
      <c r="A40" t="s">
        <v>4953</v>
      </c>
      <c r="B40" t="s">
        <v>4954</v>
      </c>
      <c r="C40" t="s">
        <v>4770</v>
      </c>
      <c r="E40" t="str">
        <f>"9781633213470; 9781633213487"</f>
        <v>9781633213470; 9781633213487</v>
      </c>
      <c r="F40" t="str">
        <f>"20140101"</f>
        <v>20140101</v>
      </c>
      <c r="I40">
        <v>195</v>
      </c>
      <c r="J40">
        <v>10</v>
      </c>
      <c r="K40" t="s">
        <v>4955</v>
      </c>
      <c r="M40" t="s">
        <v>4772</v>
      </c>
      <c r="N40" t="s">
        <v>4773</v>
      </c>
      <c r="O40" t="s">
        <v>4956</v>
      </c>
      <c r="Q40" t="s">
        <v>4957</v>
      </c>
      <c r="R40" t="s">
        <v>4958</v>
      </c>
    </row>
    <row r="41" spans="1:18" x14ac:dyDescent="0.15">
      <c r="A41" t="s">
        <v>4959</v>
      </c>
      <c r="B41" t="s">
        <v>3416</v>
      </c>
      <c r="C41" t="s">
        <v>4960</v>
      </c>
      <c r="D41" t="str">
        <f>"09540261"</f>
        <v>09540261</v>
      </c>
      <c r="F41" t="str">
        <f>"20111201"</f>
        <v>20111201</v>
      </c>
      <c r="G41">
        <v>23</v>
      </c>
      <c r="H41">
        <v>6</v>
      </c>
      <c r="I41">
        <v>555</v>
      </c>
      <c r="J41">
        <v>10</v>
      </c>
      <c r="K41" t="s">
        <v>4961</v>
      </c>
      <c r="L41" t="s">
        <v>3428</v>
      </c>
      <c r="M41" t="s">
        <v>4962</v>
      </c>
      <c r="N41" t="s">
        <v>4679</v>
      </c>
      <c r="O41" t="s">
        <v>4963</v>
      </c>
      <c r="Q41" t="s">
        <v>4964</v>
      </c>
      <c r="R41" t="s">
        <v>4965</v>
      </c>
    </row>
    <row r="42" spans="1:18" x14ac:dyDescent="0.15">
      <c r="A42" t="s">
        <v>4966</v>
      </c>
      <c r="B42" t="s">
        <v>802</v>
      </c>
      <c r="C42" t="s">
        <v>4967</v>
      </c>
      <c r="D42" t="str">
        <f>"13504630"</f>
        <v>13504630</v>
      </c>
      <c r="F42" t="str">
        <f>"20200101"</f>
        <v>20200101</v>
      </c>
      <c r="G42">
        <v>26</v>
      </c>
      <c r="H42">
        <v>1</v>
      </c>
      <c r="I42">
        <v>3</v>
      </c>
      <c r="J42">
        <v>13</v>
      </c>
      <c r="K42" t="s">
        <v>4968</v>
      </c>
      <c r="L42" t="s">
        <v>815</v>
      </c>
      <c r="M42" t="s">
        <v>4728</v>
      </c>
      <c r="N42" t="s">
        <v>4679</v>
      </c>
      <c r="O42" t="s">
        <v>4969</v>
      </c>
      <c r="Q42" t="s">
        <v>4970</v>
      </c>
      <c r="R42" t="s">
        <v>4971</v>
      </c>
    </row>
    <row r="43" spans="1:18" x14ac:dyDescent="0.15">
      <c r="A43" t="s">
        <v>4972</v>
      </c>
      <c r="B43" t="s">
        <v>4973</v>
      </c>
      <c r="C43" t="s">
        <v>4667</v>
      </c>
      <c r="D43" t="str">
        <f>"04194217"</f>
        <v>04194217</v>
      </c>
      <c r="F43" t="str">
        <f>"19951101"</f>
        <v>19951101</v>
      </c>
      <c r="G43">
        <v>56</v>
      </c>
      <c r="H43" t="s">
        <v>4740</v>
      </c>
      <c r="I43">
        <v>2887</v>
      </c>
      <c r="J43">
        <v>1</v>
      </c>
      <c r="K43" t="s">
        <v>4974</v>
      </c>
      <c r="M43" t="s">
        <v>4670</v>
      </c>
      <c r="N43" t="s">
        <v>4671</v>
      </c>
      <c r="O43" t="s">
        <v>4975</v>
      </c>
      <c r="Q43" t="s">
        <v>4976</v>
      </c>
      <c r="R43" t="s">
        <v>4977</v>
      </c>
    </row>
    <row r="44" spans="1:18" x14ac:dyDescent="0.15">
      <c r="A44" t="s">
        <v>4978</v>
      </c>
      <c r="B44" t="s">
        <v>2414</v>
      </c>
      <c r="C44" t="s">
        <v>4676</v>
      </c>
      <c r="D44" t="str">
        <f>"07399863"</f>
        <v>07399863</v>
      </c>
      <c r="F44" t="str">
        <f>"20160501"</f>
        <v>20160501</v>
      </c>
      <c r="G44">
        <v>38</v>
      </c>
      <c r="H44">
        <v>2</v>
      </c>
      <c r="I44">
        <v>155</v>
      </c>
      <c r="J44">
        <v>11</v>
      </c>
      <c r="K44" t="s">
        <v>4979</v>
      </c>
      <c r="L44" t="s">
        <v>2421</v>
      </c>
      <c r="M44" t="s">
        <v>4678</v>
      </c>
      <c r="N44" t="s">
        <v>4679</v>
      </c>
      <c r="O44" t="s">
        <v>4980</v>
      </c>
      <c r="Q44" t="s">
        <v>4981</v>
      </c>
      <c r="R44" t="s">
        <v>4982</v>
      </c>
    </row>
    <row r="45" spans="1:18" x14ac:dyDescent="0.15">
      <c r="A45" t="s">
        <v>4983</v>
      </c>
      <c r="B45" t="s">
        <v>4984</v>
      </c>
      <c r="C45" t="s">
        <v>4985</v>
      </c>
      <c r="D45" t="str">
        <f>"09585192"</f>
        <v>09585192</v>
      </c>
      <c r="F45" t="str">
        <f>"20201101"</f>
        <v>20201101</v>
      </c>
      <c r="G45">
        <v>31</v>
      </c>
      <c r="H45">
        <v>20</v>
      </c>
      <c r="I45">
        <v>2541</v>
      </c>
      <c r="J45">
        <v>24</v>
      </c>
      <c r="K45" t="s">
        <v>4986</v>
      </c>
      <c r="L45" t="s">
        <v>4987</v>
      </c>
      <c r="M45" t="s">
        <v>4728</v>
      </c>
      <c r="N45" t="s">
        <v>4679</v>
      </c>
      <c r="O45" t="s">
        <v>4988</v>
      </c>
      <c r="Q45" t="s">
        <v>4989</v>
      </c>
      <c r="R45" t="s">
        <v>4990</v>
      </c>
    </row>
    <row r="46" spans="1:18" x14ac:dyDescent="0.15">
      <c r="A46" t="s">
        <v>4991</v>
      </c>
      <c r="B46" t="s">
        <v>4992</v>
      </c>
      <c r="C46" t="s">
        <v>4667</v>
      </c>
      <c r="D46" t="str">
        <f>"04194217"</f>
        <v>04194217</v>
      </c>
      <c r="E46" t="str">
        <f>"9781124402918"</f>
        <v>9781124402918</v>
      </c>
      <c r="F46" t="str">
        <f>"20110101"</f>
        <v>20110101</v>
      </c>
      <c r="G46">
        <v>72</v>
      </c>
      <c r="H46" t="s">
        <v>4993</v>
      </c>
      <c r="I46">
        <v>1154</v>
      </c>
      <c r="J46">
        <v>1</v>
      </c>
      <c r="K46" t="s">
        <v>4994</v>
      </c>
      <c r="M46" t="s">
        <v>4670</v>
      </c>
      <c r="N46" t="s">
        <v>4671</v>
      </c>
      <c r="O46" t="s">
        <v>4995</v>
      </c>
      <c r="Q46" t="s">
        <v>4996</v>
      </c>
      <c r="R46" t="s">
        <v>4997</v>
      </c>
    </row>
    <row r="47" spans="1:18" x14ac:dyDescent="0.15">
      <c r="A47" t="s">
        <v>4998</v>
      </c>
      <c r="B47" t="s">
        <v>4999</v>
      </c>
      <c r="C47" t="s">
        <v>4762</v>
      </c>
      <c r="D47" t="str">
        <f>"04194209"</f>
        <v>04194209</v>
      </c>
      <c r="E47" t="str">
        <f>"9781339920115"</f>
        <v>9781339920115</v>
      </c>
      <c r="F47" t="str">
        <f>"20170101"</f>
        <v>20170101</v>
      </c>
      <c r="G47">
        <v>77</v>
      </c>
      <c r="H47" t="s">
        <v>5000</v>
      </c>
      <c r="K47" t="s">
        <v>5001</v>
      </c>
      <c r="M47" t="s">
        <v>4670</v>
      </c>
      <c r="N47" t="s">
        <v>4671</v>
      </c>
      <c r="O47" t="s">
        <v>5002</v>
      </c>
      <c r="Q47" t="s">
        <v>5003</v>
      </c>
      <c r="R47" t="s">
        <v>5004</v>
      </c>
    </row>
    <row r="48" spans="1:18" x14ac:dyDescent="0.15">
      <c r="A48" t="s">
        <v>5005</v>
      </c>
      <c r="B48" t="s">
        <v>5006</v>
      </c>
      <c r="C48" t="s">
        <v>5007</v>
      </c>
      <c r="D48" t="str">
        <f>"07028466"</f>
        <v>07028466</v>
      </c>
      <c r="F48" t="str">
        <f>"19811201"</f>
        <v>19811201</v>
      </c>
      <c r="G48">
        <v>6</v>
      </c>
      <c r="H48">
        <v>4</v>
      </c>
      <c r="I48">
        <v>234</v>
      </c>
      <c r="J48">
        <v>5</v>
      </c>
      <c r="K48" t="s">
        <v>5008</v>
      </c>
      <c r="M48" t="s">
        <v>5009</v>
      </c>
      <c r="N48" t="s">
        <v>4679</v>
      </c>
      <c r="O48" t="s">
        <v>5010</v>
      </c>
      <c r="Q48" t="s">
        <v>5011</v>
      </c>
      <c r="R48" t="s">
        <v>5012</v>
      </c>
    </row>
    <row r="49" spans="1:18" x14ac:dyDescent="0.15">
      <c r="A49" t="s">
        <v>5013</v>
      </c>
      <c r="B49" t="s">
        <v>2128</v>
      </c>
      <c r="C49" t="s">
        <v>5014</v>
      </c>
      <c r="D49" t="str">
        <f>"01490400"</f>
        <v>01490400</v>
      </c>
      <c r="F49" t="str">
        <f>"20171101"</f>
        <v>20171101</v>
      </c>
      <c r="G49">
        <v>39</v>
      </c>
      <c r="H49">
        <v>6</v>
      </c>
      <c r="I49">
        <v>524</v>
      </c>
      <c r="J49">
        <v>19</v>
      </c>
      <c r="K49" t="s">
        <v>5015</v>
      </c>
      <c r="L49" t="s">
        <v>2142</v>
      </c>
      <c r="M49" t="s">
        <v>4728</v>
      </c>
      <c r="N49" t="s">
        <v>4679</v>
      </c>
      <c r="O49" t="s">
        <v>5016</v>
      </c>
      <c r="Q49" t="s">
        <v>5017</v>
      </c>
      <c r="R49" t="s">
        <v>5018</v>
      </c>
    </row>
    <row r="50" spans="1:18" x14ac:dyDescent="0.15">
      <c r="A50" t="s">
        <v>5019</v>
      </c>
      <c r="B50" t="s">
        <v>5020</v>
      </c>
      <c r="C50" t="s">
        <v>4053</v>
      </c>
      <c r="D50" t="str">
        <f>"03600572"</f>
        <v>03600572</v>
      </c>
      <c r="F50" t="str">
        <f>"20050101"</f>
        <v>20050101</v>
      </c>
      <c r="G50">
        <v>31</v>
      </c>
      <c r="I50">
        <v>105</v>
      </c>
      <c r="J50">
        <v>21</v>
      </c>
      <c r="K50" t="s">
        <v>5021</v>
      </c>
      <c r="L50" t="s">
        <v>4069</v>
      </c>
      <c r="M50" t="s">
        <v>5022</v>
      </c>
      <c r="N50" t="s">
        <v>4679</v>
      </c>
      <c r="O50" t="s">
        <v>5023</v>
      </c>
      <c r="Q50" t="s">
        <v>5024</v>
      </c>
      <c r="R50" t="s">
        <v>5025</v>
      </c>
    </row>
    <row r="51" spans="1:18" x14ac:dyDescent="0.15">
      <c r="A51" t="s">
        <v>5026</v>
      </c>
      <c r="B51" t="s">
        <v>5027</v>
      </c>
      <c r="C51" t="s">
        <v>5028</v>
      </c>
      <c r="E51" t="str">
        <f>"0805853154; 9780805853155; 0805853146"</f>
        <v>0805853154; 9780805853155; 0805853146</v>
      </c>
      <c r="F51" t="str">
        <f>"20060101"</f>
        <v>20060101</v>
      </c>
      <c r="I51">
        <v>33</v>
      </c>
      <c r="J51">
        <v>22</v>
      </c>
      <c r="K51" t="s">
        <v>5029</v>
      </c>
      <c r="M51" t="s">
        <v>5030</v>
      </c>
      <c r="N51" t="s">
        <v>4773</v>
      </c>
      <c r="O51" t="s">
        <v>5031</v>
      </c>
      <c r="Q51" t="s">
        <v>5032</v>
      </c>
      <c r="R51" t="s">
        <v>5033</v>
      </c>
    </row>
    <row r="52" spans="1:18" x14ac:dyDescent="0.15">
      <c r="A52" t="s">
        <v>5034</v>
      </c>
      <c r="B52" t="s">
        <v>561</v>
      </c>
      <c r="C52" t="s">
        <v>5035</v>
      </c>
      <c r="D52" t="str">
        <f>"0009398X"</f>
        <v>0009398X</v>
      </c>
      <c r="F52" t="str">
        <f>"20200601"</f>
        <v>20200601</v>
      </c>
      <c r="G52">
        <v>51</v>
      </c>
      <c r="H52">
        <v>3</v>
      </c>
      <c r="I52">
        <v>471</v>
      </c>
      <c r="J52">
        <v>7</v>
      </c>
      <c r="K52" t="s">
        <v>5036</v>
      </c>
      <c r="L52" t="s">
        <v>580</v>
      </c>
      <c r="M52" t="s">
        <v>4696</v>
      </c>
      <c r="N52" t="s">
        <v>4679</v>
      </c>
      <c r="O52" t="s">
        <v>5037</v>
      </c>
      <c r="Q52" t="s">
        <v>5038</v>
      </c>
      <c r="R52" t="s">
        <v>5039</v>
      </c>
    </row>
    <row r="53" spans="1:18" x14ac:dyDescent="0.15">
      <c r="A53" t="s">
        <v>5040</v>
      </c>
      <c r="B53" t="s">
        <v>5041</v>
      </c>
      <c r="C53" t="s">
        <v>4762</v>
      </c>
      <c r="D53" t="str">
        <f>"04194209"</f>
        <v>04194209</v>
      </c>
      <c r="E53" t="str">
        <f>"9781124689067"</f>
        <v>9781124689067</v>
      </c>
      <c r="F53" t="str">
        <f>"20120101"</f>
        <v>20120101</v>
      </c>
      <c r="G53">
        <v>72</v>
      </c>
      <c r="H53" t="s">
        <v>5042</v>
      </c>
      <c r="I53">
        <v>2627</v>
      </c>
      <c r="J53">
        <v>1</v>
      </c>
      <c r="K53" t="s">
        <v>5043</v>
      </c>
      <c r="M53" t="s">
        <v>4670</v>
      </c>
      <c r="N53" t="s">
        <v>4671</v>
      </c>
      <c r="O53" t="s">
        <v>5044</v>
      </c>
      <c r="Q53" t="s">
        <v>5045</v>
      </c>
      <c r="R53" t="s">
        <v>5046</v>
      </c>
    </row>
    <row r="54" spans="1:18" x14ac:dyDescent="0.15">
      <c r="A54" t="s">
        <v>5047</v>
      </c>
      <c r="B54" t="s">
        <v>3209</v>
      </c>
      <c r="C54" t="s">
        <v>4733</v>
      </c>
      <c r="D54" t="str">
        <f>"01471767"</f>
        <v>01471767</v>
      </c>
      <c r="F54" t="str">
        <f>"20120701"</f>
        <v>20120701</v>
      </c>
      <c r="G54">
        <v>36</v>
      </c>
      <c r="H54">
        <v>4</v>
      </c>
      <c r="I54">
        <v>472</v>
      </c>
      <c r="J54">
        <v>14</v>
      </c>
      <c r="K54" t="s">
        <v>5048</v>
      </c>
      <c r="L54" t="s">
        <v>3218</v>
      </c>
      <c r="M54" t="s">
        <v>4735</v>
      </c>
      <c r="N54" t="s">
        <v>4679</v>
      </c>
      <c r="O54" t="s">
        <v>5049</v>
      </c>
      <c r="Q54" t="s">
        <v>5050</v>
      </c>
      <c r="R54" t="s">
        <v>5051</v>
      </c>
    </row>
    <row r="55" spans="1:18" x14ac:dyDescent="0.15">
      <c r="A55" t="s">
        <v>5052</v>
      </c>
      <c r="B55" t="s">
        <v>5053</v>
      </c>
      <c r="C55" t="s">
        <v>4667</v>
      </c>
      <c r="D55" t="str">
        <f>"04194217"</f>
        <v>04194217</v>
      </c>
      <c r="E55" t="str">
        <f>"9781339423494"</f>
        <v>9781339423494</v>
      </c>
      <c r="F55" t="str">
        <f>"20160101"</f>
        <v>20160101</v>
      </c>
      <c r="G55">
        <v>77</v>
      </c>
      <c r="H55" t="s">
        <v>5054</v>
      </c>
      <c r="K55" t="s">
        <v>5055</v>
      </c>
      <c r="M55" t="s">
        <v>4670</v>
      </c>
      <c r="N55" t="s">
        <v>4671</v>
      </c>
      <c r="O55" t="s">
        <v>5056</v>
      </c>
      <c r="Q55" t="s">
        <v>5057</v>
      </c>
      <c r="R55" t="s">
        <v>5058</v>
      </c>
    </row>
    <row r="56" spans="1:18" x14ac:dyDescent="0.15">
      <c r="A56" t="s">
        <v>5059</v>
      </c>
      <c r="B56" t="s">
        <v>5060</v>
      </c>
      <c r="C56" t="s">
        <v>5061</v>
      </c>
      <c r="E56" t="str">
        <f>"089464839X"</f>
        <v>089464839X</v>
      </c>
      <c r="F56" t="str">
        <f>"19940101"</f>
        <v>19940101</v>
      </c>
      <c r="I56">
        <v>20</v>
      </c>
      <c r="J56">
        <v>32</v>
      </c>
      <c r="K56" t="s">
        <v>5062</v>
      </c>
      <c r="M56" t="s">
        <v>5063</v>
      </c>
      <c r="N56" t="s">
        <v>4773</v>
      </c>
      <c r="O56" t="s">
        <v>5064</v>
      </c>
      <c r="Q56" t="s">
        <v>5065</v>
      </c>
      <c r="R56" t="s">
        <v>5066</v>
      </c>
    </row>
    <row r="57" spans="1:18" x14ac:dyDescent="0.15">
      <c r="A57" t="s">
        <v>5067</v>
      </c>
      <c r="B57" t="s">
        <v>5068</v>
      </c>
      <c r="C57" t="s">
        <v>4762</v>
      </c>
      <c r="D57" t="str">
        <f>"04194209"</f>
        <v>04194209</v>
      </c>
      <c r="E57" t="str">
        <f>"9781124490182"</f>
        <v>9781124490182</v>
      </c>
      <c r="F57" t="str">
        <f>"20110101"</f>
        <v>20110101</v>
      </c>
      <c r="G57">
        <v>72</v>
      </c>
      <c r="H57" t="s">
        <v>5069</v>
      </c>
      <c r="I57">
        <v>1445</v>
      </c>
      <c r="J57">
        <v>1</v>
      </c>
      <c r="K57" t="s">
        <v>5070</v>
      </c>
      <c r="M57" t="s">
        <v>4670</v>
      </c>
      <c r="N57" t="s">
        <v>4671</v>
      </c>
      <c r="O57" t="s">
        <v>5071</v>
      </c>
      <c r="Q57" t="s">
        <v>5072</v>
      </c>
      <c r="R57" t="s">
        <v>5073</v>
      </c>
    </row>
    <row r="58" spans="1:18" x14ac:dyDescent="0.15">
      <c r="A58" t="s">
        <v>5074</v>
      </c>
      <c r="B58" t="s">
        <v>5075</v>
      </c>
      <c r="C58" t="s">
        <v>4762</v>
      </c>
      <c r="D58" t="str">
        <f>"04194209"</f>
        <v>04194209</v>
      </c>
      <c r="E58" t="str">
        <f>"9780438112438"</f>
        <v>9780438112438</v>
      </c>
      <c r="F58" t="str">
        <f>"20180101"</f>
        <v>20180101</v>
      </c>
      <c r="G58">
        <v>79</v>
      </c>
      <c r="H58" t="s">
        <v>5000</v>
      </c>
      <c r="K58" t="s">
        <v>5076</v>
      </c>
      <c r="M58" t="s">
        <v>4670</v>
      </c>
      <c r="N58" t="s">
        <v>4671</v>
      </c>
      <c r="O58" t="s">
        <v>5077</v>
      </c>
      <c r="Q58" t="s">
        <v>5078</v>
      </c>
      <c r="R58" t="s">
        <v>5079</v>
      </c>
    </row>
    <row r="59" spans="1:18" x14ac:dyDescent="0.15">
      <c r="A59" t="s">
        <v>5080</v>
      </c>
      <c r="B59" t="s">
        <v>5081</v>
      </c>
      <c r="C59" t="s">
        <v>5082</v>
      </c>
      <c r="D59" t="str">
        <f>"00224537"</f>
        <v>00224537</v>
      </c>
      <c r="F59" t="str">
        <f>"20190601"</f>
        <v>20190601</v>
      </c>
      <c r="G59">
        <v>75</v>
      </c>
      <c r="H59">
        <v>2</v>
      </c>
      <c r="I59">
        <v>414</v>
      </c>
      <c r="J59">
        <v>22</v>
      </c>
      <c r="K59" t="s">
        <v>5083</v>
      </c>
      <c r="L59" t="s">
        <v>5084</v>
      </c>
      <c r="M59" t="s">
        <v>4883</v>
      </c>
      <c r="N59" t="s">
        <v>4679</v>
      </c>
      <c r="O59" t="s">
        <v>5085</v>
      </c>
      <c r="Q59" t="s">
        <v>5086</v>
      </c>
      <c r="R59" t="s">
        <v>5087</v>
      </c>
    </row>
    <row r="60" spans="1:18" x14ac:dyDescent="0.15">
      <c r="A60" t="s">
        <v>5088</v>
      </c>
      <c r="B60" t="s">
        <v>3360</v>
      </c>
      <c r="C60" t="s">
        <v>4733</v>
      </c>
      <c r="D60" t="str">
        <f>"01471767"</f>
        <v>01471767</v>
      </c>
      <c r="F60" t="str">
        <f>"20110501"</f>
        <v>20110501</v>
      </c>
      <c r="G60">
        <v>35</v>
      </c>
      <c r="H60">
        <v>3</v>
      </c>
      <c r="I60">
        <v>334</v>
      </c>
      <c r="J60">
        <v>12</v>
      </c>
      <c r="K60" t="s">
        <v>5089</v>
      </c>
      <c r="L60" t="s">
        <v>3368</v>
      </c>
      <c r="M60" t="s">
        <v>4735</v>
      </c>
      <c r="N60" t="s">
        <v>4679</v>
      </c>
      <c r="O60" t="s">
        <v>5090</v>
      </c>
      <c r="Q60" t="s">
        <v>5091</v>
      </c>
      <c r="R60" t="s">
        <v>5092</v>
      </c>
    </row>
    <row r="61" spans="1:18" x14ac:dyDescent="0.15">
      <c r="A61" t="s">
        <v>5093</v>
      </c>
      <c r="B61" t="s">
        <v>5094</v>
      </c>
      <c r="C61" t="s">
        <v>5095</v>
      </c>
      <c r="D61" t="str">
        <f>"15248399"</f>
        <v>15248399</v>
      </c>
      <c r="F61" t="str">
        <f>"20140701"</f>
        <v>20140701</v>
      </c>
      <c r="G61">
        <v>15</v>
      </c>
      <c r="H61">
        <v>4</v>
      </c>
      <c r="I61">
        <v>575</v>
      </c>
      <c r="J61">
        <v>10</v>
      </c>
      <c r="K61" t="s">
        <v>5096</v>
      </c>
      <c r="L61" t="s">
        <v>5097</v>
      </c>
      <c r="M61" t="s">
        <v>4678</v>
      </c>
      <c r="N61" t="s">
        <v>4679</v>
      </c>
      <c r="O61" t="s">
        <v>5098</v>
      </c>
      <c r="Q61" t="s">
        <v>5099</v>
      </c>
      <c r="R61" t="s">
        <v>5100</v>
      </c>
    </row>
    <row r="62" spans="1:18" x14ac:dyDescent="0.15">
      <c r="A62" t="s">
        <v>5101</v>
      </c>
      <c r="B62" t="s">
        <v>5102</v>
      </c>
      <c r="C62" t="s">
        <v>5103</v>
      </c>
      <c r="D62" t="str">
        <f>"02775395"</f>
        <v>02775395</v>
      </c>
      <c r="F62" t="str">
        <f>"20200701"</f>
        <v>20200701</v>
      </c>
      <c r="G62">
        <v>81</v>
      </c>
      <c r="K62" t="s">
        <v>5104</v>
      </c>
      <c r="L62" t="s">
        <v>5105</v>
      </c>
      <c r="M62" t="s">
        <v>4735</v>
      </c>
      <c r="N62" t="s">
        <v>4679</v>
      </c>
      <c r="O62" t="s">
        <v>5106</v>
      </c>
      <c r="Q62" t="s">
        <v>5107</v>
      </c>
      <c r="R62" t="s">
        <v>5108</v>
      </c>
    </row>
    <row r="63" spans="1:18" x14ac:dyDescent="0.15">
      <c r="A63" t="s">
        <v>5109</v>
      </c>
      <c r="B63" t="s">
        <v>5110</v>
      </c>
      <c r="C63" t="s">
        <v>5111</v>
      </c>
      <c r="D63" t="str">
        <f>"18344909"</f>
        <v>18344909</v>
      </c>
      <c r="F63" t="str">
        <f>"20120601"</f>
        <v>20120601</v>
      </c>
      <c r="G63">
        <v>6</v>
      </c>
      <c r="H63">
        <v>1</v>
      </c>
      <c r="I63">
        <v>27</v>
      </c>
      <c r="J63">
        <v>5</v>
      </c>
      <c r="K63" t="s">
        <v>5112</v>
      </c>
      <c r="L63" t="s">
        <v>5113</v>
      </c>
      <c r="M63" t="s">
        <v>4892</v>
      </c>
      <c r="N63" t="s">
        <v>4828</v>
      </c>
      <c r="O63" t="s">
        <v>5114</v>
      </c>
      <c r="Q63" t="s">
        <v>5115</v>
      </c>
      <c r="R63" t="s">
        <v>5116</v>
      </c>
    </row>
    <row r="64" spans="1:18" x14ac:dyDescent="0.15">
      <c r="A64" t="s">
        <v>5117</v>
      </c>
      <c r="B64" t="s">
        <v>5118</v>
      </c>
      <c r="C64" t="s">
        <v>5111</v>
      </c>
      <c r="D64" t="str">
        <f>"18344909"</f>
        <v>18344909</v>
      </c>
      <c r="F64" t="str">
        <f>"20111201"</f>
        <v>20111201</v>
      </c>
      <c r="G64">
        <v>5</v>
      </c>
      <c r="H64">
        <v>2</v>
      </c>
      <c r="I64">
        <v>75</v>
      </c>
      <c r="J64">
        <v>6</v>
      </c>
      <c r="K64" t="s">
        <v>5119</v>
      </c>
      <c r="L64" t="s">
        <v>5120</v>
      </c>
      <c r="M64" t="s">
        <v>4892</v>
      </c>
      <c r="N64" t="s">
        <v>4828</v>
      </c>
      <c r="O64" t="s">
        <v>5121</v>
      </c>
      <c r="Q64" t="s">
        <v>5122</v>
      </c>
      <c r="R64" t="s">
        <v>5123</v>
      </c>
    </row>
    <row r="65" spans="1:18" x14ac:dyDescent="0.15">
      <c r="A65" t="s">
        <v>5124</v>
      </c>
      <c r="B65" t="s">
        <v>4919</v>
      </c>
      <c r="E65" t="str">
        <f>"090502883X; 0905028821"</f>
        <v>090502883X; 0905028821</v>
      </c>
      <c r="F65" t="str">
        <f>"19880101"</f>
        <v>19880101</v>
      </c>
      <c r="J65">
        <v>223</v>
      </c>
      <c r="K65" t="s">
        <v>5125</v>
      </c>
      <c r="M65" t="s">
        <v>5126</v>
      </c>
      <c r="O65" t="s">
        <v>5127</v>
      </c>
      <c r="Q65" t="s">
        <v>5128</v>
      </c>
      <c r="R65" t="s">
        <v>5129</v>
      </c>
    </row>
    <row r="66" spans="1:18" x14ac:dyDescent="0.15">
      <c r="A66" t="s">
        <v>5130</v>
      </c>
      <c r="B66" t="s">
        <v>5131</v>
      </c>
      <c r="C66" t="s">
        <v>5132</v>
      </c>
      <c r="D66" t="str">
        <f>"07770707"</f>
        <v>07770707</v>
      </c>
      <c r="F66" t="str">
        <f>"20101001"</f>
        <v>20101001</v>
      </c>
      <c r="G66">
        <v>88</v>
      </c>
      <c r="H66">
        <v>4</v>
      </c>
      <c r="I66">
        <v>663</v>
      </c>
      <c r="J66">
        <v>20</v>
      </c>
      <c r="K66" t="s">
        <v>5133</v>
      </c>
      <c r="M66" t="s">
        <v>5134</v>
      </c>
      <c r="N66" t="s">
        <v>4679</v>
      </c>
      <c r="O66" t="s">
        <v>5135</v>
      </c>
      <c r="Q66" t="s">
        <v>5136</v>
      </c>
      <c r="R66" t="s">
        <v>5137</v>
      </c>
    </row>
    <row r="67" spans="1:18" x14ac:dyDescent="0.15">
      <c r="A67" t="s">
        <v>5138</v>
      </c>
      <c r="B67" t="s">
        <v>5139</v>
      </c>
      <c r="C67" t="s">
        <v>5140</v>
      </c>
      <c r="D67" t="str">
        <f>"02706075"</f>
        <v>02706075</v>
      </c>
      <c r="E67" t="str">
        <f>"0803930372; 0803930380"</f>
        <v>0803930372; 0803930380</v>
      </c>
      <c r="F67" t="str">
        <f>"19880101"</f>
        <v>19880101</v>
      </c>
      <c r="I67">
        <v>20</v>
      </c>
      <c r="J67">
        <v>22</v>
      </c>
      <c r="K67" t="s">
        <v>5141</v>
      </c>
      <c r="M67" t="s">
        <v>5142</v>
      </c>
      <c r="N67" t="s">
        <v>4773</v>
      </c>
      <c r="O67" t="s">
        <v>5143</v>
      </c>
      <c r="Q67" t="s">
        <v>5144</v>
      </c>
      <c r="R67" t="s">
        <v>5145</v>
      </c>
    </row>
    <row r="68" spans="1:18" x14ac:dyDescent="0.15">
      <c r="A68" t="s">
        <v>5146</v>
      </c>
      <c r="B68" t="s">
        <v>5147</v>
      </c>
      <c r="C68" t="s">
        <v>5148</v>
      </c>
      <c r="D68" t="str">
        <f>"00103853"</f>
        <v>00103853</v>
      </c>
      <c r="F68" t="str">
        <f>"19931001"</f>
        <v>19931001</v>
      </c>
      <c r="G68">
        <v>29</v>
      </c>
      <c r="H68">
        <v>5</v>
      </c>
      <c r="I68">
        <v>405</v>
      </c>
      <c r="J68">
        <v>8</v>
      </c>
      <c r="K68" t="s">
        <v>5149</v>
      </c>
      <c r="L68" t="s">
        <v>5150</v>
      </c>
      <c r="M68" t="s">
        <v>4696</v>
      </c>
      <c r="N68" t="s">
        <v>4679</v>
      </c>
      <c r="O68" t="s">
        <v>5151</v>
      </c>
      <c r="Q68" t="s">
        <v>5152</v>
      </c>
      <c r="R68" t="s">
        <v>5153</v>
      </c>
    </row>
    <row r="69" spans="1:18" x14ac:dyDescent="0.15">
      <c r="A69" t="s">
        <v>5154</v>
      </c>
      <c r="B69" t="s">
        <v>2498</v>
      </c>
      <c r="C69" t="s">
        <v>5155</v>
      </c>
      <c r="D69" t="str">
        <f>"00223514"</f>
        <v>00223514</v>
      </c>
      <c r="F69" t="str">
        <f>"20160201"</f>
        <v>20160201</v>
      </c>
      <c r="G69">
        <v>110</v>
      </c>
      <c r="H69">
        <v>2</v>
      </c>
      <c r="I69">
        <v>302</v>
      </c>
      <c r="J69">
        <v>30</v>
      </c>
      <c r="K69" t="s">
        <v>5156</v>
      </c>
      <c r="L69" t="s">
        <v>2515</v>
      </c>
      <c r="M69" t="s">
        <v>4899</v>
      </c>
      <c r="N69" t="s">
        <v>4679</v>
      </c>
      <c r="O69" t="s">
        <v>5157</v>
      </c>
      <c r="Q69" t="s">
        <v>5158</v>
      </c>
      <c r="R69" t="s">
        <v>5159</v>
      </c>
    </row>
    <row r="70" spans="1:18" x14ac:dyDescent="0.15">
      <c r="A70" t="s">
        <v>5160</v>
      </c>
      <c r="B70" t="s">
        <v>5161</v>
      </c>
      <c r="C70" t="s">
        <v>5162</v>
      </c>
      <c r="D70" t="str">
        <f>"16641078"</f>
        <v>16641078</v>
      </c>
      <c r="F70" t="str">
        <f>"20170331"</f>
        <v>20170331</v>
      </c>
      <c r="G70">
        <v>8</v>
      </c>
      <c r="K70" t="s">
        <v>5163</v>
      </c>
      <c r="M70" t="s">
        <v>5164</v>
      </c>
      <c r="N70" t="s">
        <v>4679</v>
      </c>
      <c r="O70" t="s">
        <v>5165</v>
      </c>
      <c r="Q70" t="s">
        <v>5166</v>
      </c>
      <c r="R70" t="s">
        <v>5167</v>
      </c>
    </row>
    <row r="71" spans="1:18" x14ac:dyDescent="0.15">
      <c r="A71" t="s">
        <v>5168</v>
      </c>
      <c r="B71" t="s">
        <v>784</v>
      </c>
      <c r="C71" t="s">
        <v>5169</v>
      </c>
      <c r="D71" t="str">
        <f>"10646175"</f>
        <v>10646175</v>
      </c>
      <c r="F71" t="str">
        <f>"20181220"</f>
        <v>20181220</v>
      </c>
      <c r="K71" t="s">
        <v>5170</v>
      </c>
      <c r="L71" t="s">
        <v>798</v>
      </c>
      <c r="M71" t="s">
        <v>4728</v>
      </c>
      <c r="O71" t="s">
        <v>5171</v>
      </c>
      <c r="Q71" t="s">
        <v>5172</v>
      </c>
      <c r="R71" t="s">
        <v>5173</v>
      </c>
    </row>
    <row r="72" spans="1:18" x14ac:dyDescent="0.15">
      <c r="A72" t="s">
        <v>5174</v>
      </c>
      <c r="B72" t="s">
        <v>5175</v>
      </c>
      <c r="C72" t="s">
        <v>5176</v>
      </c>
      <c r="E72" t="str">
        <f>"9781107019508"</f>
        <v>9781107019508</v>
      </c>
      <c r="F72" t="str">
        <f>"20120101"</f>
        <v>20120101</v>
      </c>
      <c r="I72">
        <v>359</v>
      </c>
      <c r="J72">
        <v>17</v>
      </c>
      <c r="K72" t="s">
        <v>5177</v>
      </c>
      <c r="L72" t="s">
        <v>5178</v>
      </c>
      <c r="M72" t="s">
        <v>4892</v>
      </c>
      <c r="N72" t="s">
        <v>4773</v>
      </c>
      <c r="O72" t="s">
        <v>5179</v>
      </c>
      <c r="Q72" t="s">
        <v>5180</v>
      </c>
      <c r="R72" t="s">
        <v>5181</v>
      </c>
    </row>
    <row r="73" spans="1:18" x14ac:dyDescent="0.15">
      <c r="A73" t="s">
        <v>5182</v>
      </c>
      <c r="B73" t="s">
        <v>4794</v>
      </c>
      <c r="C73" t="s">
        <v>5183</v>
      </c>
      <c r="D73" t="str">
        <f>"0269994X"</f>
        <v>0269994X</v>
      </c>
      <c r="F73" t="str">
        <f>"19970101"</f>
        <v>19970101</v>
      </c>
      <c r="G73">
        <v>46</v>
      </c>
      <c r="H73">
        <v>1</v>
      </c>
      <c r="I73">
        <v>62</v>
      </c>
      <c r="J73">
        <v>7</v>
      </c>
      <c r="K73" t="s">
        <v>5184</v>
      </c>
      <c r="L73" t="s">
        <v>5185</v>
      </c>
      <c r="M73" t="s">
        <v>5186</v>
      </c>
      <c r="N73" t="s">
        <v>4828</v>
      </c>
      <c r="O73" t="s">
        <v>5187</v>
      </c>
      <c r="Q73" t="s">
        <v>5188</v>
      </c>
      <c r="R73" t="s">
        <v>5189</v>
      </c>
    </row>
    <row r="74" spans="1:18" x14ac:dyDescent="0.15">
      <c r="A74" t="s">
        <v>5190</v>
      </c>
      <c r="B74" t="s">
        <v>5191</v>
      </c>
      <c r="E74" t="str">
        <f>"9780415783422; 9780203758359"</f>
        <v>9780415783422; 9780203758359</v>
      </c>
      <c r="F74" t="str">
        <f>"20130101"</f>
        <v>20130101</v>
      </c>
      <c r="J74">
        <v>242</v>
      </c>
      <c r="K74" t="s">
        <v>5192</v>
      </c>
      <c r="L74" t="s">
        <v>5193</v>
      </c>
      <c r="M74" t="s">
        <v>5194</v>
      </c>
      <c r="O74" t="s">
        <v>5195</v>
      </c>
      <c r="Q74" t="s">
        <v>5196</v>
      </c>
      <c r="R74" t="s">
        <v>5197</v>
      </c>
    </row>
    <row r="75" spans="1:18" x14ac:dyDescent="0.15">
      <c r="A75" t="s">
        <v>5198</v>
      </c>
      <c r="B75" t="s">
        <v>5199</v>
      </c>
      <c r="C75" t="s">
        <v>5200</v>
      </c>
      <c r="D75" t="str">
        <f>"10962409"</f>
        <v>10962409</v>
      </c>
      <c r="F75" t="str">
        <f>"20071001"</f>
        <v>20071001</v>
      </c>
      <c r="G75">
        <v>11</v>
      </c>
      <c r="H75">
        <v>1</v>
      </c>
      <c r="I75">
        <v>25</v>
      </c>
      <c r="J75">
        <v>10</v>
      </c>
      <c r="K75" t="s">
        <v>5201</v>
      </c>
      <c r="L75" t="s">
        <v>5202</v>
      </c>
      <c r="M75" t="s">
        <v>5203</v>
      </c>
      <c r="N75" t="s">
        <v>4679</v>
      </c>
      <c r="O75" t="s">
        <v>5204</v>
      </c>
      <c r="Q75" t="s">
        <v>5205</v>
      </c>
      <c r="R75" t="s">
        <v>5206</v>
      </c>
    </row>
    <row r="76" spans="1:18" x14ac:dyDescent="0.15">
      <c r="A76" t="s">
        <v>5207</v>
      </c>
      <c r="B76" t="s">
        <v>5208</v>
      </c>
      <c r="C76" t="s">
        <v>5209</v>
      </c>
      <c r="D76" t="str">
        <f>"00222445"</f>
        <v>00222445</v>
      </c>
      <c r="F76" t="str">
        <f>"20100601"</f>
        <v>20100601</v>
      </c>
      <c r="G76">
        <v>72</v>
      </c>
      <c r="H76">
        <v>3</v>
      </c>
      <c r="I76">
        <v>440</v>
      </c>
      <c r="J76">
        <v>20</v>
      </c>
      <c r="K76" t="s">
        <v>5210</v>
      </c>
      <c r="L76" t="s">
        <v>5211</v>
      </c>
      <c r="M76" t="s">
        <v>4883</v>
      </c>
      <c r="N76" t="s">
        <v>4679</v>
      </c>
      <c r="O76" t="s">
        <v>5212</v>
      </c>
      <c r="Q76" t="s">
        <v>5213</v>
      </c>
      <c r="R76" t="s">
        <v>5214</v>
      </c>
    </row>
    <row r="77" spans="1:18" x14ac:dyDescent="0.15">
      <c r="A77" t="s">
        <v>5215</v>
      </c>
      <c r="B77" t="s">
        <v>5216</v>
      </c>
      <c r="C77" t="s">
        <v>5217</v>
      </c>
      <c r="E77" t="str">
        <f>"0826188109"</f>
        <v>0826188109</v>
      </c>
      <c r="F77" t="str">
        <f>"19950101"</f>
        <v>19950101</v>
      </c>
      <c r="I77">
        <v>55</v>
      </c>
      <c r="J77">
        <v>5</v>
      </c>
      <c r="K77" t="s">
        <v>5218</v>
      </c>
      <c r="M77" t="s">
        <v>5219</v>
      </c>
      <c r="N77" t="s">
        <v>4773</v>
      </c>
      <c r="O77" t="s">
        <v>5220</v>
      </c>
      <c r="Q77" t="s">
        <v>5221</v>
      </c>
      <c r="R77" t="s">
        <v>5222</v>
      </c>
    </row>
    <row r="78" spans="1:18" x14ac:dyDescent="0.15">
      <c r="A78" t="s">
        <v>5223</v>
      </c>
      <c r="B78" t="s">
        <v>5224</v>
      </c>
      <c r="C78" t="s">
        <v>4762</v>
      </c>
      <c r="D78" t="str">
        <f>"04194209"</f>
        <v>04194209</v>
      </c>
      <c r="F78" t="str">
        <f>"19830801"</f>
        <v>19830801</v>
      </c>
      <c r="G78">
        <v>44</v>
      </c>
      <c r="H78" t="s">
        <v>5225</v>
      </c>
      <c r="I78">
        <v>419</v>
      </c>
      <c r="J78">
        <v>1</v>
      </c>
      <c r="K78" t="s">
        <v>5226</v>
      </c>
      <c r="M78" t="s">
        <v>4670</v>
      </c>
      <c r="N78" t="s">
        <v>4671</v>
      </c>
      <c r="O78" t="s">
        <v>5227</v>
      </c>
      <c r="R78" t="s">
        <v>5228</v>
      </c>
    </row>
    <row r="79" spans="1:18" x14ac:dyDescent="0.15">
      <c r="A79" t="s">
        <v>5229</v>
      </c>
      <c r="B79" t="s">
        <v>5230</v>
      </c>
      <c r="C79" t="s">
        <v>5231</v>
      </c>
      <c r="D79" t="str">
        <f>"23302925"</f>
        <v>23302925</v>
      </c>
      <c r="F79" t="str">
        <f>"20140701"</f>
        <v>20140701</v>
      </c>
      <c r="G79">
        <v>8</v>
      </c>
      <c r="H79">
        <v>3</v>
      </c>
      <c r="I79">
        <v>209</v>
      </c>
      <c r="J79">
        <v>14</v>
      </c>
      <c r="K79" t="s">
        <v>5232</v>
      </c>
      <c r="L79" t="s">
        <v>5233</v>
      </c>
      <c r="M79" t="s">
        <v>4711</v>
      </c>
      <c r="N79" t="s">
        <v>4679</v>
      </c>
      <c r="O79" t="s">
        <v>5234</v>
      </c>
      <c r="Q79" t="s">
        <v>5235</v>
      </c>
      <c r="R79" t="s">
        <v>5236</v>
      </c>
    </row>
    <row r="80" spans="1:18" x14ac:dyDescent="0.15">
      <c r="A80" t="s">
        <v>5237</v>
      </c>
      <c r="B80" t="s">
        <v>3736</v>
      </c>
      <c r="C80" t="s">
        <v>5238</v>
      </c>
      <c r="D80" t="str">
        <f>"00346543"</f>
        <v>00346543</v>
      </c>
      <c r="F80" t="str">
        <f>"20090301"</f>
        <v>20090301</v>
      </c>
      <c r="G80">
        <v>79</v>
      </c>
      <c r="H80">
        <v>1</v>
      </c>
      <c r="I80">
        <v>366</v>
      </c>
      <c r="J80">
        <v>29</v>
      </c>
      <c r="K80" t="s">
        <v>5239</v>
      </c>
      <c r="L80" t="s">
        <v>3749</v>
      </c>
      <c r="M80" t="s">
        <v>4678</v>
      </c>
      <c r="N80" t="s">
        <v>4679</v>
      </c>
      <c r="O80" t="s">
        <v>5240</v>
      </c>
      <c r="Q80" t="s">
        <v>5241</v>
      </c>
      <c r="R80" t="s">
        <v>5242</v>
      </c>
    </row>
    <row r="81" spans="1:18" x14ac:dyDescent="0.15">
      <c r="A81" t="s">
        <v>5243</v>
      </c>
      <c r="B81" t="s">
        <v>5244</v>
      </c>
      <c r="E81" t="str">
        <f>"9781138851535; 9781315724058"</f>
        <v>9781138851535; 9781315724058</v>
      </c>
      <c r="F81" t="str">
        <f>"20170101"</f>
        <v>20170101</v>
      </c>
      <c r="J81">
        <v>252</v>
      </c>
      <c r="K81" t="s">
        <v>5245</v>
      </c>
      <c r="M81" t="s">
        <v>5194</v>
      </c>
      <c r="O81" t="s">
        <v>5246</v>
      </c>
      <c r="Q81" t="s">
        <v>5247</v>
      </c>
      <c r="R81" t="s">
        <v>5248</v>
      </c>
    </row>
    <row r="82" spans="1:18" x14ac:dyDescent="0.15">
      <c r="A82" t="s">
        <v>5249</v>
      </c>
      <c r="B82" t="s">
        <v>5250</v>
      </c>
      <c r="C82" t="s">
        <v>5251</v>
      </c>
      <c r="D82" t="str">
        <f>"0165005X"</f>
        <v>0165005X</v>
      </c>
      <c r="F82" t="str">
        <f>"20180301"</f>
        <v>20180301</v>
      </c>
      <c r="G82">
        <v>42</v>
      </c>
      <c r="H82">
        <v>1</v>
      </c>
      <c r="I82">
        <v>69</v>
      </c>
      <c r="J82">
        <v>23</v>
      </c>
      <c r="K82" t="s">
        <v>5252</v>
      </c>
      <c r="L82" t="s">
        <v>1527</v>
      </c>
      <c r="M82" t="s">
        <v>4696</v>
      </c>
      <c r="N82" t="s">
        <v>4679</v>
      </c>
      <c r="O82" t="s">
        <v>5253</v>
      </c>
      <c r="Q82" t="s">
        <v>5254</v>
      </c>
      <c r="R82" t="s">
        <v>5255</v>
      </c>
    </row>
    <row r="83" spans="1:18" x14ac:dyDescent="0.15">
      <c r="A83" t="s">
        <v>5256</v>
      </c>
      <c r="B83" t="s">
        <v>5257</v>
      </c>
      <c r="C83" t="s">
        <v>5258</v>
      </c>
      <c r="E83" t="str">
        <f>"9780521706575; 9780521880435"</f>
        <v>9780521706575; 9780521880435</v>
      </c>
      <c r="F83" t="str">
        <f>"20090101"</f>
        <v>20090101</v>
      </c>
      <c r="I83">
        <v>269</v>
      </c>
      <c r="J83">
        <v>28</v>
      </c>
      <c r="K83" t="s">
        <v>5259</v>
      </c>
      <c r="M83" t="s">
        <v>4892</v>
      </c>
      <c r="N83" t="s">
        <v>4773</v>
      </c>
      <c r="O83" t="s">
        <v>5260</v>
      </c>
      <c r="Q83" t="s">
        <v>5261</v>
      </c>
      <c r="R83" t="s">
        <v>5262</v>
      </c>
    </row>
    <row r="84" spans="1:18" x14ac:dyDescent="0.15">
      <c r="A84" t="s">
        <v>5263</v>
      </c>
      <c r="B84" t="s">
        <v>2625</v>
      </c>
      <c r="C84" t="s">
        <v>5264</v>
      </c>
      <c r="D84" t="str">
        <f>"15571912"</f>
        <v>15571912</v>
      </c>
      <c r="F84" t="str">
        <f>"20151001"</f>
        <v>20151001</v>
      </c>
      <c r="G84">
        <v>17</v>
      </c>
      <c r="H84">
        <v>5</v>
      </c>
      <c r="I84">
        <v>1420</v>
      </c>
      <c r="J84">
        <v>7</v>
      </c>
      <c r="K84" t="s">
        <v>5265</v>
      </c>
      <c r="L84" t="s">
        <v>2642</v>
      </c>
      <c r="M84" t="s">
        <v>4696</v>
      </c>
      <c r="N84" t="s">
        <v>4679</v>
      </c>
      <c r="O84" t="s">
        <v>5266</v>
      </c>
      <c r="Q84" t="s">
        <v>5267</v>
      </c>
      <c r="R84" t="s">
        <v>5268</v>
      </c>
    </row>
    <row r="85" spans="1:18" x14ac:dyDescent="0.15">
      <c r="A85" t="s">
        <v>5269</v>
      </c>
      <c r="B85" t="s">
        <v>1322</v>
      </c>
      <c r="C85" t="s">
        <v>5270</v>
      </c>
      <c r="D85" t="str">
        <f>"13854046"</f>
        <v>13854046</v>
      </c>
      <c r="F85" t="str">
        <f>"20181101"</f>
        <v>20181101</v>
      </c>
      <c r="G85">
        <v>32</v>
      </c>
      <c r="H85">
        <v>8</v>
      </c>
      <c r="I85">
        <v>1356</v>
      </c>
      <c r="J85">
        <v>37</v>
      </c>
      <c r="K85" t="s">
        <v>5271</v>
      </c>
      <c r="L85" t="s">
        <v>1335</v>
      </c>
      <c r="M85" t="s">
        <v>4728</v>
      </c>
      <c r="N85" t="s">
        <v>4679</v>
      </c>
      <c r="O85" t="s">
        <v>5272</v>
      </c>
      <c r="Q85" t="s">
        <v>5273</v>
      </c>
      <c r="R85" t="s">
        <v>5274</v>
      </c>
    </row>
    <row r="86" spans="1:18" x14ac:dyDescent="0.15">
      <c r="A86" t="s">
        <v>5275</v>
      </c>
      <c r="B86" t="s">
        <v>5276</v>
      </c>
      <c r="C86" t="s">
        <v>5277</v>
      </c>
      <c r="E86" t="str">
        <f>"9780190215217"</f>
        <v>9780190215217</v>
      </c>
      <c r="F86" t="str">
        <f>"20170101"</f>
        <v>20170101</v>
      </c>
      <c r="I86">
        <v>357</v>
      </c>
      <c r="J86">
        <v>21</v>
      </c>
      <c r="K86" t="s">
        <v>5278</v>
      </c>
      <c r="M86" t="s">
        <v>4813</v>
      </c>
      <c r="N86" t="s">
        <v>4773</v>
      </c>
      <c r="O86" t="s">
        <v>5279</v>
      </c>
      <c r="Q86" t="s">
        <v>5280</v>
      </c>
      <c r="R86" t="s">
        <v>5281</v>
      </c>
    </row>
    <row r="87" spans="1:18" x14ac:dyDescent="0.15">
      <c r="A87" t="s">
        <v>5282</v>
      </c>
      <c r="B87" t="s">
        <v>5283</v>
      </c>
      <c r="C87" t="s">
        <v>5284</v>
      </c>
      <c r="D87" t="str">
        <f>"15283488"</f>
        <v>15283488</v>
      </c>
      <c r="F87" t="str">
        <f>"20080101"</f>
        <v>20080101</v>
      </c>
      <c r="G87">
        <v>8</v>
      </c>
      <c r="H87">
        <v>1</v>
      </c>
      <c r="I87">
        <v>67</v>
      </c>
      <c r="J87">
        <v>22</v>
      </c>
      <c r="K87" t="s">
        <v>5285</v>
      </c>
      <c r="L87" t="s">
        <v>5286</v>
      </c>
      <c r="M87" t="s">
        <v>4728</v>
      </c>
      <c r="N87" t="s">
        <v>4679</v>
      </c>
      <c r="O87" t="s">
        <v>5287</v>
      </c>
      <c r="Q87" t="s">
        <v>5288</v>
      </c>
      <c r="R87" t="s">
        <v>5289</v>
      </c>
    </row>
    <row r="88" spans="1:18" x14ac:dyDescent="0.15">
      <c r="A88" t="s">
        <v>5290</v>
      </c>
      <c r="B88" t="s">
        <v>1629</v>
      </c>
      <c r="C88" t="s">
        <v>5291</v>
      </c>
      <c r="D88" t="str">
        <f>"10826084"</f>
        <v>10826084</v>
      </c>
      <c r="F88" t="str">
        <f>"20181201"</f>
        <v>20181201</v>
      </c>
      <c r="G88">
        <v>53</v>
      </c>
      <c r="H88">
        <v>14</v>
      </c>
      <c r="I88">
        <v>2339</v>
      </c>
      <c r="J88">
        <v>11</v>
      </c>
      <c r="K88" t="s">
        <v>5292</v>
      </c>
      <c r="L88" t="s">
        <v>1645</v>
      </c>
      <c r="M88" t="s">
        <v>4728</v>
      </c>
      <c r="N88" t="s">
        <v>4679</v>
      </c>
      <c r="O88" t="s">
        <v>5293</v>
      </c>
      <c r="Q88" t="s">
        <v>5294</v>
      </c>
      <c r="R88" t="s">
        <v>5295</v>
      </c>
    </row>
    <row r="89" spans="1:18" x14ac:dyDescent="0.15">
      <c r="A89" t="s">
        <v>5296</v>
      </c>
      <c r="B89" t="s">
        <v>2604</v>
      </c>
      <c r="C89" t="s">
        <v>5297</v>
      </c>
      <c r="D89" t="str">
        <f>"02779536"</f>
        <v>02779536</v>
      </c>
      <c r="F89" t="str">
        <f>"20151101"</f>
        <v>20151101</v>
      </c>
      <c r="G89">
        <v>144</v>
      </c>
      <c r="I89">
        <v>39</v>
      </c>
      <c r="J89">
        <v>9</v>
      </c>
      <c r="K89" t="s">
        <v>5298</v>
      </c>
      <c r="L89" t="s">
        <v>2619</v>
      </c>
      <c r="M89" t="s">
        <v>4735</v>
      </c>
      <c r="N89" t="s">
        <v>4679</v>
      </c>
      <c r="O89" t="s">
        <v>5299</v>
      </c>
      <c r="Q89" t="s">
        <v>5300</v>
      </c>
      <c r="R89" t="s">
        <v>5301</v>
      </c>
    </row>
    <row r="90" spans="1:18" x14ac:dyDescent="0.15">
      <c r="A90" t="s">
        <v>5302</v>
      </c>
      <c r="B90" t="s">
        <v>2924</v>
      </c>
      <c r="C90" t="s">
        <v>5303</v>
      </c>
      <c r="D90" t="str">
        <f>"08999546"</f>
        <v>08999546</v>
      </c>
      <c r="F90" t="str">
        <f>"20140801"</f>
        <v>20140801</v>
      </c>
      <c r="G90">
        <v>26</v>
      </c>
      <c r="H90">
        <v>4</v>
      </c>
      <c r="I90">
        <v>296</v>
      </c>
      <c r="J90">
        <v>21</v>
      </c>
      <c r="K90" t="s">
        <v>5304</v>
      </c>
      <c r="L90" t="s">
        <v>2941</v>
      </c>
      <c r="M90" t="s">
        <v>5305</v>
      </c>
      <c r="N90" t="s">
        <v>4679</v>
      </c>
      <c r="O90" t="s">
        <v>5306</v>
      </c>
      <c r="Q90" t="s">
        <v>5307</v>
      </c>
      <c r="R90" t="s">
        <v>5308</v>
      </c>
    </row>
    <row r="91" spans="1:18" x14ac:dyDescent="0.15">
      <c r="A91" t="s">
        <v>5309</v>
      </c>
      <c r="B91" t="s">
        <v>5310</v>
      </c>
      <c r="C91" t="s">
        <v>5311</v>
      </c>
      <c r="D91" t="str">
        <f>"23666145"</f>
        <v>23666145</v>
      </c>
      <c r="F91" t="str">
        <f>"20170301"</f>
        <v>20170301</v>
      </c>
      <c r="G91">
        <v>48</v>
      </c>
      <c r="H91">
        <v>1</v>
      </c>
      <c r="I91">
        <v>61</v>
      </c>
      <c r="J91">
        <v>8</v>
      </c>
      <c r="K91" t="s">
        <v>5312</v>
      </c>
      <c r="L91" t="s">
        <v>2057</v>
      </c>
      <c r="M91" t="s">
        <v>4696</v>
      </c>
      <c r="N91" t="s">
        <v>4679</v>
      </c>
      <c r="O91" t="s">
        <v>5313</v>
      </c>
      <c r="Q91" t="s">
        <v>5314</v>
      </c>
      <c r="R91" t="s">
        <v>5315</v>
      </c>
    </row>
    <row r="92" spans="1:18" x14ac:dyDescent="0.15">
      <c r="A92" t="s">
        <v>5316</v>
      </c>
      <c r="B92" t="s">
        <v>5317</v>
      </c>
      <c r="C92" t="s">
        <v>5318</v>
      </c>
      <c r="D92" t="str">
        <f>"11305274"</f>
        <v>11305274</v>
      </c>
      <c r="F92" t="str">
        <f>"20110101"</f>
        <v>20110101</v>
      </c>
      <c r="G92">
        <v>22</v>
      </c>
      <c r="H92">
        <v>3</v>
      </c>
      <c r="I92">
        <v>223</v>
      </c>
      <c r="J92">
        <v>13</v>
      </c>
      <c r="K92" t="s">
        <v>5319</v>
      </c>
      <c r="L92" t="s">
        <v>5320</v>
      </c>
      <c r="M92" t="s">
        <v>5321</v>
      </c>
      <c r="N92" t="s">
        <v>4679</v>
      </c>
      <c r="O92" t="s">
        <v>5322</v>
      </c>
      <c r="Q92" t="s">
        <v>5323</v>
      </c>
      <c r="R92" t="s">
        <v>5324</v>
      </c>
    </row>
    <row r="93" spans="1:18" x14ac:dyDescent="0.15">
      <c r="A93" t="s">
        <v>5325</v>
      </c>
      <c r="B93" t="s">
        <v>3715</v>
      </c>
      <c r="C93" t="s">
        <v>4733</v>
      </c>
      <c r="D93" t="str">
        <f>"01471767"</f>
        <v>01471767</v>
      </c>
      <c r="F93" t="str">
        <f>"20090301"</f>
        <v>20090301</v>
      </c>
      <c r="G93">
        <v>33</v>
      </c>
      <c r="H93">
        <v>2</v>
      </c>
      <c r="I93">
        <v>124</v>
      </c>
      <c r="J93">
        <v>16</v>
      </c>
      <c r="K93" t="s">
        <v>5326</v>
      </c>
      <c r="L93" t="s">
        <v>3722</v>
      </c>
      <c r="M93" t="s">
        <v>4735</v>
      </c>
      <c r="N93" t="s">
        <v>4679</v>
      </c>
      <c r="O93" t="s">
        <v>5327</v>
      </c>
      <c r="Q93" t="s">
        <v>5328</v>
      </c>
      <c r="R93" t="s">
        <v>5329</v>
      </c>
    </row>
    <row r="94" spans="1:18" x14ac:dyDescent="0.15">
      <c r="A94" t="s">
        <v>5330</v>
      </c>
      <c r="B94" t="s">
        <v>3768</v>
      </c>
      <c r="C94" t="s">
        <v>5331</v>
      </c>
      <c r="D94" t="str">
        <f>"00027162"</f>
        <v>00027162</v>
      </c>
      <c r="F94" t="str">
        <f>"20081101"</f>
        <v>20081101</v>
      </c>
      <c r="G94">
        <v>620</v>
      </c>
      <c r="H94">
        <v>1</v>
      </c>
      <c r="I94">
        <v>138</v>
      </c>
      <c r="J94">
        <v>23</v>
      </c>
      <c r="K94" t="s">
        <v>5332</v>
      </c>
      <c r="L94" t="s">
        <v>3777</v>
      </c>
      <c r="M94" t="s">
        <v>4678</v>
      </c>
      <c r="N94" t="s">
        <v>4679</v>
      </c>
      <c r="O94" t="s">
        <v>5333</v>
      </c>
      <c r="Q94" t="s">
        <v>5334</v>
      </c>
      <c r="R94" t="s">
        <v>5335</v>
      </c>
    </row>
    <row r="95" spans="1:18" x14ac:dyDescent="0.15">
      <c r="A95" t="s">
        <v>5336</v>
      </c>
      <c r="B95" t="s">
        <v>5337</v>
      </c>
      <c r="C95" t="s">
        <v>4667</v>
      </c>
      <c r="D95" t="str">
        <f>"04194217"</f>
        <v>04194217</v>
      </c>
      <c r="E95" t="str">
        <f>"9781267867292"</f>
        <v>9781267867292</v>
      </c>
      <c r="F95" t="str">
        <f>"20130101"</f>
        <v>20130101</v>
      </c>
      <c r="G95">
        <v>74</v>
      </c>
      <c r="H95" t="s">
        <v>5338</v>
      </c>
      <c r="K95" t="s">
        <v>5339</v>
      </c>
      <c r="M95" t="s">
        <v>4670</v>
      </c>
      <c r="N95" t="s">
        <v>4671</v>
      </c>
      <c r="O95" t="s">
        <v>5340</v>
      </c>
      <c r="Q95" t="s">
        <v>5341</v>
      </c>
      <c r="R95" t="s">
        <v>5342</v>
      </c>
    </row>
    <row r="96" spans="1:18" x14ac:dyDescent="0.15">
      <c r="A96" t="s">
        <v>5343</v>
      </c>
      <c r="B96" t="s">
        <v>5344</v>
      </c>
      <c r="C96" t="s">
        <v>5345</v>
      </c>
      <c r="D96" t="str">
        <f>"19481985"</f>
        <v>19481985</v>
      </c>
      <c r="F96" t="str">
        <f>"20210301"</f>
        <v>20210301</v>
      </c>
      <c r="G96">
        <v>12</v>
      </c>
      <c r="H96">
        <v>1</v>
      </c>
      <c r="I96">
        <v>52</v>
      </c>
      <c r="J96">
        <v>13</v>
      </c>
      <c r="K96" t="s">
        <v>5346</v>
      </c>
      <c r="L96" t="s">
        <v>5347</v>
      </c>
      <c r="M96" t="s">
        <v>4711</v>
      </c>
      <c r="N96" t="s">
        <v>4679</v>
      </c>
      <c r="O96" t="s">
        <v>5348</v>
      </c>
      <c r="Q96" t="s">
        <v>5349</v>
      </c>
      <c r="R96" t="s">
        <v>5350</v>
      </c>
    </row>
    <row r="97" spans="1:18" x14ac:dyDescent="0.15">
      <c r="A97" t="s">
        <v>5351</v>
      </c>
      <c r="B97" t="s">
        <v>5352</v>
      </c>
      <c r="C97" t="s">
        <v>5353</v>
      </c>
      <c r="D97" t="str">
        <f>"20440413"</f>
        <v>20440413</v>
      </c>
      <c r="F97" t="str">
        <f>"20060701"</f>
        <v>20060701</v>
      </c>
      <c r="G97">
        <v>17</v>
      </c>
      <c r="H97">
        <v>2</v>
      </c>
      <c r="I97">
        <v>238</v>
      </c>
      <c r="J97">
        <v>23</v>
      </c>
      <c r="K97" t="s">
        <v>5354</v>
      </c>
      <c r="M97" t="s">
        <v>5355</v>
      </c>
      <c r="N97" t="s">
        <v>4679</v>
      </c>
      <c r="O97" t="s">
        <v>5356</v>
      </c>
      <c r="Q97" t="s">
        <v>5357</v>
      </c>
      <c r="R97" t="s">
        <v>5358</v>
      </c>
    </row>
    <row r="98" spans="1:18" x14ac:dyDescent="0.15">
      <c r="A98" t="s">
        <v>3863</v>
      </c>
      <c r="B98" t="s">
        <v>3862</v>
      </c>
      <c r="C98" t="s">
        <v>5359</v>
      </c>
      <c r="D98" t="str">
        <f>"01650254"</f>
        <v>01650254</v>
      </c>
      <c r="F98" t="str">
        <f>"20080101"</f>
        <v>20080101</v>
      </c>
      <c r="G98">
        <v>32</v>
      </c>
      <c r="H98">
        <v>1</v>
      </c>
      <c r="I98">
        <v>21</v>
      </c>
      <c r="J98">
        <v>13</v>
      </c>
      <c r="K98" t="s">
        <v>5360</v>
      </c>
      <c r="L98" t="s">
        <v>3876</v>
      </c>
      <c r="M98" t="s">
        <v>4678</v>
      </c>
      <c r="N98" t="s">
        <v>4679</v>
      </c>
      <c r="O98" t="s">
        <v>5361</v>
      </c>
      <c r="Q98" t="s">
        <v>5362</v>
      </c>
      <c r="R98" t="s">
        <v>5363</v>
      </c>
    </row>
    <row r="99" spans="1:18" x14ac:dyDescent="0.15">
      <c r="A99" t="s">
        <v>5364</v>
      </c>
      <c r="B99" t="s">
        <v>5365</v>
      </c>
      <c r="C99" t="s">
        <v>5366</v>
      </c>
      <c r="D99" t="str">
        <f>"14427591"</f>
        <v>14427591</v>
      </c>
      <c r="F99" t="str">
        <f>"20130401"</f>
        <v>20130401</v>
      </c>
      <c r="G99">
        <v>20</v>
      </c>
      <c r="H99">
        <v>1</v>
      </c>
      <c r="I99">
        <v>6</v>
      </c>
      <c r="J99">
        <v>17</v>
      </c>
      <c r="K99" t="s">
        <v>5367</v>
      </c>
      <c r="L99" t="s">
        <v>5368</v>
      </c>
      <c r="M99" t="s">
        <v>4728</v>
      </c>
      <c r="N99" t="s">
        <v>4679</v>
      </c>
      <c r="O99" t="s">
        <v>5369</v>
      </c>
      <c r="Q99" t="s">
        <v>5370</v>
      </c>
      <c r="R99" t="s">
        <v>5371</v>
      </c>
    </row>
    <row r="100" spans="1:18" x14ac:dyDescent="0.15">
      <c r="A100" t="s">
        <v>5372</v>
      </c>
      <c r="B100" t="s">
        <v>2991</v>
      </c>
      <c r="C100" t="s">
        <v>4701</v>
      </c>
      <c r="D100" t="str">
        <f>"00207640"</f>
        <v>00207640</v>
      </c>
      <c r="F100" t="str">
        <f>"20140301"</f>
        <v>20140301</v>
      </c>
      <c r="G100">
        <v>60</v>
      </c>
      <c r="H100">
        <v>2</v>
      </c>
      <c r="I100">
        <v>175</v>
      </c>
      <c r="J100">
        <v>3</v>
      </c>
      <c r="K100" t="s">
        <v>5373</v>
      </c>
      <c r="L100" t="s">
        <v>3005</v>
      </c>
      <c r="M100" t="s">
        <v>4678</v>
      </c>
      <c r="N100" t="s">
        <v>4679</v>
      </c>
      <c r="O100" t="s">
        <v>5374</v>
      </c>
      <c r="Q100" t="s">
        <v>5375</v>
      </c>
      <c r="R100" t="s">
        <v>5376</v>
      </c>
    </row>
    <row r="101" spans="1:18" x14ac:dyDescent="0.15">
      <c r="A101" t="s">
        <v>5377</v>
      </c>
      <c r="B101" t="s">
        <v>498</v>
      </c>
      <c r="C101" t="s">
        <v>5378</v>
      </c>
      <c r="D101" t="str">
        <f>"00384941"</f>
        <v>00384941</v>
      </c>
      <c r="F101" t="str">
        <f>"20200301"</f>
        <v>20200301</v>
      </c>
      <c r="G101">
        <v>101</v>
      </c>
      <c r="H101">
        <v>2</v>
      </c>
      <c r="I101">
        <v>623</v>
      </c>
      <c r="J101">
        <v>18</v>
      </c>
      <c r="K101" t="s">
        <v>5379</v>
      </c>
      <c r="L101" t="s">
        <v>512</v>
      </c>
      <c r="M101" t="s">
        <v>4883</v>
      </c>
      <c r="N101" t="s">
        <v>4679</v>
      </c>
      <c r="O101" t="s">
        <v>5380</v>
      </c>
      <c r="Q101" t="s">
        <v>5381</v>
      </c>
      <c r="R101" t="s">
        <v>5382</v>
      </c>
    </row>
    <row r="102" spans="1:18" x14ac:dyDescent="0.15">
      <c r="A102" t="s">
        <v>5383</v>
      </c>
      <c r="B102" t="s">
        <v>5384</v>
      </c>
      <c r="C102" t="s">
        <v>5385</v>
      </c>
      <c r="E102" t="str">
        <f>"0195398092; 9780195398090"</f>
        <v>0195398092; 9780195398090</v>
      </c>
      <c r="F102" t="str">
        <f>"20100101"</f>
        <v>20100101</v>
      </c>
      <c r="I102">
        <v>227</v>
      </c>
      <c r="J102">
        <v>14</v>
      </c>
      <c r="K102" t="s">
        <v>5386</v>
      </c>
      <c r="L102" t="s">
        <v>5387</v>
      </c>
      <c r="M102" t="s">
        <v>4813</v>
      </c>
      <c r="N102" t="s">
        <v>4773</v>
      </c>
      <c r="O102" t="s">
        <v>5388</v>
      </c>
      <c r="Q102" t="s">
        <v>5389</v>
      </c>
      <c r="R102" t="s">
        <v>5390</v>
      </c>
    </row>
    <row r="103" spans="1:18" x14ac:dyDescent="0.15">
      <c r="A103" t="s">
        <v>5391</v>
      </c>
      <c r="B103" t="s">
        <v>5392</v>
      </c>
      <c r="C103" t="s">
        <v>4667</v>
      </c>
      <c r="D103" t="str">
        <f>"04194217"</f>
        <v>04194217</v>
      </c>
      <c r="E103" t="str">
        <f>"9798684603259"</f>
        <v>9798684603259</v>
      </c>
      <c r="F103" t="str">
        <f>"20210101"</f>
        <v>20210101</v>
      </c>
      <c r="G103">
        <v>82</v>
      </c>
      <c r="H103" t="s">
        <v>4740</v>
      </c>
      <c r="K103" t="s">
        <v>5393</v>
      </c>
      <c r="M103" t="s">
        <v>4670</v>
      </c>
      <c r="N103" t="s">
        <v>4671</v>
      </c>
      <c r="O103" t="s">
        <v>5394</v>
      </c>
      <c r="Q103" t="s">
        <v>5395</v>
      </c>
      <c r="R103" t="s">
        <v>5396</v>
      </c>
    </row>
    <row r="104" spans="1:18" x14ac:dyDescent="0.15">
      <c r="A104" t="s">
        <v>5397</v>
      </c>
      <c r="B104" t="s">
        <v>5398</v>
      </c>
      <c r="C104" t="s">
        <v>4667</v>
      </c>
      <c r="D104" t="str">
        <f>"04194217"</f>
        <v>04194217</v>
      </c>
      <c r="E104" t="str">
        <f>"9781303323119"</f>
        <v>9781303323119</v>
      </c>
      <c r="F104" t="str">
        <f>"20140101"</f>
        <v>20140101</v>
      </c>
      <c r="G104">
        <v>74</v>
      </c>
      <c r="H104" t="s">
        <v>5399</v>
      </c>
      <c r="K104" t="s">
        <v>5400</v>
      </c>
      <c r="M104" t="s">
        <v>4670</v>
      </c>
      <c r="N104" t="s">
        <v>4671</v>
      </c>
      <c r="O104" t="s">
        <v>5401</v>
      </c>
      <c r="Q104" t="s">
        <v>5402</v>
      </c>
      <c r="R104" t="s">
        <v>5403</v>
      </c>
    </row>
    <row r="105" spans="1:18" x14ac:dyDescent="0.15">
      <c r="A105" t="s">
        <v>5404</v>
      </c>
      <c r="B105" t="s">
        <v>3259</v>
      </c>
      <c r="C105" t="s">
        <v>4733</v>
      </c>
      <c r="D105" t="str">
        <f>"01471767"</f>
        <v>01471767</v>
      </c>
      <c r="F105" t="str">
        <f>"20120101"</f>
        <v>20120101</v>
      </c>
      <c r="G105">
        <v>36</v>
      </c>
      <c r="H105">
        <v>1</v>
      </c>
      <c r="I105">
        <v>83</v>
      </c>
      <c r="J105">
        <v>17</v>
      </c>
      <c r="K105" t="s">
        <v>5405</v>
      </c>
      <c r="L105" t="s">
        <v>3267</v>
      </c>
      <c r="M105" t="s">
        <v>4735</v>
      </c>
      <c r="N105" t="s">
        <v>4679</v>
      </c>
      <c r="O105" t="s">
        <v>5406</v>
      </c>
      <c r="Q105" t="s">
        <v>5407</v>
      </c>
      <c r="R105" t="s">
        <v>5408</v>
      </c>
    </row>
    <row r="106" spans="1:18" x14ac:dyDescent="0.15">
      <c r="A106" t="s">
        <v>5409</v>
      </c>
      <c r="B106" t="s">
        <v>5410</v>
      </c>
      <c r="C106" t="s">
        <v>4667</v>
      </c>
      <c r="D106" t="str">
        <f>"04194217"</f>
        <v>04194217</v>
      </c>
      <c r="E106" t="str">
        <f>"9781124864389"</f>
        <v>9781124864389</v>
      </c>
      <c r="F106" t="str">
        <f>"20120101"</f>
        <v>20120101</v>
      </c>
      <c r="G106">
        <v>72</v>
      </c>
      <c r="H106" t="s">
        <v>5411</v>
      </c>
      <c r="I106">
        <v>7087</v>
      </c>
      <c r="J106">
        <v>1</v>
      </c>
      <c r="K106" t="s">
        <v>5412</v>
      </c>
      <c r="M106" t="s">
        <v>4670</v>
      </c>
      <c r="N106" t="s">
        <v>4671</v>
      </c>
      <c r="O106" t="s">
        <v>5413</v>
      </c>
      <c r="Q106" t="s">
        <v>5414</v>
      </c>
      <c r="R106" t="s">
        <v>5415</v>
      </c>
    </row>
    <row r="107" spans="1:18" x14ac:dyDescent="0.15">
      <c r="A107" t="s">
        <v>5416</v>
      </c>
      <c r="B107" t="s">
        <v>1491</v>
      </c>
      <c r="C107" t="s">
        <v>5417</v>
      </c>
      <c r="D107" t="str">
        <f>"10621024"</f>
        <v>10621024</v>
      </c>
      <c r="F107" t="str">
        <f>"20180401"</f>
        <v>20180401</v>
      </c>
      <c r="G107">
        <v>27</v>
      </c>
      <c r="H107">
        <v>4</v>
      </c>
      <c r="I107">
        <v>1275</v>
      </c>
      <c r="J107">
        <v>12</v>
      </c>
      <c r="K107" t="s">
        <v>5418</v>
      </c>
      <c r="L107" t="s">
        <v>1504</v>
      </c>
      <c r="M107" t="s">
        <v>4696</v>
      </c>
      <c r="N107" t="s">
        <v>4679</v>
      </c>
      <c r="O107" t="s">
        <v>5419</v>
      </c>
      <c r="Q107" t="s">
        <v>5420</v>
      </c>
      <c r="R107" t="s">
        <v>5421</v>
      </c>
    </row>
    <row r="108" spans="1:18" x14ac:dyDescent="0.15">
      <c r="A108" t="s">
        <v>5422</v>
      </c>
      <c r="B108" t="s">
        <v>5423</v>
      </c>
      <c r="C108" t="s">
        <v>4667</v>
      </c>
      <c r="D108" t="str">
        <f>"04194217"</f>
        <v>04194217</v>
      </c>
      <c r="E108" t="str">
        <f>"9781303918216"</f>
        <v>9781303918216</v>
      </c>
      <c r="F108" t="str">
        <f>"20150101"</f>
        <v>20150101</v>
      </c>
      <c r="G108">
        <v>75</v>
      </c>
      <c r="H108" t="s">
        <v>5424</v>
      </c>
      <c r="K108" t="s">
        <v>5425</v>
      </c>
      <c r="M108" t="s">
        <v>4670</v>
      </c>
      <c r="N108" t="s">
        <v>4671</v>
      </c>
      <c r="O108" t="s">
        <v>5426</v>
      </c>
      <c r="Q108" t="s">
        <v>5427</v>
      </c>
      <c r="R108" t="s">
        <v>5428</v>
      </c>
    </row>
    <row r="109" spans="1:18" x14ac:dyDescent="0.15">
      <c r="A109" t="s">
        <v>5429</v>
      </c>
      <c r="B109" t="s">
        <v>2387</v>
      </c>
      <c r="C109" t="s">
        <v>5430</v>
      </c>
      <c r="D109" t="str">
        <f>"03637751"</f>
        <v>03637751</v>
      </c>
      <c r="F109" t="str">
        <f>"20160401"</f>
        <v>20160401</v>
      </c>
      <c r="G109">
        <v>83</v>
      </c>
      <c r="H109">
        <v>2</v>
      </c>
      <c r="I109">
        <v>269</v>
      </c>
      <c r="J109">
        <v>7</v>
      </c>
      <c r="K109" t="s">
        <v>5431</v>
      </c>
      <c r="L109" t="s">
        <v>2393</v>
      </c>
      <c r="M109" t="s">
        <v>4728</v>
      </c>
      <c r="N109" t="s">
        <v>4828</v>
      </c>
      <c r="O109" t="s">
        <v>5432</v>
      </c>
      <c r="Q109" t="s">
        <v>5433</v>
      </c>
      <c r="R109" t="s">
        <v>5434</v>
      </c>
    </row>
    <row r="110" spans="1:18" x14ac:dyDescent="0.15">
      <c r="A110" t="s">
        <v>5435</v>
      </c>
      <c r="B110" t="s">
        <v>5436</v>
      </c>
      <c r="C110" t="s">
        <v>5437</v>
      </c>
      <c r="E110" t="str">
        <f>"9781641131285; 9781641131292; 9781641131308"</f>
        <v>9781641131285; 9781641131292; 9781641131308</v>
      </c>
      <c r="F110" t="str">
        <f>"20180101"</f>
        <v>20180101</v>
      </c>
      <c r="I110">
        <v>3</v>
      </c>
      <c r="J110">
        <v>11</v>
      </c>
      <c r="K110" t="s">
        <v>5438</v>
      </c>
      <c r="M110" t="s">
        <v>5439</v>
      </c>
      <c r="N110" t="s">
        <v>4773</v>
      </c>
      <c r="O110" t="s">
        <v>5440</v>
      </c>
      <c r="Q110" t="s">
        <v>5441</v>
      </c>
      <c r="R110" t="s">
        <v>5442</v>
      </c>
    </row>
    <row r="111" spans="1:18" x14ac:dyDescent="0.15">
      <c r="A111" t="s">
        <v>5443</v>
      </c>
      <c r="B111" t="s">
        <v>3682</v>
      </c>
      <c r="C111" t="s">
        <v>5444</v>
      </c>
      <c r="D111" t="str">
        <f>"07311214"</f>
        <v>07311214</v>
      </c>
      <c r="F111" t="str">
        <f>"20090601"</f>
        <v>20090601</v>
      </c>
      <c r="G111">
        <v>52</v>
      </c>
      <c r="H111">
        <v>2</v>
      </c>
      <c r="I111">
        <v>159</v>
      </c>
      <c r="J111">
        <v>25</v>
      </c>
      <c r="K111" t="s">
        <v>5445</v>
      </c>
      <c r="L111" t="s">
        <v>3695</v>
      </c>
      <c r="M111" t="s">
        <v>5446</v>
      </c>
      <c r="N111" t="s">
        <v>4679</v>
      </c>
      <c r="O111" t="s">
        <v>5447</v>
      </c>
      <c r="Q111" t="s">
        <v>5448</v>
      </c>
      <c r="R111" t="s">
        <v>5449</v>
      </c>
    </row>
    <row r="112" spans="1:18" x14ac:dyDescent="0.15">
      <c r="A112" t="s">
        <v>5450</v>
      </c>
      <c r="B112" t="s">
        <v>3195</v>
      </c>
      <c r="C112" t="s">
        <v>4733</v>
      </c>
      <c r="D112" t="str">
        <f>"01471767"</f>
        <v>01471767</v>
      </c>
      <c r="F112" t="str">
        <f>"20120701"</f>
        <v>20120701</v>
      </c>
      <c r="G112">
        <v>36</v>
      </c>
      <c r="H112">
        <v>4</v>
      </c>
      <c r="I112">
        <v>459</v>
      </c>
      <c r="J112">
        <v>13</v>
      </c>
      <c r="K112" t="s">
        <v>5451</v>
      </c>
      <c r="L112" t="s">
        <v>3205</v>
      </c>
      <c r="M112" t="s">
        <v>4735</v>
      </c>
      <c r="N112" t="s">
        <v>4679</v>
      </c>
      <c r="O112" t="s">
        <v>5452</v>
      </c>
      <c r="Q112" t="s">
        <v>5453</v>
      </c>
      <c r="R112" t="s">
        <v>5454</v>
      </c>
    </row>
    <row r="113" spans="1:18" x14ac:dyDescent="0.15">
      <c r="A113" t="s">
        <v>5455</v>
      </c>
      <c r="B113" t="s">
        <v>5456</v>
      </c>
      <c r="C113" t="s">
        <v>5082</v>
      </c>
      <c r="D113" t="str">
        <f>"00224537"</f>
        <v>00224537</v>
      </c>
      <c r="F113" t="str">
        <f>"20100301"</f>
        <v>20100301</v>
      </c>
      <c r="G113">
        <v>66</v>
      </c>
      <c r="H113">
        <v>1</v>
      </c>
      <c r="I113">
        <v>1</v>
      </c>
      <c r="J113">
        <v>10</v>
      </c>
      <c r="K113" t="s">
        <v>5457</v>
      </c>
      <c r="L113" t="s">
        <v>5458</v>
      </c>
      <c r="M113" t="s">
        <v>4883</v>
      </c>
      <c r="N113" t="s">
        <v>4679</v>
      </c>
      <c r="O113" t="s">
        <v>5459</v>
      </c>
      <c r="Q113" t="s">
        <v>5460</v>
      </c>
      <c r="R113" t="s">
        <v>5461</v>
      </c>
    </row>
    <row r="114" spans="1:18" x14ac:dyDescent="0.15">
      <c r="A114" t="s">
        <v>5462</v>
      </c>
      <c r="B114" t="s">
        <v>5463</v>
      </c>
      <c r="C114" t="s">
        <v>5464</v>
      </c>
      <c r="E114" t="str">
        <f>"9780199732074"</f>
        <v>9780199732074</v>
      </c>
      <c r="F114" t="str">
        <f>"20120101"</f>
        <v>20120101</v>
      </c>
      <c r="I114">
        <v>187</v>
      </c>
      <c r="J114">
        <v>20</v>
      </c>
      <c r="K114" t="s">
        <v>5465</v>
      </c>
      <c r="L114" t="s">
        <v>5466</v>
      </c>
      <c r="M114" t="s">
        <v>4813</v>
      </c>
      <c r="N114" t="s">
        <v>4773</v>
      </c>
      <c r="O114" t="s">
        <v>5467</v>
      </c>
      <c r="Q114" t="s">
        <v>5468</v>
      </c>
      <c r="R114" t="s">
        <v>5469</v>
      </c>
    </row>
    <row r="115" spans="1:18" x14ac:dyDescent="0.15">
      <c r="A115" t="s">
        <v>5470</v>
      </c>
      <c r="B115" t="s">
        <v>5471</v>
      </c>
      <c r="C115" t="s">
        <v>5472</v>
      </c>
      <c r="E115" t="str">
        <f>"9781462502554"</f>
        <v>9781462502554</v>
      </c>
      <c r="F115" t="str">
        <f>"20120101"</f>
        <v>20120101</v>
      </c>
      <c r="I115">
        <v>297</v>
      </c>
      <c r="J115">
        <v>27</v>
      </c>
      <c r="K115" t="s">
        <v>5473</v>
      </c>
      <c r="M115" t="s">
        <v>5474</v>
      </c>
      <c r="N115" t="s">
        <v>4773</v>
      </c>
      <c r="O115" t="s">
        <v>5475</v>
      </c>
      <c r="Q115" t="s">
        <v>5476</v>
      </c>
      <c r="R115" t="s">
        <v>5477</v>
      </c>
    </row>
    <row r="116" spans="1:18" x14ac:dyDescent="0.15">
      <c r="A116" t="s">
        <v>5478</v>
      </c>
      <c r="B116" t="s">
        <v>5479</v>
      </c>
      <c r="C116" t="s">
        <v>4762</v>
      </c>
      <c r="D116" t="str">
        <f>"04194209"</f>
        <v>04194209</v>
      </c>
      <c r="E116" t="str">
        <f>"9781109740738"</f>
        <v>9781109740738</v>
      </c>
      <c r="F116" t="str">
        <f>"20100101"</f>
        <v>20100101</v>
      </c>
      <c r="G116">
        <v>71</v>
      </c>
      <c r="H116" t="s">
        <v>5480</v>
      </c>
      <c r="I116">
        <v>1784</v>
      </c>
      <c r="J116">
        <v>1</v>
      </c>
      <c r="K116" t="s">
        <v>5481</v>
      </c>
      <c r="M116" t="s">
        <v>4670</v>
      </c>
      <c r="N116" t="s">
        <v>4671</v>
      </c>
      <c r="O116" t="s">
        <v>5482</v>
      </c>
      <c r="Q116" t="s">
        <v>5483</v>
      </c>
      <c r="R116" t="s">
        <v>5484</v>
      </c>
    </row>
    <row r="117" spans="1:18" x14ac:dyDescent="0.15">
      <c r="A117" t="s">
        <v>5485</v>
      </c>
      <c r="B117" t="s">
        <v>5486</v>
      </c>
      <c r="C117" t="s">
        <v>5487</v>
      </c>
      <c r="D117" t="str">
        <f>"00916544"</f>
        <v>00916544</v>
      </c>
      <c r="F117" t="str">
        <f>"20080101"</f>
        <v>20080101</v>
      </c>
      <c r="G117">
        <v>35</v>
      </c>
      <c r="H117">
        <v>2</v>
      </c>
      <c r="I117">
        <v>63</v>
      </c>
      <c r="J117">
        <v>19</v>
      </c>
      <c r="K117" t="s">
        <v>5488</v>
      </c>
      <c r="M117" t="s">
        <v>5489</v>
      </c>
      <c r="N117" t="s">
        <v>4679</v>
      </c>
      <c r="O117" t="s">
        <v>5490</v>
      </c>
      <c r="Q117" t="s">
        <v>5491</v>
      </c>
      <c r="R117" t="s">
        <v>5492</v>
      </c>
    </row>
    <row r="118" spans="1:18" x14ac:dyDescent="0.15">
      <c r="A118" t="s">
        <v>5493</v>
      </c>
      <c r="B118" t="s">
        <v>5494</v>
      </c>
      <c r="C118" t="s">
        <v>5495</v>
      </c>
      <c r="D118" t="str">
        <f>"01419870"</f>
        <v>01419870</v>
      </c>
      <c r="F118" t="str">
        <f>"20150601"</f>
        <v>20150601</v>
      </c>
      <c r="G118">
        <v>38</v>
      </c>
      <c r="H118">
        <v>8</v>
      </c>
      <c r="I118">
        <v>1236</v>
      </c>
      <c r="J118">
        <v>9</v>
      </c>
      <c r="K118" t="s">
        <v>5496</v>
      </c>
      <c r="L118" t="s">
        <v>2708</v>
      </c>
      <c r="M118" t="s">
        <v>4728</v>
      </c>
      <c r="N118" t="s">
        <v>5497</v>
      </c>
      <c r="O118" t="s">
        <v>5498</v>
      </c>
      <c r="Q118" t="s">
        <v>5499</v>
      </c>
      <c r="R118" t="s">
        <v>5500</v>
      </c>
    </row>
    <row r="119" spans="1:18" x14ac:dyDescent="0.15">
      <c r="A119" t="s">
        <v>5501</v>
      </c>
      <c r="B119" t="s">
        <v>2808</v>
      </c>
      <c r="C119" t="s">
        <v>5502</v>
      </c>
      <c r="D119" t="str">
        <f>"10795014"</f>
        <v>10795014</v>
      </c>
      <c r="F119" t="str">
        <f>"20150301"</f>
        <v>20150301</v>
      </c>
      <c r="G119">
        <v>70</v>
      </c>
      <c r="H119">
        <v>2</v>
      </c>
      <c r="I119">
        <v>269</v>
      </c>
      <c r="J119">
        <v>10</v>
      </c>
      <c r="K119" t="s">
        <v>5503</v>
      </c>
      <c r="L119" t="s">
        <v>2821</v>
      </c>
      <c r="M119" t="s">
        <v>4813</v>
      </c>
      <c r="N119" t="s">
        <v>4679</v>
      </c>
      <c r="O119" t="s">
        <v>5504</v>
      </c>
      <c r="Q119" t="s">
        <v>5505</v>
      </c>
      <c r="R119" t="s">
        <v>5506</v>
      </c>
    </row>
    <row r="120" spans="1:18" x14ac:dyDescent="0.15">
      <c r="A120" t="s">
        <v>5507</v>
      </c>
      <c r="B120" t="s">
        <v>5508</v>
      </c>
      <c r="C120" t="s">
        <v>5495</v>
      </c>
      <c r="D120" t="str">
        <f>"01419870"</f>
        <v>01419870</v>
      </c>
      <c r="F120" t="str">
        <f>"20171001"</f>
        <v>20171001</v>
      </c>
      <c r="G120">
        <v>40</v>
      </c>
      <c r="H120">
        <v>13</v>
      </c>
      <c r="I120">
        <v>2226</v>
      </c>
      <c r="J120">
        <v>6</v>
      </c>
      <c r="K120" t="s">
        <v>5509</v>
      </c>
      <c r="L120" t="s">
        <v>5510</v>
      </c>
      <c r="M120" t="s">
        <v>4728</v>
      </c>
      <c r="N120" t="s">
        <v>4828</v>
      </c>
      <c r="O120" t="s">
        <v>5511</v>
      </c>
      <c r="Q120" t="s">
        <v>5512</v>
      </c>
      <c r="R120" t="s">
        <v>5513</v>
      </c>
    </row>
    <row r="121" spans="1:18" x14ac:dyDescent="0.15">
      <c r="A121" t="s">
        <v>5514</v>
      </c>
      <c r="B121" t="s">
        <v>5515</v>
      </c>
      <c r="C121" t="s">
        <v>5516</v>
      </c>
      <c r="D121" t="str">
        <f>"09553959"</f>
        <v>09553959</v>
      </c>
      <c r="F121" t="str">
        <f>"20190701"</f>
        <v>20190701</v>
      </c>
      <c r="G121">
        <v>69</v>
      </c>
      <c r="I121">
        <v>60</v>
      </c>
      <c r="J121">
        <v>10</v>
      </c>
      <c r="K121" t="s">
        <v>5517</v>
      </c>
      <c r="L121" t="s">
        <v>960</v>
      </c>
      <c r="M121" t="s">
        <v>4735</v>
      </c>
      <c r="N121" t="s">
        <v>4679</v>
      </c>
      <c r="O121" t="s">
        <v>5518</v>
      </c>
      <c r="Q121" t="s">
        <v>5519</v>
      </c>
      <c r="R121" t="s">
        <v>5520</v>
      </c>
    </row>
    <row r="122" spans="1:18" x14ac:dyDescent="0.15">
      <c r="A122" t="s">
        <v>5521</v>
      </c>
      <c r="B122" t="s">
        <v>2387</v>
      </c>
      <c r="C122" t="s">
        <v>5430</v>
      </c>
      <c r="D122" t="str">
        <f>"03637751"</f>
        <v>03637751</v>
      </c>
      <c r="F122" t="str">
        <f>"20130301"</f>
        <v>20130301</v>
      </c>
      <c r="G122">
        <v>80</v>
      </c>
      <c r="H122">
        <v>1</v>
      </c>
      <c r="I122">
        <v>46</v>
      </c>
      <c r="J122">
        <v>17</v>
      </c>
      <c r="K122" t="s">
        <v>5522</v>
      </c>
      <c r="L122" t="s">
        <v>3106</v>
      </c>
      <c r="M122" t="s">
        <v>4728</v>
      </c>
      <c r="N122" t="s">
        <v>4679</v>
      </c>
      <c r="O122" t="s">
        <v>5523</v>
      </c>
      <c r="Q122" t="s">
        <v>5524</v>
      </c>
      <c r="R122" t="s">
        <v>5525</v>
      </c>
    </row>
    <row r="123" spans="1:18" x14ac:dyDescent="0.15">
      <c r="A123" t="s">
        <v>5526</v>
      </c>
      <c r="B123" t="s">
        <v>3150</v>
      </c>
      <c r="C123" t="s">
        <v>5297</v>
      </c>
      <c r="D123" t="str">
        <f>"02779536"</f>
        <v>02779536</v>
      </c>
      <c r="F123" t="str">
        <f>"20121201"</f>
        <v>20121201</v>
      </c>
      <c r="G123">
        <v>75</v>
      </c>
      <c r="H123">
        <v>12</v>
      </c>
      <c r="I123">
        <v>2060</v>
      </c>
      <c r="J123">
        <v>9</v>
      </c>
      <c r="K123" t="s">
        <v>5527</v>
      </c>
      <c r="L123" t="s">
        <v>3160</v>
      </c>
      <c r="M123" t="s">
        <v>4735</v>
      </c>
      <c r="N123" t="s">
        <v>4679</v>
      </c>
      <c r="O123" t="s">
        <v>5528</v>
      </c>
      <c r="Q123" t="s">
        <v>5529</v>
      </c>
      <c r="R123" t="s">
        <v>5530</v>
      </c>
    </row>
    <row r="124" spans="1:18" x14ac:dyDescent="0.15">
      <c r="A124" t="s">
        <v>5531</v>
      </c>
      <c r="B124" t="s">
        <v>5532</v>
      </c>
      <c r="C124" t="s">
        <v>5533</v>
      </c>
      <c r="D124" t="str">
        <f>"07067437"</f>
        <v>07067437</v>
      </c>
      <c r="F124" t="str">
        <f>"19871001"</f>
        <v>19871001</v>
      </c>
      <c r="G124">
        <v>32</v>
      </c>
      <c r="H124">
        <v>7</v>
      </c>
      <c r="I124">
        <v>595</v>
      </c>
      <c r="J124">
        <v>4</v>
      </c>
      <c r="K124" t="s">
        <v>5534</v>
      </c>
      <c r="M124" t="s">
        <v>5535</v>
      </c>
      <c r="N124" t="s">
        <v>4679</v>
      </c>
      <c r="O124" t="s">
        <v>5536</v>
      </c>
      <c r="Q124" t="s">
        <v>5537</v>
      </c>
      <c r="R124" t="s">
        <v>5538</v>
      </c>
    </row>
    <row r="125" spans="1:18" x14ac:dyDescent="0.15">
      <c r="A125" t="s">
        <v>5539</v>
      </c>
      <c r="B125" t="s">
        <v>5540</v>
      </c>
      <c r="C125" t="s">
        <v>5541</v>
      </c>
      <c r="E125" t="str">
        <f>"0471386294; 9780471386292"</f>
        <v>0471386294; 9780471386292</v>
      </c>
      <c r="F125" t="str">
        <f>"20050101"</f>
        <v>20050101</v>
      </c>
      <c r="I125">
        <v>235</v>
      </c>
      <c r="J125">
        <v>14</v>
      </c>
      <c r="K125" t="s">
        <v>5542</v>
      </c>
      <c r="M125" t="s">
        <v>5543</v>
      </c>
      <c r="N125" t="s">
        <v>4773</v>
      </c>
      <c r="O125" t="s">
        <v>5544</v>
      </c>
      <c r="Q125" t="s">
        <v>5545</v>
      </c>
      <c r="R125" t="s">
        <v>5546</v>
      </c>
    </row>
    <row r="126" spans="1:18" x14ac:dyDescent="0.15">
      <c r="A126" t="s">
        <v>5547</v>
      </c>
      <c r="B126" t="s">
        <v>5548</v>
      </c>
      <c r="C126" t="s">
        <v>5549</v>
      </c>
      <c r="D126" t="str">
        <f>"04194217"</f>
        <v>04194217</v>
      </c>
      <c r="F126" t="str">
        <f>"19900101"</f>
        <v>19900101</v>
      </c>
      <c r="G126">
        <v>50</v>
      </c>
      <c r="H126" t="s">
        <v>4668</v>
      </c>
      <c r="I126">
        <v>2852</v>
      </c>
      <c r="J126">
        <v>1</v>
      </c>
      <c r="K126" t="s">
        <v>5550</v>
      </c>
      <c r="M126" t="s">
        <v>4670</v>
      </c>
      <c r="N126" t="s">
        <v>4671</v>
      </c>
      <c r="O126" t="s">
        <v>5551</v>
      </c>
      <c r="R126" t="s">
        <v>5552</v>
      </c>
    </row>
    <row r="127" spans="1:18" x14ac:dyDescent="0.15">
      <c r="A127" t="s">
        <v>5553</v>
      </c>
      <c r="B127" t="s">
        <v>5554</v>
      </c>
      <c r="C127" t="s">
        <v>5555</v>
      </c>
      <c r="D127" t="str">
        <f>"01471473"</f>
        <v>01471473</v>
      </c>
      <c r="F127" t="str">
        <f>"20120101"</f>
        <v>20120101</v>
      </c>
      <c r="G127">
        <v>34</v>
      </c>
      <c r="H127">
        <v>2</v>
      </c>
      <c r="I127">
        <v>37</v>
      </c>
      <c r="J127">
        <v>14</v>
      </c>
      <c r="K127" t="s">
        <v>5556</v>
      </c>
      <c r="M127" t="s">
        <v>5557</v>
      </c>
      <c r="N127" t="s">
        <v>4679</v>
      </c>
      <c r="O127" t="s">
        <v>5558</v>
      </c>
      <c r="Q127" t="s">
        <v>5559</v>
      </c>
      <c r="R127" t="s">
        <v>5560</v>
      </c>
    </row>
    <row r="128" spans="1:18" x14ac:dyDescent="0.15">
      <c r="A128" t="s">
        <v>5561</v>
      </c>
      <c r="B128" t="s">
        <v>5562</v>
      </c>
      <c r="C128" t="s">
        <v>5563</v>
      </c>
      <c r="D128" t="str">
        <f>"0003066X"</f>
        <v>0003066X</v>
      </c>
      <c r="F128" t="str">
        <f>"19940801"</f>
        <v>19940801</v>
      </c>
      <c r="G128">
        <v>49</v>
      </c>
      <c r="H128">
        <v>8</v>
      </c>
      <c r="I128">
        <v>701</v>
      </c>
      <c r="J128">
        <v>8</v>
      </c>
      <c r="K128" t="s">
        <v>5564</v>
      </c>
      <c r="L128" t="s">
        <v>5565</v>
      </c>
      <c r="M128" t="s">
        <v>4899</v>
      </c>
      <c r="N128" t="s">
        <v>4679</v>
      </c>
      <c r="O128" t="s">
        <v>5566</v>
      </c>
      <c r="Q128" t="s">
        <v>5567</v>
      </c>
      <c r="R128" t="s">
        <v>5568</v>
      </c>
    </row>
    <row r="129" spans="1:18" x14ac:dyDescent="0.15">
      <c r="A129" t="s">
        <v>5569</v>
      </c>
      <c r="B129" t="s">
        <v>5570</v>
      </c>
      <c r="C129" t="s">
        <v>5571</v>
      </c>
      <c r="E129" t="str">
        <f>"0805851569; 9780805851564"</f>
        <v>0805851569; 9780805851564</v>
      </c>
      <c r="F129" t="str">
        <f>"20060101"</f>
        <v>20060101</v>
      </c>
      <c r="I129">
        <v>1</v>
      </c>
      <c r="J129">
        <v>14</v>
      </c>
      <c r="K129" t="s">
        <v>5572</v>
      </c>
      <c r="L129" t="s">
        <v>5573</v>
      </c>
      <c r="M129" t="s">
        <v>5030</v>
      </c>
      <c r="N129" t="s">
        <v>4773</v>
      </c>
      <c r="O129" t="s">
        <v>5574</v>
      </c>
      <c r="Q129" t="s">
        <v>5575</v>
      </c>
      <c r="R129" t="s">
        <v>5576</v>
      </c>
    </row>
    <row r="130" spans="1:18" x14ac:dyDescent="0.15">
      <c r="A130" t="s">
        <v>5577</v>
      </c>
      <c r="B130" t="s">
        <v>3849</v>
      </c>
      <c r="C130" t="s">
        <v>5578</v>
      </c>
      <c r="D130" t="str">
        <f>"0049089X"</f>
        <v>0049089X</v>
      </c>
      <c r="F130" t="str">
        <f>"20080301"</f>
        <v>20080301</v>
      </c>
      <c r="G130">
        <v>37</v>
      </c>
      <c r="H130">
        <v>1</v>
      </c>
      <c r="I130">
        <v>109</v>
      </c>
      <c r="J130">
        <v>29</v>
      </c>
      <c r="K130" t="s">
        <v>5579</v>
      </c>
      <c r="L130" t="s">
        <v>3858</v>
      </c>
      <c r="M130" t="s">
        <v>4735</v>
      </c>
      <c r="N130" t="s">
        <v>4679</v>
      </c>
      <c r="O130" t="s">
        <v>5580</v>
      </c>
      <c r="Q130" t="s">
        <v>5581</v>
      </c>
      <c r="R130" t="s">
        <v>5582</v>
      </c>
    </row>
    <row r="131" spans="1:18" x14ac:dyDescent="0.15">
      <c r="A131" t="s">
        <v>5583</v>
      </c>
      <c r="B131" t="s">
        <v>5584</v>
      </c>
      <c r="C131" t="s">
        <v>5585</v>
      </c>
      <c r="E131" t="str">
        <f>"0805858725"</f>
        <v>0805858725</v>
      </c>
      <c r="F131" t="str">
        <f>"20060101"</f>
        <v>20060101</v>
      </c>
      <c r="I131">
        <v>33</v>
      </c>
      <c r="J131">
        <v>30</v>
      </c>
      <c r="K131" t="s">
        <v>5586</v>
      </c>
      <c r="M131" t="s">
        <v>5030</v>
      </c>
      <c r="N131" t="s">
        <v>4773</v>
      </c>
      <c r="O131" t="s">
        <v>5587</v>
      </c>
      <c r="Q131" t="s">
        <v>5588</v>
      </c>
      <c r="R131" t="s">
        <v>5589</v>
      </c>
    </row>
    <row r="132" spans="1:18" x14ac:dyDescent="0.15">
      <c r="A132" t="s">
        <v>5590</v>
      </c>
      <c r="B132" t="s">
        <v>5591</v>
      </c>
      <c r="C132" t="s">
        <v>4762</v>
      </c>
      <c r="D132" t="str">
        <f>"04194209"</f>
        <v>04194209</v>
      </c>
      <c r="E132" t="str">
        <f>"9781124772837"</f>
        <v>9781124772837</v>
      </c>
      <c r="F132" t="str">
        <f>"20120101"</f>
        <v>20120101</v>
      </c>
      <c r="G132">
        <v>72</v>
      </c>
      <c r="H132" t="s">
        <v>5592</v>
      </c>
      <c r="I132">
        <v>3905</v>
      </c>
      <c r="J132">
        <v>1</v>
      </c>
      <c r="K132" t="s">
        <v>5593</v>
      </c>
      <c r="M132" t="s">
        <v>4670</v>
      </c>
      <c r="N132" t="s">
        <v>4671</v>
      </c>
      <c r="O132" t="s">
        <v>5594</v>
      </c>
      <c r="Q132" t="s">
        <v>5595</v>
      </c>
      <c r="R132" t="s">
        <v>5596</v>
      </c>
    </row>
    <row r="133" spans="1:18" x14ac:dyDescent="0.15">
      <c r="A133" t="s">
        <v>5597</v>
      </c>
      <c r="B133" t="s">
        <v>5598</v>
      </c>
      <c r="C133" t="s">
        <v>4667</v>
      </c>
      <c r="D133" t="str">
        <f>"04194217"</f>
        <v>04194217</v>
      </c>
      <c r="F133" t="str">
        <f>"20070101"</f>
        <v>20070101</v>
      </c>
      <c r="G133">
        <v>67</v>
      </c>
      <c r="H133" t="s">
        <v>4668</v>
      </c>
      <c r="I133">
        <v>4157</v>
      </c>
      <c r="J133">
        <v>1</v>
      </c>
      <c r="K133" t="s">
        <v>5599</v>
      </c>
      <c r="M133" t="s">
        <v>4670</v>
      </c>
      <c r="N133" t="s">
        <v>4671</v>
      </c>
      <c r="O133" t="s">
        <v>5600</v>
      </c>
      <c r="Q133" t="s">
        <v>5601</v>
      </c>
      <c r="R133" t="s">
        <v>5602</v>
      </c>
    </row>
    <row r="134" spans="1:18" x14ac:dyDescent="0.15">
      <c r="A134" t="s">
        <v>5603</v>
      </c>
      <c r="B134" t="s">
        <v>5604</v>
      </c>
      <c r="E134" t="str">
        <f>"9781138185111; 9781138185142; 9781315644714"</f>
        <v>9781138185111; 9781138185142; 9781315644714</v>
      </c>
      <c r="F134" t="str">
        <f>"20170101"</f>
        <v>20170101</v>
      </c>
      <c r="J134">
        <v>312</v>
      </c>
      <c r="K134" t="s">
        <v>5605</v>
      </c>
      <c r="L134" t="s">
        <v>5606</v>
      </c>
      <c r="M134" t="s">
        <v>5194</v>
      </c>
      <c r="O134" t="s">
        <v>5607</v>
      </c>
      <c r="Q134" t="s">
        <v>5608</v>
      </c>
      <c r="R134" t="s">
        <v>5609</v>
      </c>
    </row>
    <row r="135" spans="1:18" x14ac:dyDescent="0.15">
      <c r="A135" t="s">
        <v>5610</v>
      </c>
      <c r="B135" t="s">
        <v>2849</v>
      </c>
      <c r="C135" t="s">
        <v>5611</v>
      </c>
      <c r="D135" t="str">
        <f>"15416577"</f>
        <v>15416577</v>
      </c>
      <c r="F135" t="str">
        <f>"20150101"</f>
        <v>20150101</v>
      </c>
      <c r="G135">
        <v>29</v>
      </c>
      <c r="H135">
        <v>1</v>
      </c>
      <c r="I135">
        <v>25</v>
      </c>
      <c r="J135">
        <v>13</v>
      </c>
      <c r="K135" t="s">
        <v>5612</v>
      </c>
      <c r="L135" t="s">
        <v>2857</v>
      </c>
      <c r="M135" t="s">
        <v>5613</v>
      </c>
      <c r="N135" t="s">
        <v>4679</v>
      </c>
      <c r="O135" t="s">
        <v>5614</v>
      </c>
      <c r="Q135" t="s">
        <v>5615</v>
      </c>
      <c r="R135" t="s">
        <v>5616</v>
      </c>
    </row>
    <row r="136" spans="1:18" x14ac:dyDescent="0.15">
      <c r="A136" t="s">
        <v>5617</v>
      </c>
      <c r="B136" t="s">
        <v>5618</v>
      </c>
      <c r="C136" t="s">
        <v>5619</v>
      </c>
      <c r="D136" t="str">
        <f>"01612840"</f>
        <v>01612840</v>
      </c>
      <c r="F136" t="str">
        <f>"20170401"</f>
        <v>20170401</v>
      </c>
      <c r="G136">
        <v>38</v>
      </c>
      <c r="H136">
        <v>4</v>
      </c>
      <c r="I136">
        <v>352</v>
      </c>
      <c r="J136">
        <v>9</v>
      </c>
      <c r="K136" t="s">
        <v>5620</v>
      </c>
      <c r="L136" t="s">
        <v>5621</v>
      </c>
      <c r="M136" t="s">
        <v>4728</v>
      </c>
      <c r="N136" t="s">
        <v>4679</v>
      </c>
      <c r="O136" t="s">
        <v>5622</v>
      </c>
      <c r="Q136" t="s">
        <v>5623</v>
      </c>
      <c r="R136" t="s">
        <v>5624</v>
      </c>
    </row>
    <row r="137" spans="1:18" x14ac:dyDescent="0.15">
      <c r="A137" t="s">
        <v>5625</v>
      </c>
      <c r="B137" t="s">
        <v>5626</v>
      </c>
      <c r="C137" t="s">
        <v>5627</v>
      </c>
      <c r="D137" t="str">
        <f>"00333115"</f>
        <v>00333115</v>
      </c>
      <c r="F137" t="str">
        <f>"19860201"</f>
        <v>19860201</v>
      </c>
      <c r="G137">
        <v>21</v>
      </c>
      <c r="H137">
        <v>2</v>
      </c>
      <c r="I137">
        <v>53</v>
      </c>
      <c r="J137">
        <v>5</v>
      </c>
      <c r="K137" t="s">
        <v>5628</v>
      </c>
      <c r="M137" t="s">
        <v>5629</v>
      </c>
      <c r="N137" t="s">
        <v>4679</v>
      </c>
      <c r="O137" t="s">
        <v>5630</v>
      </c>
      <c r="Q137" t="s">
        <v>5631</v>
      </c>
      <c r="R137" t="s">
        <v>5632</v>
      </c>
    </row>
    <row r="138" spans="1:18" x14ac:dyDescent="0.15">
      <c r="A138" t="s">
        <v>5633</v>
      </c>
      <c r="B138" t="s">
        <v>5634</v>
      </c>
      <c r="C138" t="s">
        <v>5635</v>
      </c>
      <c r="D138" t="str">
        <f>"15211401"</f>
        <v>15211401</v>
      </c>
      <c r="F138" t="str">
        <f>"20011001"</f>
        <v>20011001</v>
      </c>
      <c r="G138">
        <v>3</v>
      </c>
      <c r="H138">
        <v>4</v>
      </c>
      <c r="I138">
        <v>409</v>
      </c>
      <c r="J138">
        <v>22</v>
      </c>
      <c r="K138" t="s">
        <v>5636</v>
      </c>
      <c r="L138" t="s">
        <v>5637</v>
      </c>
      <c r="M138" t="s">
        <v>5638</v>
      </c>
      <c r="N138" t="s">
        <v>4679</v>
      </c>
      <c r="O138" t="s">
        <v>5639</v>
      </c>
      <c r="Q138" t="s">
        <v>5640</v>
      </c>
      <c r="R138" t="s">
        <v>5641</v>
      </c>
    </row>
    <row r="139" spans="1:18" x14ac:dyDescent="0.15">
      <c r="A139" t="s">
        <v>5642</v>
      </c>
      <c r="B139" t="s">
        <v>5643</v>
      </c>
      <c r="C139" t="s">
        <v>5644</v>
      </c>
      <c r="D139" t="str">
        <f>"00031224"</f>
        <v>00031224</v>
      </c>
      <c r="F139" t="str">
        <f>"19860801"</f>
        <v>19860801</v>
      </c>
      <c r="G139">
        <v>51</v>
      </c>
      <c r="H139">
        <v>4</v>
      </c>
      <c r="I139">
        <v>523</v>
      </c>
      <c r="J139">
        <v>18</v>
      </c>
      <c r="K139" t="s">
        <v>5645</v>
      </c>
      <c r="L139" t="s">
        <v>4646</v>
      </c>
      <c r="M139" t="s">
        <v>5646</v>
      </c>
      <c r="N139" t="s">
        <v>4679</v>
      </c>
      <c r="O139" t="s">
        <v>5647</v>
      </c>
      <c r="Q139" t="s">
        <v>5648</v>
      </c>
      <c r="R139" t="s">
        <v>5649</v>
      </c>
    </row>
    <row r="140" spans="1:18" x14ac:dyDescent="0.15">
      <c r="A140" t="s">
        <v>5650</v>
      </c>
      <c r="B140" t="s">
        <v>5651</v>
      </c>
      <c r="C140" t="s">
        <v>5264</v>
      </c>
      <c r="D140" t="str">
        <f>"15571912"</f>
        <v>15571912</v>
      </c>
      <c r="F140" t="str">
        <f>"20101001"</f>
        <v>20101001</v>
      </c>
      <c r="G140">
        <v>12</v>
      </c>
      <c r="H140">
        <v>5</v>
      </c>
      <c r="I140">
        <v>691</v>
      </c>
      <c r="J140">
        <v>8</v>
      </c>
      <c r="K140" t="s">
        <v>5652</v>
      </c>
      <c r="L140" t="s">
        <v>5653</v>
      </c>
      <c r="M140" t="s">
        <v>4696</v>
      </c>
      <c r="N140" t="s">
        <v>4679</v>
      </c>
      <c r="O140" t="s">
        <v>5654</v>
      </c>
      <c r="Q140" t="s">
        <v>5655</v>
      </c>
      <c r="R140" t="s">
        <v>5656</v>
      </c>
    </row>
    <row r="141" spans="1:18" x14ac:dyDescent="0.15">
      <c r="A141" t="s">
        <v>5657</v>
      </c>
      <c r="B141" t="s">
        <v>3164</v>
      </c>
      <c r="C141" t="s">
        <v>5297</v>
      </c>
      <c r="D141" t="str">
        <f>"02779536"</f>
        <v>02779536</v>
      </c>
      <c r="F141" t="str">
        <f>"20121201"</f>
        <v>20121201</v>
      </c>
      <c r="G141">
        <v>75</v>
      </c>
      <c r="H141">
        <v>12</v>
      </c>
      <c r="I141">
        <v>2099</v>
      </c>
      <c r="J141">
        <v>8</v>
      </c>
      <c r="K141" t="s">
        <v>5658</v>
      </c>
      <c r="L141" t="s">
        <v>3175</v>
      </c>
      <c r="M141" t="s">
        <v>4735</v>
      </c>
      <c r="N141" t="s">
        <v>4679</v>
      </c>
      <c r="O141" t="s">
        <v>5659</v>
      </c>
      <c r="Q141" t="s">
        <v>5660</v>
      </c>
      <c r="R141" t="s">
        <v>5661</v>
      </c>
    </row>
    <row r="142" spans="1:18" x14ac:dyDescent="0.15">
      <c r="A142" t="s">
        <v>5662</v>
      </c>
      <c r="B142" t="s">
        <v>5663</v>
      </c>
      <c r="C142" t="s">
        <v>4667</v>
      </c>
      <c r="D142" t="str">
        <f>"04194217"</f>
        <v>04194217</v>
      </c>
      <c r="F142" t="str">
        <f>"19990901"</f>
        <v>19990901</v>
      </c>
      <c r="G142">
        <v>60</v>
      </c>
      <c r="H142" t="s">
        <v>5664</v>
      </c>
      <c r="I142">
        <v>1297</v>
      </c>
      <c r="J142">
        <v>1</v>
      </c>
      <c r="K142" t="s">
        <v>5665</v>
      </c>
      <c r="M142" t="s">
        <v>4670</v>
      </c>
      <c r="N142" t="s">
        <v>4671</v>
      </c>
      <c r="O142" t="s">
        <v>5666</v>
      </c>
      <c r="Q142" t="s">
        <v>5667</v>
      </c>
      <c r="R142" t="s">
        <v>5668</v>
      </c>
    </row>
    <row r="143" spans="1:18" x14ac:dyDescent="0.15">
      <c r="A143" t="s">
        <v>5669</v>
      </c>
      <c r="B143" t="s">
        <v>3082</v>
      </c>
      <c r="C143" t="s">
        <v>5670</v>
      </c>
      <c r="D143" t="str">
        <f>"00220167"</f>
        <v>00220167</v>
      </c>
      <c r="F143" t="str">
        <f>"20130401"</f>
        <v>20130401</v>
      </c>
      <c r="G143">
        <v>60</v>
      </c>
      <c r="H143">
        <v>2</v>
      </c>
      <c r="I143">
        <v>251</v>
      </c>
      <c r="J143">
        <v>14</v>
      </c>
      <c r="K143" t="s">
        <v>5671</v>
      </c>
      <c r="L143" t="s">
        <v>3095</v>
      </c>
      <c r="M143" t="s">
        <v>4899</v>
      </c>
      <c r="N143" t="s">
        <v>4679</v>
      </c>
      <c r="O143" t="s">
        <v>5672</v>
      </c>
      <c r="Q143" t="s">
        <v>5673</v>
      </c>
      <c r="R143" t="s">
        <v>5674</v>
      </c>
    </row>
    <row r="144" spans="1:18" x14ac:dyDescent="0.15">
      <c r="A144" t="s">
        <v>5675</v>
      </c>
      <c r="B144" t="s">
        <v>5676</v>
      </c>
      <c r="C144" t="s">
        <v>5495</v>
      </c>
      <c r="D144" t="str">
        <f>"01419870"</f>
        <v>01419870</v>
      </c>
      <c r="F144" t="str">
        <f>"20100701"</f>
        <v>20100701</v>
      </c>
      <c r="G144">
        <v>33</v>
      </c>
      <c r="H144">
        <v>7</v>
      </c>
      <c r="I144">
        <v>1143</v>
      </c>
      <c r="J144">
        <v>6</v>
      </c>
      <c r="K144" t="s">
        <v>5677</v>
      </c>
      <c r="L144" t="s">
        <v>5678</v>
      </c>
      <c r="M144" t="s">
        <v>4728</v>
      </c>
      <c r="N144" t="s">
        <v>4679</v>
      </c>
      <c r="O144" t="s">
        <v>5679</v>
      </c>
      <c r="Q144" t="s">
        <v>5680</v>
      </c>
      <c r="R144" t="s">
        <v>5681</v>
      </c>
    </row>
    <row r="145" spans="1:18" x14ac:dyDescent="0.15">
      <c r="A145" t="s">
        <v>5682</v>
      </c>
      <c r="B145" t="s">
        <v>5683</v>
      </c>
      <c r="C145" t="s">
        <v>5684</v>
      </c>
      <c r="E145" t="str">
        <f>"9781623960643; 9781623960650; 9781623960667"</f>
        <v>9781623960643; 9781623960650; 9781623960667</v>
      </c>
      <c r="F145" t="str">
        <f>"20130101"</f>
        <v>20130101</v>
      </c>
      <c r="I145">
        <v>127</v>
      </c>
      <c r="J145">
        <v>23</v>
      </c>
      <c r="K145" t="s">
        <v>5685</v>
      </c>
      <c r="M145" t="s">
        <v>5439</v>
      </c>
      <c r="N145" t="s">
        <v>4773</v>
      </c>
      <c r="O145" t="s">
        <v>5686</v>
      </c>
      <c r="Q145" t="s">
        <v>5687</v>
      </c>
      <c r="R145" t="s">
        <v>5688</v>
      </c>
    </row>
    <row r="146" spans="1:18" x14ac:dyDescent="0.15">
      <c r="A146" t="s">
        <v>5689</v>
      </c>
      <c r="B146" t="s">
        <v>5690</v>
      </c>
      <c r="C146" t="s">
        <v>4762</v>
      </c>
      <c r="D146" t="str">
        <f>"04194209"</f>
        <v>04194209</v>
      </c>
      <c r="F146" t="str">
        <f>"20021101"</f>
        <v>20021101</v>
      </c>
      <c r="G146">
        <v>63</v>
      </c>
      <c r="H146" t="s">
        <v>5480</v>
      </c>
      <c r="I146">
        <v>1710</v>
      </c>
      <c r="J146">
        <v>1</v>
      </c>
      <c r="K146" t="s">
        <v>5691</v>
      </c>
      <c r="M146" t="s">
        <v>4670</v>
      </c>
      <c r="N146" t="s">
        <v>4671</v>
      </c>
      <c r="O146" t="s">
        <v>5692</v>
      </c>
      <c r="Q146" t="s">
        <v>5693</v>
      </c>
      <c r="R146" t="s">
        <v>5694</v>
      </c>
    </row>
    <row r="147" spans="1:18" x14ac:dyDescent="0.15">
      <c r="A147" t="s">
        <v>5695</v>
      </c>
      <c r="B147" t="s">
        <v>5696</v>
      </c>
      <c r="C147" t="s">
        <v>4762</v>
      </c>
      <c r="D147" t="str">
        <f>"04194209"</f>
        <v>04194209</v>
      </c>
      <c r="E147" t="str">
        <f>"9781303927249"</f>
        <v>9781303927249</v>
      </c>
      <c r="F147" t="str">
        <f>"20150101"</f>
        <v>20150101</v>
      </c>
      <c r="G147">
        <v>75</v>
      </c>
      <c r="H147" t="s">
        <v>5697</v>
      </c>
      <c r="K147" t="s">
        <v>5698</v>
      </c>
      <c r="M147" t="s">
        <v>4670</v>
      </c>
      <c r="N147" t="s">
        <v>4671</v>
      </c>
      <c r="O147" t="s">
        <v>5699</v>
      </c>
      <c r="Q147" t="s">
        <v>5700</v>
      </c>
      <c r="R147" t="s">
        <v>5701</v>
      </c>
    </row>
    <row r="148" spans="1:18" x14ac:dyDescent="0.15">
      <c r="A148" t="s">
        <v>5702</v>
      </c>
      <c r="B148" t="s">
        <v>5703</v>
      </c>
      <c r="C148" t="s">
        <v>5704</v>
      </c>
      <c r="D148" t="str">
        <f>"10999809"</f>
        <v>10999809</v>
      </c>
      <c r="F148" t="str">
        <f>"20140101"</f>
        <v>20140101</v>
      </c>
      <c r="G148">
        <v>20</v>
      </c>
      <c r="H148">
        <v>1</v>
      </c>
      <c r="I148">
        <v>1</v>
      </c>
      <c r="J148">
        <v>15</v>
      </c>
      <c r="K148" t="s">
        <v>5705</v>
      </c>
      <c r="L148" t="s">
        <v>3018</v>
      </c>
      <c r="M148" t="s">
        <v>4711</v>
      </c>
      <c r="N148" t="s">
        <v>4679</v>
      </c>
      <c r="O148" t="s">
        <v>5706</v>
      </c>
      <c r="Q148" t="s">
        <v>5707</v>
      </c>
      <c r="R148" t="s">
        <v>5708</v>
      </c>
    </row>
    <row r="149" spans="1:18" x14ac:dyDescent="0.15">
      <c r="A149" t="s">
        <v>5709</v>
      </c>
      <c r="B149" t="s">
        <v>5710</v>
      </c>
      <c r="C149" t="s">
        <v>5331</v>
      </c>
      <c r="D149" t="str">
        <f>"00027162"</f>
        <v>00027162</v>
      </c>
      <c r="F149" t="str">
        <f>"20170701"</f>
        <v>20170701</v>
      </c>
      <c r="G149">
        <v>672</v>
      </c>
      <c r="H149">
        <v>1</v>
      </c>
      <c r="I149">
        <v>64</v>
      </c>
      <c r="J149">
        <v>19</v>
      </c>
      <c r="K149" t="s">
        <v>5711</v>
      </c>
      <c r="L149" t="s">
        <v>1940</v>
      </c>
      <c r="M149" t="s">
        <v>4678</v>
      </c>
      <c r="N149" t="s">
        <v>4679</v>
      </c>
      <c r="O149" t="s">
        <v>5712</v>
      </c>
      <c r="Q149" t="s">
        <v>5713</v>
      </c>
      <c r="R149" t="s">
        <v>5714</v>
      </c>
    </row>
    <row r="150" spans="1:18" x14ac:dyDescent="0.15">
      <c r="A150" t="s">
        <v>5715</v>
      </c>
      <c r="B150" t="s">
        <v>5716</v>
      </c>
      <c r="C150" t="s">
        <v>5563</v>
      </c>
      <c r="D150" t="str">
        <f>"0003066X"</f>
        <v>0003066X</v>
      </c>
      <c r="F150" t="str">
        <f>"19910601"</f>
        <v>19910601</v>
      </c>
      <c r="G150">
        <v>46</v>
      </c>
      <c r="H150">
        <v>6</v>
      </c>
      <c r="I150">
        <v>632</v>
      </c>
      <c r="J150">
        <v>10</v>
      </c>
      <c r="K150" t="s">
        <v>5717</v>
      </c>
      <c r="L150" t="s">
        <v>5718</v>
      </c>
      <c r="M150" t="s">
        <v>4899</v>
      </c>
      <c r="N150" t="s">
        <v>4679</v>
      </c>
      <c r="O150" t="s">
        <v>5719</v>
      </c>
      <c r="Q150" t="s">
        <v>5720</v>
      </c>
      <c r="R150" t="s">
        <v>5721</v>
      </c>
    </row>
    <row r="151" spans="1:18" x14ac:dyDescent="0.15">
      <c r="A151" t="s">
        <v>5722</v>
      </c>
      <c r="B151" t="s">
        <v>5723</v>
      </c>
      <c r="C151" t="s">
        <v>5176</v>
      </c>
      <c r="E151" t="str">
        <f>"9781107019508"</f>
        <v>9781107019508</v>
      </c>
      <c r="F151" t="str">
        <f>"20120101"</f>
        <v>20120101</v>
      </c>
      <c r="I151">
        <v>413</v>
      </c>
      <c r="J151">
        <v>25</v>
      </c>
      <c r="K151" t="s">
        <v>5724</v>
      </c>
      <c r="L151" t="s">
        <v>5725</v>
      </c>
      <c r="M151" t="s">
        <v>4892</v>
      </c>
      <c r="N151" t="s">
        <v>4773</v>
      </c>
      <c r="O151" t="s">
        <v>5726</v>
      </c>
      <c r="Q151" t="s">
        <v>5727</v>
      </c>
      <c r="R151" t="s">
        <v>5728</v>
      </c>
    </row>
    <row r="152" spans="1:18" x14ac:dyDescent="0.15">
      <c r="A152" t="s">
        <v>5729</v>
      </c>
      <c r="B152" t="s">
        <v>2712</v>
      </c>
      <c r="C152" t="s">
        <v>5730</v>
      </c>
      <c r="D152" t="str">
        <f>"01650653"</f>
        <v>01650653</v>
      </c>
      <c r="F152" t="str">
        <f>"20150601"</f>
        <v>20150601</v>
      </c>
      <c r="G152">
        <v>37</v>
      </c>
      <c r="H152">
        <v>2</v>
      </c>
      <c r="I152">
        <v>179</v>
      </c>
      <c r="J152">
        <v>19</v>
      </c>
      <c r="K152" t="s">
        <v>5731</v>
      </c>
      <c r="L152" t="s">
        <v>2725</v>
      </c>
      <c r="M152" t="s">
        <v>4696</v>
      </c>
      <c r="N152" t="s">
        <v>4679</v>
      </c>
      <c r="O152" t="s">
        <v>5732</v>
      </c>
      <c r="Q152" t="s">
        <v>5733</v>
      </c>
      <c r="R152" t="s">
        <v>5734</v>
      </c>
    </row>
    <row r="153" spans="1:18" x14ac:dyDescent="0.15">
      <c r="A153" t="s">
        <v>5735</v>
      </c>
      <c r="B153" t="s">
        <v>5736</v>
      </c>
      <c r="C153" t="s">
        <v>5737</v>
      </c>
      <c r="D153" t="str">
        <f>"10911359"</f>
        <v>10911359</v>
      </c>
      <c r="F153" t="str">
        <f>"20090901"</f>
        <v>20090901</v>
      </c>
      <c r="G153">
        <v>19</v>
      </c>
      <c r="H153">
        <v>6</v>
      </c>
      <c r="I153">
        <v>713</v>
      </c>
      <c r="J153">
        <v>17</v>
      </c>
      <c r="K153" t="s">
        <v>5738</v>
      </c>
      <c r="L153" t="s">
        <v>5739</v>
      </c>
      <c r="M153" t="s">
        <v>4728</v>
      </c>
      <c r="N153" t="s">
        <v>4679</v>
      </c>
      <c r="O153" t="s">
        <v>5740</v>
      </c>
      <c r="Q153" t="s">
        <v>5741</v>
      </c>
      <c r="R153" t="s">
        <v>5742</v>
      </c>
    </row>
    <row r="154" spans="1:18" x14ac:dyDescent="0.15">
      <c r="A154" t="s">
        <v>5743</v>
      </c>
      <c r="B154" t="s">
        <v>5744</v>
      </c>
      <c r="C154" t="s">
        <v>5745</v>
      </c>
      <c r="D154" t="str">
        <f>"0009062X"</f>
        <v>0009062X</v>
      </c>
      <c r="F154" t="str">
        <f>"20180101"</f>
        <v>20180101</v>
      </c>
      <c r="G154">
        <v>62</v>
      </c>
      <c r="H154">
        <v>2</v>
      </c>
      <c r="I154">
        <v>153</v>
      </c>
      <c r="J154">
        <v>20</v>
      </c>
      <c r="K154" t="s">
        <v>5746</v>
      </c>
      <c r="M154" t="s">
        <v>5747</v>
      </c>
      <c r="N154" t="s">
        <v>4679</v>
      </c>
      <c r="O154" t="s">
        <v>5748</v>
      </c>
      <c r="Q154" t="s">
        <v>5749</v>
      </c>
      <c r="R154" t="s">
        <v>5750</v>
      </c>
    </row>
    <row r="155" spans="1:18" x14ac:dyDescent="0.15">
      <c r="A155" t="s">
        <v>5751</v>
      </c>
      <c r="B155" t="s">
        <v>5006</v>
      </c>
      <c r="C155" t="s">
        <v>5752</v>
      </c>
      <c r="D155" t="str">
        <f>"03337308"</f>
        <v>03337308</v>
      </c>
      <c r="F155" t="str">
        <f>"19820101"</f>
        <v>19820101</v>
      </c>
      <c r="G155">
        <v>19</v>
      </c>
      <c r="H155">
        <v>4</v>
      </c>
      <c r="I155">
        <v>329</v>
      </c>
      <c r="J155">
        <v>10</v>
      </c>
      <c r="K155" t="s">
        <v>5753</v>
      </c>
      <c r="M155" t="s">
        <v>5754</v>
      </c>
      <c r="N155" t="s">
        <v>4679</v>
      </c>
      <c r="O155" t="s">
        <v>5755</v>
      </c>
      <c r="Q155" t="s">
        <v>5756</v>
      </c>
      <c r="R155" t="s">
        <v>5757</v>
      </c>
    </row>
    <row r="156" spans="1:18" x14ac:dyDescent="0.15">
      <c r="A156" t="s">
        <v>5758</v>
      </c>
      <c r="B156" t="s">
        <v>5759</v>
      </c>
      <c r="C156" t="s">
        <v>5760</v>
      </c>
      <c r="D156" t="str">
        <f>"24212113"</f>
        <v>24212113</v>
      </c>
      <c r="F156" t="str">
        <f>"20180101"</f>
        <v>20180101</v>
      </c>
      <c r="G156">
        <v>4</v>
      </c>
      <c r="H156">
        <v>1</v>
      </c>
      <c r="I156">
        <v>66</v>
      </c>
      <c r="J156">
        <v>19</v>
      </c>
      <c r="K156" t="s">
        <v>5761</v>
      </c>
      <c r="M156" t="s">
        <v>5762</v>
      </c>
      <c r="N156" t="s">
        <v>4679</v>
      </c>
      <c r="O156" t="s">
        <v>5763</v>
      </c>
      <c r="Q156" t="s">
        <v>5764</v>
      </c>
      <c r="R156" t="s">
        <v>5765</v>
      </c>
    </row>
    <row r="157" spans="1:18" x14ac:dyDescent="0.15">
      <c r="A157" t="s">
        <v>5766</v>
      </c>
      <c r="B157" t="s">
        <v>5767</v>
      </c>
      <c r="C157" t="s">
        <v>5768</v>
      </c>
      <c r="D157" t="str">
        <f>"01488376"</f>
        <v>01488376</v>
      </c>
      <c r="F157" t="str">
        <f>"20030101"</f>
        <v>20030101</v>
      </c>
      <c r="G157">
        <v>30</v>
      </c>
      <c r="H157">
        <v>1</v>
      </c>
      <c r="I157">
        <v>63</v>
      </c>
      <c r="J157">
        <v>29</v>
      </c>
      <c r="K157" t="s">
        <v>5769</v>
      </c>
      <c r="L157" t="s">
        <v>4210</v>
      </c>
      <c r="M157" t="s">
        <v>5770</v>
      </c>
      <c r="N157" t="s">
        <v>4679</v>
      </c>
      <c r="O157" t="s">
        <v>5771</v>
      </c>
      <c r="Q157" t="s">
        <v>5772</v>
      </c>
      <c r="R157" t="s">
        <v>5773</v>
      </c>
    </row>
    <row r="158" spans="1:18" x14ac:dyDescent="0.15">
      <c r="A158" t="s">
        <v>5774</v>
      </c>
      <c r="B158" t="s">
        <v>3634</v>
      </c>
      <c r="C158" t="s">
        <v>5775</v>
      </c>
      <c r="D158" t="str">
        <f>"03401804"</f>
        <v>03401804</v>
      </c>
      <c r="F158" t="str">
        <f>"20090801"</f>
        <v>20090801</v>
      </c>
      <c r="G158">
        <v>38</v>
      </c>
      <c r="H158">
        <v>4</v>
      </c>
      <c r="I158">
        <v>300</v>
      </c>
      <c r="J158">
        <v>20</v>
      </c>
      <c r="K158" t="s">
        <v>5776</v>
      </c>
      <c r="L158" t="s">
        <v>5777</v>
      </c>
      <c r="M158" t="s">
        <v>5778</v>
      </c>
      <c r="N158" t="s">
        <v>4679</v>
      </c>
      <c r="O158" t="s">
        <v>5779</v>
      </c>
      <c r="Q158" t="s">
        <v>5780</v>
      </c>
      <c r="R158" t="s">
        <v>5781</v>
      </c>
    </row>
    <row r="159" spans="1:18" x14ac:dyDescent="0.15">
      <c r="A159" t="s">
        <v>5782</v>
      </c>
      <c r="B159" t="s">
        <v>5783</v>
      </c>
      <c r="C159" t="s">
        <v>5277</v>
      </c>
      <c r="E159" t="str">
        <f>"9780190215217"</f>
        <v>9780190215217</v>
      </c>
      <c r="F159" t="str">
        <f>"20170101"</f>
        <v>20170101</v>
      </c>
      <c r="I159">
        <v>157</v>
      </c>
      <c r="J159">
        <v>17</v>
      </c>
      <c r="K159" t="s">
        <v>5784</v>
      </c>
      <c r="M159" t="s">
        <v>4813</v>
      </c>
      <c r="N159" t="s">
        <v>4773</v>
      </c>
      <c r="O159" t="s">
        <v>5785</v>
      </c>
      <c r="Q159" t="s">
        <v>5786</v>
      </c>
      <c r="R159" t="s">
        <v>5787</v>
      </c>
    </row>
    <row r="160" spans="1:18" x14ac:dyDescent="0.15">
      <c r="A160" t="s">
        <v>5788</v>
      </c>
      <c r="B160" t="s">
        <v>5789</v>
      </c>
      <c r="C160" t="s">
        <v>5790</v>
      </c>
      <c r="D160" t="str">
        <f>"14623730"</f>
        <v>14623730</v>
      </c>
      <c r="F160" t="str">
        <f>"20050501"</f>
        <v>20050501</v>
      </c>
      <c r="G160">
        <v>7</v>
      </c>
      <c r="H160">
        <v>2</v>
      </c>
      <c r="I160">
        <v>24</v>
      </c>
      <c r="J160">
        <v>11</v>
      </c>
      <c r="K160" t="s">
        <v>5791</v>
      </c>
      <c r="L160" t="s">
        <v>5792</v>
      </c>
      <c r="M160" t="s">
        <v>5793</v>
      </c>
      <c r="N160" t="s">
        <v>4679</v>
      </c>
      <c r="O160" t="s">
        <v>5794</v>
      </c>
      <c r="Q160" t="s">
        <v>5795</v>
      </c>
      <c r="R160" t="s">
        <v>5796</v>
      </c>
    </row>
    <row r="161" spans="1:18" x14ac:dyDescent="0.15">
      <c r="A161" t="s">
        <v>5797</v>
      </c>
      <c r="B161" t="s">
        <v>5798</v>
      </c>
      <c r="C161" t="s">
        <v>5799</v>
      </c>
      <c r="D161" t="str">
        <f>"19420722"</f>
        <v>19420722</v>
      </c>
      <c r="F161" t="str">
        <f>"20181001"</f>
        <v>20181001</v>
      </c>
      <c r="G161">
        <v>23</v>
      </c>
      <c r="H161">
        <v>2</v>
      </c>
      <c r="I161">
        <v>138</v>
      </c>
      <c r="J161">
        <v>15</v>
      </c>
      <c r="K161" t="s">
        <v>5800</v>
      </c>
      <c r="L161" t="s">
        <v>5801</v>
      </c>
      <c r="M161" t="s">
        <v>4711</v>
      </c>
      <c r="N161" t="s">
        <v>4679</v>
      </c>
      <c r="O161" t="s">
        <v>5802</v>
      </c>
      <c r="Q161" t="s">
        <v>5803</v>
      </c>
      <c r="R161" t="s">
        <v>5804</v>
      </c>
    </row>
    <row r="162" spans="1:18" x14ac:dyDescent="0.15">
      <c r="A162" t="s">
        <v>5805</v>
      </c>
      <c r="B162" t="s">
        <v>1172</v>
      </c>
      <c r="C162" t="s">
        <v>4708</v>
      </c>
      <c r="D162" t="str">
        <f>"00029432"</f>
        <v>00029432</v>
      </c>
      <c r="F162" t="str">
        <f>"20180219"</f>
        <v>20180219</v>
      </c>
      <c r="K162" t="s">
        <v>5806</v>
      </c>
      <c r="L162" t="s">
        <v>1190</v>
      </c>
      <c r="M162" t="s">
        <v>4711</v>
      </c>
      <c r="N162" t="s">
        <v>4679</v>
      </c>
      <c r="O162" t="s">
        <v>5807</v>
      </c>
      <c r="Q162" t="s">
        <v>5808</v>
      </c>
      <c r="R162" t="s">
        <v>5809</v>
      </c>
    </row>
    <row r="163" spans="1:18" x14ac:dyDescent="0.15">
      <c r="A163" t="s">
        <v>5810</v>
      </c>
      <c r="B163" t="s">
        <v>5811</v>
      </c>
      <c r="C163" t="s">
        <v>5563</v>
      </c>
      <c r="D163" t="str">
        <f>"0003066X"</f>
        <v>0003066X</v>
      </c>
      <c r="F163" t="str">
        <f>"20100501"</f>
        <v>20100501</v>
      </c>
      <c r="G163">
        <v>65</v>
      </c>
      <c r="H163">
        <v>4</v>
      </c>
      <c r="I163">
        <v>237</v>
      </c>
      <c r="J163">
        <v>15</v>
      </c>
      <c r="K163" t="s">
        <v>5812</v>
      </c>
      <c r="L163" t="s">
        <v>3504</v>
      </c>
      <c r="M163" t="s">
        <v>4899</v>
      </c>
      <c r="N163" t="s">
        <v>4679</v>
      </c>
      <c r="O163" t="s">
        <v>5813</v>
      </c>
      <c r="Q163" t="s">
        <v>5814</v>
      </c>
      <c r="R163" t="s">
        <v>5815</v>
      </c>
    </row>
    <row r="164" spans="1:18" x14ac:dyDescent="0.15">
      <c r="A164" t="s">
        <v>5816</v>
      </c>
      <c r="B164" t="s">
        <v>5817</v>
      </c>
      <c r="C164" t="s">
        <v>5818</v>
      </c>
      <c r="D164" t="str">
        <f>"00223018"</f>
        <v>00223018</v>
      </c>
      <c r="F164" t="str">
        <f>"20040501"</f>
        <v>20040501</v>
      </c>
      <c r="G164">
        <v>192</v>
      </c>
      <c r="H164">
        <v>5</v>
      </c>
      <c r="I164">
        <v>391</v>
      </c>
      <c r="J164">
        <v>2</v>
      </c>
      <c r="K164" t="s">
        <v>5819</v>
      </c>
      <c r="L164" t="s">
        <v>5820</v>
      </c>
      <c r="M164" t="s">
        <v>4687</v>
      </c>
      <c r="N164" t="s">
        <v>5821</v>
      </c>
      <c r="O164" t="s">
        <v>5822</v>
      </c>
      <c r="Q164" t="s">
        <v>5823</v>
      </c>
      <c r="R164" t="s">
        <v>5824</v>
      </c>
    </row>
    <row r="165" spans="1:18" x14ac:dyDescent="0.15">
      <c r="A165" t="s">
        <v>5825</v>
      </c>
      <c r="B165" t="s">
        <v>5826</v>
      </c>
      <c r="C165" t="s">
        <v>5827</v>
      </c>
      <c r="D165" t="str">
        <f>"00332674"</f>
        <v>00332674</v>
      </c>
      <c r="F165" t="str">
        <f>"20190101"</f>
        <v>20190101</v>
      </c>
      <c r="G165">
        <v>53</v>
      </c>
      <c r="H165">
        <v>4</v>
      </c>
      <c r="I165">
        <v>865</v>
      </c>
      <c r="J165">
        <v>17</v>
      </c>
      <c r="K165" t="s">
        <v>5828</v>
      </c>
      <c r="L165" t="s">
        <v>1212</v>
      </c>
      <c r="M165" t="s">
        <v>5829</v>
      </c>
      <c r="N165" t="s">
        <v>4679</v>
      </c>
      <c r="O165" t="s">
        <v>5830</v>
      </c>
      <c r="Q165" t="s">
        <v>5831</v>
      </c>
      <c r="R165" t="s">
        <v>5832</v>
      </c>
    </row>
    <row r="166" spans="1:18" x14ac:dyDescent="0.15">
      <c r="A166" t="s">
        <v>5833</v>
      </c>
      <c r="B166" t="s">
        <v>5834</v>
      </c>
      <c r="C166" t="s">
        <v>4667</v>
      </c>
      <c r="D166" t="str">
        <f>"04194217"</f>
        <v>04194217</v>
      </c>
      <c r="E166" t="str">
        <f>"9781124164571"</f>
        <v>9781124164571</v>
      </c>
      <c r="F166" t="str">
        <f>"20110101"</f>
        <v>20110101</v>
      </c>
      <c r="G166">
        <v>71</v>
      </c>
      <c r="H166" t="s">
        <v>5835</v>
      </c>
      <c r="I166">
        <v>5818</v>
      </c>
      <c r="J166">
        <v>1</v>
      </c>
      <c r="K166" t="s">
        <v>5836</v>
      </c>
      <c r="M166" t="s">
        <v>4670</v>
      </c>
      <c r="N166" t="s">
        <v>4671</v>
      </c>
      <c r="O166" t="s">
        <v>5837</v>
      </c>
      <c r="Q166" t="s">
        <v>5838</v>
      </c>
      <c r="R166" t="s">
        <v>5839</v>
      </c>
    </row>
    <row r="167" spans="1:18" x14ac:dyDescent="0.15">
      <c r="A167" t="s">
        <v>5840</v>
      </c>
      <c r="B167" t="s">
        <v>5841</v>
      </c>
      <c r="C167" t="s">
        <v>5842</v>
      </c>
      <c r="D167" t="str">
        <f>"14643154"</f>
        <v>14643154</v>
      </c>
      <c r="F167" t="str">
        <f>"20171001"</f>
        <v>20171001</v>
      </c>
      <c r="G167">
        <v>19</v>
      </c>
      <c r="H167" s="1">
        <v>44289</v>
      </c>
      <c r="I167">
        <v>162</v>
      </c>
      <c r="J167">
        <v>9</v>
      </c>
      <c r="K167" t="s">
        <v>5843</v>
      </c>
      <c r="L167" t="s">
        <v>5844</v>
      </c>
      <c r="M167" t="s">
        <v>4728</v>
      </c>
      <c r="N167" t="s">
        <v>4679</v>
      </c>
      <c r="O167" t="s">
        <v>5845</v>
      </c>
      <c r="Q167" t="s">
        <v>5846</v>
      </c>
      <c r="R167" t="s">
        <v>5847</v>
      </c>
    </row>
    <row r="168" spans="1:18" x14ac:dyDescent="0.15">
      <c r="A168" t="s">
        <v>5848</v>
      </c>
      <c r="B168" t="s">
        <v>3652</v>
      </c>
      <c r="C168" t="s">
        <v>5297</v>
      </c>
      <c r="D168" t="str">
        <f>"02779536"</f>
        <v>02779536</v>
      </c>
      <c r="F168" t="str">
        <f>"20090701"</f>
        <v>20090701</v>
      </c>
      <c r="G168">
        <v>69</v>
      </c>
      <c r="H168">
        <v>1</v>
      </c>
      <c r="I168">
        <v>101</v>
      </c>
      <c r="J168">
        <v>9</v>
      </c>
      <c r="K168" t="s">
        <v>5849</v>
      </c>
      <c r="L168" t="s">
        <v>3660</v>
      </c>
      <c r="M168" t="s">
        <v>4735</v>
      </c>
      <c r="N168" t="s">
        <v>4679</v>
      </c>
      <c r="O168" t="s">
        <v>5850</v>
      </c>
      <c r="Q168" t="s">
        <v>5851</v>
      </c>
      <c r="R168" t="s">
        <v>5852</v>
      </c>
    </row>
    <row r="169" spans="1:18" x14ac:dyDescent="0.15">
      <c r="A169" t="s">
        <v>5853</v>
      </c>
      <c r="B169" t="s">
        <v>3664</v>
      </c>
      <c r="C169" t="s">
        <v>1009</v>
      </c>
      <c r="D169" t="str">
        <f>"00378046"</f>
        <v>00378046</v>
      </c>
      <c r="F169" t="str">
        <f>"20090701"</f>
        <v>20090701</v>
      </c>
      <c r="G169">
        <v>54</v>
      </c>
      <c r="H169">
        <v>3</v>
      </c>
      <c r="I169">
        <v>270</v>
      </c>
      <c r="J169">
        <v>8</v>
      </c>
      <c r="K169" t="s">
        <v>5854</v>
      </c>
      <c r="L169" t="s">
        <v>3678</v>
      </c>
      <c r="M169" t="s">
        <v>4813</v>
      </c>
      <c r="N169" t="s">
        <v>4679</v>
      </c>
      <c r="O169" t="s">
        <v>5855</v>
      </c>
      <c r="Q169" t="s">
        <v>5856</v>
      </c>
      <c r="R169" t="s">
        <v>5857</v>
      </c>
    </row>
    <row r="170" spans="1:18" x14ac:dyDescent="0.15">
      <c r="A170" t="s">
        <v>5858</v>
      </c>
      <c r="B170" t="s">
        <v>5859</v>
      </c>
      <c r="C170" t="s">
        <v>4762</v>
      </c>
      <c r="D170" t="str">
        <f>"04194209"</f>
        <v>04194209</v>
      </c>
      <c r="E170" t="str">
        <f>"9781109047370"</f>
        <v>9781109047370</v>
      </c>
      <c r="F170" t="str">
        <f>"20090101"</f>
        <v>20090101</v>
      </c>
      <c r="G170">
        <v>70</v>
      </c>
      <c r="H170" t="s">
        <v>5225</v>
      </c>
      <c r="I170">
        <v>707</v>
      </c>
      <c r="J170">
        <v>1</v>
      </c>
      <c r="K170" t="s">
        <v>5860</v>
      </c>
      <c r="M170" t="s">
        <v>4670</v>
      </c>
      <c r="N170" t="s">
        <v>4671</v>
      </c>
      <c r="O170" t="s">
        <v>5861</v>
      </c>
      <c r="Q170" t="s">
        <v>5862</v>
      </c>
      <c r="R170" t="s">
        <v>5863</v>
      </c>
    </row>
    <row r="171" spans="1:18" x14ac:dyDescent="0.15">
      <c r="A171" t="s">
        <v>5864</v>
      </c>
      <c r="B171" t="s">
        <v>5865</v>
      </c>
      <c r="C171" t="s">
        <v>5264</v>
      </c>
      <c r="D171" t="str">
        <f>"15571912"</f>
        <v>15571912</v>
      </c>
      <c r="F171" t="str">
        <f>"20130801"</f>
        <v>20130801</v>
      </c>
      <c r="G171">
        <v>15</v>
      </c>
      <c r="H171">
        <v>4</v>
      </c>
      <c r="I171">
        <v>829</v>
      </c>
      <c r="J171">
        <v>7</v>
      </c>
      <c r="K171" t="s">
        <v>5866</v>
      </c>
      <c r="L171" t="s">
        <v>5867</v>
      </c>
      <c r="M171" t="s">
        <v>4696</v>
      </c>
      <c r="N171" t="s">
        <v>4679</v>
      </c>
      <c r="O171" t="s">
        <v>5868</v>
      </c>
      <c r="Q171" t="s">
        <v>5869</v>
      </c>
      <c r="R171" t="s">
        <v>5870</v>
      </c>
    </row>
    <row r="172" spans="1:18" x14ac:dyDescent="0.15">
      <c r="A172" t="s">
        <v>5871</v>
      </c>
      <c r="B172" t="s">
        <v>5872</v>
      </c>
      <c r="C172" t="s">
        <v>5873</v>
      </c>
      <c r="D172" t="str">
        <f>"0037976X"</f>
        <v>0037976X</v>
      </c>
      <c r="F172" t="str">
        <f>"20150301"</f>
        <v>20150301</v>
      </c>
      <c r="G172">
        <v>80</v>
      </c>
      <c r="H172">
        <v>1</v>
      </c>
      <c r="I172">
        <v>33</v>
      </c>
      <c r="J172">
        <v>16</v>
      </c>
      <c r="K172" t="s">
        <v>5874</v>
      </c>
      <c r="L172" t="s">
        <v>5875</v>
      </c>
      <c r="M172" t="s">
        <v>4883</v>
      </c>
      <c r="N172" t="s">
        <v>4679</v>
      </c>
      <c r="O172" t="s">
        <v>5876</v>
      </c>
      <c r="Q172" t="s">
        <v>5877</v>
      </c>
      <c r="R172" t="s">
        <v>5878</v>
      </c>
    </row>
    <row r="173" spans="1:18" x14ac:dyDescent="0.15">
      <c r="A173" t="s">
        <v>5879</v>
      </c>
      <c r="B173" t="s">
        <v>5880</v>
      </c>
      <c r="C173" t="s">
        <v>5881</v>
      </c>
      <c r="D173" t="str">
        <f>"00377791"</f>
        <v>00377791</v>
      </c>
      <c r="F173" t="str">
        <f>"19940201"</f>
        <v>19940201</v>
      </c>
      <c r="G173">
        <v>41</v>
      </c>
      <c r="H173">
        <v>1</v>
      </c>
      <c r="I173">
        <v>129</v>
      </c>
      <c r="J173">
        <v>23</v>
      </c>
      <c r="K173" t="s">
        <v>5882</v>
      </c>
      <c r="L173" t="s">
        <v>5883</v>
      </c>
      <c r="M173" t="s">
        <v>5446</v>
      </c>
      <c r="N173" t="s">
        <v>4679</v>
      </c>
      <c r="O173" t="s">
        <v>5884</v>
      </c>
      <c r="Q173" t="s">
        <v>5885</v>
      </c>
      <c r="R173" t="s">
        <v>5886</v>
      </c>
    </row>
    <row r="174" spans="1:18" x14ac:dyDescent="0.15">
      <c r="A174" t="s">
        <v>5887</v>
      </c>
      <c r="B174" t="s">
        <v>3022</v>
      </c>
      <c r="C174" t="s">
        <v>4733</v>
      </c>
      <c r="D174" t="str">
        <f>"01471767"</f>
        <v>01471767</v>
      </c>
      <c r="F174" t="str">
        <f>"20140101"</f>
        <v>20140101</v>
      </c>
      <c r="G174">
        <v>38</v>
      </c>
      <c r="I174">
        <v>120</v>
      </c>
      <c r="J174">
        <v>13</v>
      </c>
      <c r="K174" t="s">
        <v>5888</v>
      </c>
      <c r="L174" t="s">
        <v>3032</v>
      </c>
      <c r="M174" t="s">
        <v>4735</v>
      </c>
      <c r="N174" t="s">
        <v>4679</v>
      </c>
      <c r="O174" t="s">
        <v>5889</v>
      </c>
      <c r="Q174" t="s">
        <v>5890</v>
      </c>
      <c r="R174" t="s">
        <v>5891</v>
      </c>
    </row>
    <row r="175" spans="1:18" x14ac:dyDescent="0.15">
      <c r="A175" t="s">
        <v>5892</v>
      </c>
      <c r="B175" t="s">
        <v>5893</v>
      </c>
      <c r="C175" t="s">
        <v>5894</v>
      </c>
      <c r="D175" t="str">
        <f>"00258679"</f>
        <v>00258679</v>
      </c>
      <c r="F175" t="str">
        <f>"20070601"</f>
        <v>20070601</v>
      </c>
      <c r="G175">
        <v>45</v>
      </c>
      <c r="H175">
        <v>1</v>
      </c>
      <c r="I175">
        <v>24</v>
      </c>
      <c r="J175">
        <v>29</v>
      </c>
      <c r="K175" t="s">
        <v>5895</v>
      </c>
      <c r="M175" t="s">
        <v>5896</v>
      </c>
      <c r="N175" t="s">
        <v>4679</v>
      </c>
      <c r="O175" t="s">
        <v>5897</v>
      </c>
      <c r="Q175" t="s">
        <v>5898</v>
      </c>
      <c r="R175" t="s">
        <v>5899</v>
      </c>
    </row>
    <row r="176" spans="1:18" x14ac:dyDescent="0.15">
      <c r="A176" t="s">
        <v>5900</v>
      </c>
      <c r="B176" t="s">
        <v>5901</v>
      </c>
      <c r="C176" t="s">
        <v>4825</v>
      </c>
      <c r="D176" t="str">
        <f>"0018716X"</f>
        <v>0018716X</v>
      </c>
      <c r="F176" t="str">
        <f>"20190101"</f>
        <v>20190101</v>
      </c>
      <c r="G176">
        <v>63</v>
      </c>
      <c r="H176">
        <v>2</v>
      </c>
      <c r="I176">
        <v>90</v>
      </c>
      <c r="J176">
        <v>22</v>
      </c>
      <c r="K176" t="s">
        <v>5902</v>
      </c>
      <c r="L176" t="s">
        <v>732</v>
      </c>
      <c r="M176" t="s">
        <v>4827</v>
      </c>
      <c r="N176" t="s">
        <v>4679</v>
      </c>
      <c r="O176" t="s">
        <v>5903</v>
      </c>
      <c r="Q176" t="s">
        <v>5904</v>
      </c>
      <c r="R176" t="s">
        <v>5905</v>
      </c>
    </row>
    <row r="177" spans="1:18" x14ac:dyDescent="0.15">
      <c r="A177" t="s">
        <v>5906</v>
      </c>
      <c r="B177" t="s">
        <v>5907</v>
      </c>
      <c r="C177" t="s">
        <v>5737</v>
      </c>
      <c r="D177" t="str">
        <f>"10911359"</f>
        <v>10911359</v>
      </c>
      <c r="F177" t="str">
        <f>"20090901"</f>
        <v>20090901</v>
      </c>
      <c r="G177">
        <v>19</v>
      </c>
      <c r="H177">
        <v>6</v>
      </c>
      <c r="I177">
        <v>730</v>
      </c>
      <c r="J177">
        <v>15</v>
      </c>
      <c r="K177" t="s">
        <v>5908</v>
      </c>
      <c r="L177" t="s">
        <v>5909</v>
      </c>
      <c r="M177" t="s">
        <v>4728</v>
      </c>
      <c r="N177" t="s">
        <v>4679</v>
      </c>
      <c r="O177" t="s">
        <v>5910</v>
      </c>
      <c r="Q177" t="s">
        <v>5911</v>
      </c>
      <c r="R177" t="s">
        <v>5912</v>
      </c>
    </row>
    <row r="178" spans="1:18" x14ac:dyDescent="0.15">
      <c r="A178" t="s">
        <v>5913</v>
      </c>
      <c r="B178" t="s">
        <v>5914</v>
      </c>
      <c r="C178" t="s">
        <v>4667</v>
      </c>
      <c r="D178" t="str">
        <f>"04194217"</f>
        <v>04194217</v>
      </c>
      <c r="E178" t="str">
        <f>"9798662503137"</f>
        <v>9798662503137</v>
      </c>
      <c r="F178" t="str">
        <f>"20210101"</f>
        <v>20210101</v>
      </c>
      <c r="G178">
        <v>82</v>
      </c>
      <c r="H178" t="s">
        <v>5664</v>
      </c>
      <c r="K178" t="s">
        <v>5915</v>
      </c>
      <c r="M178" t="s">
        <v>4670</v>
      </c>
      <c r="N178" t="s">
        <v>4671</v>
      </c>
      <c r="O178" t="s">
        <v>5916</v>
      </c>
      <c r="Q178" t="s">
        <v>5917</v>
      </c>
      <c r="R178" t="s">
        <v>5918</v>
      </c>
    </row>
    <row r="179" spans="1:18" x14ac:dyDescent="0.15">
      <c r="A179" t="s">
        <v>5919</v>
      </c>
      <c r="B179" t="s">
        <v>5920</v>
      </c>
      <c r="C179" t="s">
        <v>5921</v>
      </c>
      <c r="D179" t="str">
        <f>"00380261"</f>
        <v>00380261</v>
      </c>
      <c r="F179" t="str">
        <f>"19681101"</f>
        <v>19681101</v>
      </c>
      <c r="G179">
        <v>16</v>
      </c>
      <c r="H179">
        <v>3</v>
      </c>
      <c r="I179">
        <v>319</v>
      </c>
      <c r="J179">
        <v>13</v>
      </c>
      <c r="K179" t="s">
        <v>5922</v>
      </c>
      <c r="L179" t="s">
        <v>5923</v>
      </c>
      <c r="M179" t="s">
        <v>5924</v>
      </c>
      <c r="N179" t="s">
        <v>4679</v>
      </c>
      <c r="O179" t="s">
        <v>5925</v>
      </c>
      <c r="Q179" t="s">
        <v>5926</v>
      </c>
      <c r="R179" t="s">
        <v>5927</v>
      </c>
    </row>
    <row r="180" spans="1:18" x14ac:dyDescent="0.15">
      <c r="A180" t="s">
        <v>5928</v>
      </c>
      <c r="B180" t="s">
        <v>5929</v>
      </c>
      <c r="C180" t="s">
        <v>5930</v>
      </c>
      <c r="E180" t="str">
        <f>"0306459590"</f>
        <v>0306459590</v>
      </c>
      <c r="F180" t="str">
        <f>"19980101"</f>
        <v>19980101</v>
      </c>
      <c r="I180">
        <v>567</v>
      </c>
      <c r="J180">
        <v>19</v>
      </c>
      <c r="K180" t="s">
        <v>5931</v>
      </c>
      <c r="L180" t="s">
        <v>5932</v>
      </c>
      <c r="M180" t="s">
        <v>5933</v>
      </c>
      <c r="N180" t="s">
        <v>4773</v>
      </c>
      <c r="O180" t="s">
        <v>5934</v>
      </c>
      <c r="Q180" t="s">
        <v>5935</v>
      </c>
      <c r="R180" t="s">
        <v>5936</v>
      </c>
    </row>
    <row r="181" spans="1:18" x14ac:dyDescent="0.15">
      <c r="A181" t="s">
        <v>5937</v>
      </c>
      <c r="B181" t="s">
        <v>5938</v>
      </c>
      <c r="C181" t="s">
        <v>5730</v>
      </c>
      <c r="D181" t="str">
        <f>"01650653"</f>
        <v>01650653</v>
      </c>
      <c r="F181" t="str">
        <f>"20101201"</f>
        <v>20101201</v>
      </c>
      <c r="G181">
        <v>32</v>
      </c>
      <c r="H181">
        <v>4</v>
      </c>
      <c r="I181">
        <v>256</v>
      </c>
      <c r="J181">
        <v>18</v>
      </c>
      <c r="K181" t="s">
        <v>5939</v>
      </c>
      <c r="L181" t="s">
        <v>5940</v>
      </c>
      <c r="M181" t="s">
        <v>4696</v>
      </c>
      <c r="N181" t="s">
        <v>4679</v>
      </c>
      <c r="O181" t="s">
        <v>5941</v>
      </c>
      <c r="Q181" t="s">
        <v>5942</v>
      </c>
      <c r="R181" t="s">
        <v>5943</v>
      </c>
    </row>
    <row r="182" spans="1:18" x14ac:dyDescent="0.15">
      <c r="A182" t="s">
        <v>5944</v>
      </c>
      <c r="B182" t="s">
        <v>3180</v>
      </c>
      <c r="C182" t="s">
        <v>5704</v>
      </c>
      <c r="D182" t="str">
        <f>"10999809"</f>
        <v>10999809</v>
      </c>
      <c r="F182" t="str">
        <f>"20120701"</f>
        <v>20120701</v>
      </c>
      <c r="G182">
        <v>18</v>
      </c>
      <c r="H182">
        <v>3</v>
      </c>
      <c r="I182">
        <v>285</v>
      </c>
      <c r="J182">
        <v>12</v>
      </c>
      <c r="K182" t="s">
        <v>5945</v>
      </c>
      <c r="L182" t="s">
        <v>3191</v>
      </c>
      <c r="M182" t="s">
        <v>4711</v>
      </c>
      <c r="N182" t="s">
        <v>4679</v>
      </c>
      <c r="O182" t="s">
        <v>5946</v>
      </c>
      <c r="Q182" t="s">
        <v>5947</v>
      </c>
      <c r="R182" t="s">
        <v>5948</v>
      </c>
    </row>
    <row r="183" spans="1:18" x14ac:dyDescent="0.15">
      <c r="A183" t="s">
        <v>5949</v>
      </c>
      <c r="B183" t="s">
        <v>5950</v>
      </c>
      <c r="C183" t="s">
        <v>4708</v>
      </c>
      <c r="D183" t="str">
        <f>"00029432"</f>
        <v>00029432</v>
      </c>
      <c r="F183" t="str">
        <f>"20180101"</f>
        <v>20180101</v>
      </c>
      <c r="G183">
        <v>88</v>
      </c>
      <c r="H183">
        <v>6</v>
      </c>
      <c r="I183">
        <v>650</v>
      </c>
      <c r="J183">
        <v>11</v>
      </c>
      <c r="K183" t="s">
        <v>5951</v>
      </c>
      <c r="L183" t="s">
        <v>5952</v>
      </c>
      <c r="M183" t="s">
        <v>4711</v>
      </c>
      <c r="N183" t="s">
        <v>4679</v>
      </c>
      <c r="O183" t="s">
        <v>5953</v>
      </c>
      <c r="Q183" t="s">
        <v>5954</v>
      </c>
      <c r="R183" t="s">
        <v>5955</v>
      </c>
    </row>
    <row r="184" spans="1:18" x14ac:dyDescent="0.15">
      <c r="A184" t="s">
        <v>5956</v>
      </c>
      <c r="B184" t="s">
        <v>5957</v>
      </c>
      <c r="C184" t="s">
        <v>5958</v>
      </c>
      <c r="E184" t="str">
        <f>"9781433829673; 1433829681; 9781433829680"</f>
        <v>9781433829673; 1433829681; 9781433829680</v>
      </c>
      <c r="F184" t="str">
        <f>"20190101"</f>
        <v>20190101</v>
      </c>
      <c r="I184">
        <v>437</v>
      </c>
      <c r="J184">
        <v>19</v>
      </c>
      <c r="K184" t="s">
        <v>5959</v>
      </c>
      <c r="L184" t="s">
        <v>5960</v>
      </c>
      <c r="M184" t="s">
        <v>4899</v>
      </c>
      <c r="N184" t="s">
        <v>4773</v>
      </c>
      <c r="O184" t="s">
        <v>5961</v>
      </c>
      <c r="Q184" t="s">
        <v>5962</v>
      </c>
      <c r="R184" t="s">
        <v>5963</v>
      </c>
    </row>
    <row r="185" spans="1:18" x14ac:dyDescent="0.15">
      <c r="A185" t="s">
        <v>5964</v>
      </c>
      <c r="B185" t="s">
        <v>5965</v>
      </c>
      <c r="C185" t="s">
        <v>4667</v>
      </c>
      <c r="D185" t="str">
        <f>"04194217"</f>
        <v>04194217</v>
      </c>
      <c r="E185" t="str">
        <f>"9781321143225"</f>
        <v>9781321143225</v>
      </c>
      <c r="F185" t="str">
        <f>"20150101"</f>
        <v>20150101</v>
      </c>
      <c r="G185">
        <v>76</v>
      </c>
      <c r="H185" t="s">
        <v>5966</v>
      </c>
      <c r="K185" t="s">
        <v>5967</v>
      </c>
      <c r="M185" t="s">
        <v>4670</v>
      </c>
      <c r="N185" t="s">
        <v>4671</v>
      </c>
      <c r="O185" t="s">
        <v>5968</v>
      </c>
      <c r="Q185" t="s">
        <v>5969</v>
      </c>
      <c r="R185" t="s">
        <v>5970</v>
      </c>
    </row>
    <row r="186" spans="1:18" x14ac:dyDescent="0.15">
      <c r="A186" t="s">
        <v>5971</v>
      </c>
      <c r="B186" t="s">
        <v>5972</v>
      </c>
      <c r="C186" t="s">
        <v>5973</v>
      </c>
      <c r="D186" t="str">
        <f>"00377732"</f>
        <v>00377732</v>
      </c>
      <c r="F186" t="str">
        <f>"20020301"</f>
        <v>20020301</v>
      </c>
      <c r="G186">
        <v>80</v>
      </c>
      <c r="H186">
        <v>3</v>
      </c>
      <c r="I186">
        <v>981</v>
      </c>
      <c r="J186">
        <v>24</v>
      </c>
      <c r="K186" t="s">
        <v>5974</v>
      </c>
      <c r="L186" t="s">
        <v>5975</v>
      </c>
      <c r="M186" t="s">
        <v>5976</v>
      </c>
      <c r="N186" t="s">
        <v>4679</v>
      </c>
      <c r="O186" t="s">
        <v>5977</v>
      </c>
      <c r="Q186" t="s">
        <v>5978</v>
      </c>
      <c r="R186" t="s">
        <v>5979</v>
      </c>
    </row>
    <row r="187" spans="1:18" x14ac:dyDescent="0.15">
      <c r="A187" t="s">
        <v>5980</v>
      </c>
      <c r="B187" t="s">
        <v>5981</v>
      </c>
      <c r="C187" t="s">
        <v>4667</v>
      </c>
      <c r="D187" t="str">
        <f>"04194217"</f>
        <v>04194217</v>
      </c>
      <c r="F187" t="str">
        <f>"20070101"</f>
        <v>20070101</v>
      </c>
      <c r="G187">
        <v>68</v>
      </c>
      <c r="H187" t="s">
        <v>5982</v>
      </c>
      <c r="I187">
        <v>2684</v>
      </c>
      <c r="J187">
        <v>1</v>
      </c>
      <c r="K187" t="s">
        <v>5983</v>
      </c>
      <c r="M187" t="s">
        <v>4670</v>
      </c>
      <c r="N187" t="s">
        <v>4671</v>
      </c>
      <c r="O187" t="s">
        <v>5984</v>
      </c>
      <c r="Q187" t="s">
        <v>5985</v>
      </c>
      <c r="R187" t="s">
        <v>5986</v>
      </c>
    </row>
    <row r="188" spans="1:18" x14ac:dyDescent="0.15">
      <c r="A188" t="s">
        <v>5987</v>
      </c>
      <c r="B188" t="s">
        <v>5988</v>
      </c>
      <c r="C188" t="s">
        <v>5619</v>
      </c>
      <c r="D188" t="str">
        <f>"01612840"</f>
        <v>01612840</v>
      </c>
      <c r="F188" t="str">
        <f>"20040701"</f>
        <v>20040701</v>
      </c>
      <c r="G188">
        <v>25</v>
      </c>
      <c r="H188">
        <v>5</v>
      </c>
      <c r="I188">
        <v>517</v>
      </c>
      <c r="J188">
        <v>21</v>
      </c>
      <c r="K188" t="s">
        <v>5989</v>
      </c>
      <c r="L188" t="s">
        <v>5990</v>
      </c>
      <c r="M188" t="s">
        <v>4728</v>
      </c>
      <c r="N188" t="s">
        <v>4679</v>
      </c>
      <c r="O188" t="s">
        <v>5991</v>
      </c>
      <c r="Q188" t="s">
        <v>5992</v>
      </c>
      <c r="R188" t="s">
        <v>5993</v>
      </c>
    </row>
    <row r="189" spans="1:18" x14ac:dyDescent="0.15">
      <c r="A189" t="s">
        <v>5994</v>
      </c>
      <c r="B189" t="s">
        <v>2788</v>
      </c>
      <c r="C189" t="s">
        <v>5995</v>
      </c>
      <c r="D189" t="str">
        <f>"01672681"</f>
        <v>01672681</v>
      </c>
      <c r="F189" t="str">
        <f>"20150301"</f>
        <v>20150301</v>
      </c>
      <c r="G189">
        <v>111</v>
      </c>
      <c r="I189">
        <v>71</v>
      </c>
      <c r="J189">
        <v>8</v>
      </c>
      <c r="K189" t="s">
        <v>5996</v>
      </c>
      <c r="L189" t="s">
        <v>2804</v>
      </c>
      <c r="M189" t="s">
        <v>4735</v>
      </c>
      <c r="N189" t="s">
        <v>4679</v>
      </c>
      <c r="O189" t="s">
        <v>5997</v>
      </c>
      <c r="Q189" t="s">
        <v>5998</v>
      </c>
      <c r="R189" t="s">
        <v>5999</v>
      </c>
    </row>
    <row r="190" spans="1:18" x14ac:dyDescent="0.15">
      <c r="A190" t="s">
        <v>6000</v>
      </c>
      <c r="B190" t="s">
        <v>6001</v>
      </c>
      <c r="C190" t="s">
        <v>5297</v>
      </c>
      <c r="D190" t="str">
        <f>"02779536"</f>
        <v>02779536</v>
      </c>
      <c r="F190" t="str">
        <f>"19870101"</f>
        <v>19870101</v>
      </c>
      <c r="G190">
        <v>25</v>
      </c>
      <c r="H190">
        <v>7</v>
      </c>
      <c r="I190">
        <v>839</v>
      </c>
      <c r="J190">
        <v>9</v>
      </c>
      <c r="K190" t="s">
        <v>6002</v>
      </c>
      <c r="L190" t="s">
        <v>6003</v>
      </c>
      <c r="M190" t="s">
        <v>4735</v>
      </c>
      <c r="N190" t="s">
        <v>4679</v>
      </c>
      <c r="O190" t="s">
        <v>6004</v>
      </c>
      <c r="Q190" t="s">
        <v>6005</v>
      </c>
      <c r="R190" t="s">
        <v>6006</v>
      </c>
    </row>
    <row r="191" spans="1:18" x14ac:dyDescent="0.15">
      <c r="A191" t="s">
        <v>6007</v>
      </c>
      <c r="B191" t="s">
        <v>6008</v>
      </c>
      <c r="C191" t="s">
        <v>4866</v>
      </c>
      <c r="D191" t="str">
        <f>"00220221"</f>
        <v>00220221</v>
      </c>
      <c r="F191" t="str">
        <f>"19850601"</f>
        <v>19850601</v>
      </c>
      <c r="G191">
        <v>16</v>
      </c>
      <c r="H191">
        <v>2</v>
      </c>
      <c r="I191">
        <v>153</v>
      </c>
      <c r="J191">
        <v>21</v>
      </c>
      <c r="K191" t="s">
        <v>6009</v>
      </c>
      <c r="L191" t="s">
        <v>6010</v>
      </c>
      <c r="M191" t="s">
        <v>4678</v>
      </c>
      <c r="N191" t="s">
        <v>4679</v>
      </c>
      <c r="O191" t="s">
        <v>6011</v>
      </c>
      <c r="Q191" t="s">
        <v>6012</v>
      </c>
      <c r="R191" t="s">
        <v>6013</v>
      </c>
    </row>
    <row r="192" spans="1:18" x14ac:dyDescent="0.15">
      <c r="A192" t="s">
        <v>6014</v>
      </c>
      <c r="B192" t="s">
        <v>6015</v>
      </c>
      <c r="C192" t="s">
        <v>6016</v>
      </c>
      <c r="D192" t="str">
        <f>"00071315"</f>
        <v>00071315</v>
      </c>
      <c r="F192" t="str">
        <f>"20040601"</f>
        <v>20040601</v>
      </c>
      <c r="G192">
        <v>55</v>
      </c>
      <c r="H192">
        <v>2</v>
      </c>
      <c r="I192">
        <v>237</v>
      </c>
      <c r="J192">
        <v>21</v>
      </c>
      <c r="K192" t="s">
        <v>6017</v>
      </c>
      <c r="L192" t="s">
        <v>6018</v>
      </c>
      <c r="M192" t="s">
        <v>5186</v>
      </c>
      <c r="N192" t="s">
        <v>4679</v>
      </c>
      <c r="O192" t="s">
        <v>6019</v>
      </c>
      <c r="Q192" t="s">
        <v>6020</v>
      </c>
      <c r="R192" t="s">
        <v>6021</v>
      </c>
    </row>
    <row r="193" spans="1:18" x14ac:dyDescent="0.15">
      <c r="A193" t="s">
        <v>6022</v>
      </c>
      <c r="B193" t="s">
        <v>6023</v>
      </c>
      <c r="C193" t="s">
        <v>4762</v>
      </c>
      <c r="D193" t="str">
        <f>"04194209"</f>
        <v>04194209</v>
      </c>
      <c r="E193" t="str">
        <f>"9781369663303"</f>
        <v>9781369663303</v>
      </c>
      <c r="F193" t="str">
        <f>"20180101"</f>
        <v>20180101</v>
      </c>
      <c r="G193">
        <v>78</v>
      </c>
      <c r="H193" t="s">
        <v>6024</v>
      </c>
      <c r="K193" t="s">
        <v>6025</v>
      </c>
      <c r="M193" t="s">
        <v>4670</v>
      </c>
      <c r="N193" t="s">
        <v>4671</v>
      </c>
      <c r="O193" t="s">
        <v>6026</v>
      </c>
      <c r="Q193" t="s">
        <v>6027</v>
      </c>
      <c r="R193" t="s">
        <v>6028</v>
      </c>
    </row>
    <row r="194" spans="1:18" x14ac:dyDescent="0.15">
      <c r="A194" t="s">
        <v>6029</v>
      </c>
      <c r="B194" t="s">
        <v>6030</v>
      </c>
      <c r="C194" t="s">
        <v>4825</v>
      </c>
      <c r="D194" t="str">
        <f>"0018716X"</f>
        <v>0018716X</v>
      </c>
      <c r="F194" t="str">
        <f>"20060201"</f>
        <v>20060201</v>
      </c>
      <c r="G194">
        <v>49</v>
      </c>
      <c r="H194">
        <v>1</v>
      </c>
      <c r="I194">
        <v>1</v>
      </c>
      <c r="J194">
        <v>30</v>
      </c>
      <c r="K194" t="s">
        <v>6031</v>
      </c>
      <c r="L194" t="s">
        <v>4005</v>
      </c>
      <c r="M194" t="s">
        <v>4827</v>
      </c>
      <c r="N194" t="s">
        <v>4679</v>
      </c>
      <c r="O194" t="s">
        <v>4829</v>
      </c>
      <c r="Q194" t="s">
        <v>6032</v>
      </c>
      <c r="R194" t="s">
        <v>6033</v>
      </c>
    </row>
    <row r="195" spans="1:18" x14ac:dyDescent="0.15">
      <c r="A195" t="s">
        <v>6034</v>
      </c>
      <c r="B195" t="s">
        <v>3372</v>
      </c>
      <c r="C195" t="s">
        <v>5578</v>
      </c>
      <c r="D195" t="str">
        <f>"0049089X"</f>
        <v>0049089X</v>
      </c>
      <c r="F195" t="str">
        <f>"20110501"</f>
        <v>20110501</v>
      </c>
      <c r="G195">
        <v>40</v>
      </c>
      <c r="H195">
        <v>3</v>
      </c>
      <c r="I195">
        <v>965</v>
      </c>
      <c r="J195">
        <v>20</v>
      </c>
      <c r="K195" t="s">
        <v>6035</v>
      </c>
      <c r="L195" t="s">
        <v>3381</v>
      </c>
      <c r="M195" t="s">
        <v>4735</v>
      </c>
      <c r="N195" t="s">
        <v>4679</v>
      </c>
      <c r="O195" t="s">
        <v>6036</v>
      </c>
      <c r="Q195" t="s">
        <v>6037</v>
      </c>
      <c r="R195" t="s">
        <v>6038</v>
      </c>
    </row>
    <row r="196" spans="1:18" x14ac:dyDescent="0.15">
      <c r="A196" t="s">
        <v>6039</v>
      </c>
      <c r="B196" t="s">
        <v>2679</v>
      </c>
      <c r="C196" t="s">
        <v>6040</v>
      </c>
      <c r="D196" t="str">
        <f>"0031322X"</f>
        <v>0031322X</v>
      </c>
      <c r="F196" t="str">
        <f>"20150801"</f>
        <v>20150801</v>
      </c>
      <c r="G196">
        <v>49</v>
      </c>
      <c r="H196">
        <v>4</v>
      </c>
      <c r="I196">
        <v>317</v>
      </c>
      <c r="J196">
        <v>26</v>
      </c>
      <c r="K196" t="s">
        <v>6041</v>
      </c>
      <c r="L196" t="s">
        <v>2693</v>
      </c>
      <c r="M196" t="s">
        <v>4728</v>
      </c>
      <c r="N196" t="s">
        <v>4679</v>
      </c>
      <c r="O196" t="s">
        <v>6042</v>
      </c>
      <c r="Q196" t="s">
        <v>6043</v>
      </c>
      <c r="R196" t="s">
        <v>6044</v>
      </c>
    </row>
    <row r="197" spans="1:18" x14ac:dyDescent="0.15">
      <c r="A197" t="s">
        <v>6045</v>
      </c>
      <c r="B197" t="s">
        <v>6046</v>
      </c>
      <c r="C197" t="s">
        <v>6047</v>
      </c>
      <c r="E197" t="str">
        <f>"9780415657228; 9780415879453; 9780203075180"</f>
        <v>9780415657228; 9780415879453; 9780203075180</v>
      </c>
      <c r="F197" t="str">
        <f>"20130101"</f>
        <v>20130101</v>
      </c>
      <c r="I197">
        <v>316</v>
      </c>
      <c r="J197">
        <v>22</v>
      </c>
      <c r="K197" t="s">
        <v>6048</v>
      </c>
      <c r="M197" t="s">
        <v>5194</v>
      </c>
      <c r="N197" t="s">
        <v>4773</v>
      </c>
      <c r="O197" t="s">
        <v>6049</v>
      </c>
      <c r="Q197" t="s">
        <v>6050</v>
      </c>
      <c r="R197" t="s">
        <v>6051</v>
      </c>
    </row>
    <row r="198" spans="1:18" x14ac:dyDescent="0.15">
      <c r="A198" t="s">
        <v>6052</v>
      </c>
      <c r="B198" t="s">
        <v>1964</v>
      </c>
      <c r="C198" t="s">
        <v>4747</v>
      </c>
      <c r="D198" t="str">
        <f>"10436596"</f>
        <v>10436596</v>
      </c>
      <c r="F198" t="str">
        <f>"20170501"</f>
        <v>20170501</v>
      </c>
      <c r="G198">
        <v>28</v>
      </c>
      <c r="H198">
        <v>3</v>
      </c>
      <c r="I198">
        <v>230</v>
      </c>
      <c r="J198">
        <v>6</v>
      </c>
      <c r="K198" t="s">
        <v>6053</v>
      </c>
      <c r="L198" t="s">
        <v>1978</v>
      </c>
      <c r="M198" t="s">
        <v>4678</v>
      </c>
      <c r="N198" t="s">
        <v>4679</v>
      </c>
      <c r="O198" t="s">
        <v>6054</v>
      </c>
      <c r="Q198" t="s">
        <v>6055</v>
      </c>
      <c r="R198" t="s">
        <v>6056</v>
      </c>
    </row>
    <row r="199" spans="1:18" x14ac:dyDescent="0.15">
      <c r="A199" t="s">
        <v>6057</v>
      </c>
      <c r="B199" t="s">
        <v>992</v>
      </c>
      <c r="C199" t="s">
        <v>5737</v>
      </c>
      <c r="D199" t="str">
        <f>"10911359"</f>
        <v>10911359</v>
      </c>
      <c r="F199" t="str">
        <f>"20190615"</f>
        <v>20190615</v>
      </c>
      <c r="K199" t="s">
        <v>6058</v>
      </c>
      <c r="L199" t="s">
        <v>1007</v>
      </c>
      <c r="M199" t="s">
        <v>4728</v>
      </c>
      <c r="O199" t="s">
        <v>5171</v>
      </c>
      <c r="Q199" t="s">
        <v>6059</v>
      </c>
      <c r="R199" t="s">
        <v>6060</v>
      </c>
    </row>
    <row r="200" spans="1:18" x14ac:dyDescent="0.15">
      <c r="A200" t="s">
        <v>6061</v>
      </c>
      <c r="B200" t="s">
        <v>6062</v>
      </c>
      <c r="C200" t="s">
        <v>6063</v>
      </c>
      <c r="E200" t="str">
        <f>"9780415800617"</f>
        <v>9780415800617</v>
      </c>
      <c r="F200" t="str">
        <f>"20110101"</f>
        <v>20110101</v>
      </c>
      <c r="I200">
        <v>21</v>
      </c>
      <c r="J200">
        <v>17</v>
      </c>
      <c r="K200" t="s">
        <v>6064</v>
      </c>
      <c r="M200" t="s">
        <v>5194</v>
      </c>
      <c r="N200" t="s">
        <v>4773</v>
      </c>
      <c r="O200" t="s">
        <v>6065</v>
      </c>
      <c r="Q200" t="s">
        <v>6066</v>
      </c>
      <c r="R200" t="s">
        <v>6067</v>
      </c>
    </row>
    <row r="201" spans="1:18" x14ac:dyDescent="0.15">
      <c r="A201" t="s">
        <v>6068</v>
      </c>
      <c r="B201" t="s">
        <v>6069</v>
      </c>
      <c r="C201" t="s">
        <v>6063</v>
      </c>
      <c r="E201" t="str">
        <f>"9780415800617"</f>
        <v>9780415800617</v>
      </c>
      <c r="F201" t="str">
        <f>"20110101"</f>
        <v>20110101</v>
      </c>
      <c r="I201">
        <v>39</v>
      </c>
      <c r="J201">
        <v>19</v>
      </c>
      <c r="K201" t="s">
        <v>6070</v>
      </c>
      <c r="M201" t="s">
        <v>5194</v>
      </c>
      <c r="N201" t="s">
        <v>4773</v>
      </c>
      <c r="O201" t="s">
        <v>6071</v>
      </c>
      <c r="Q201" t="s">
        <v>6072</v>
      </c>
      <c r="R201" t="s">
        <v>6073</v>
      </c>
    </row>
    <row r="202" spans="1:18" x14ac:dyDescent="0.15">
      <c r="A202" t="s">
        <v>6074</v>
      </c>
      <c r="B202" t="s">
        <v>6075</v>
      </c>
      <c r="C202" t="s">
        <v>6076</v>
      </c>
      <c r="D202" t="str">
        <f>"07399332"</f>
        <v>07399332</v>
      </c>
      <c r="F202" t="str">
        <f>"20060901"</f>
        <v>20060901</v>
      </c>
      <c r="G202">
        <v>27</v>
      </c>
      <c r="H202">
        <v>8</v>
      </c>
      <c r="I202">
        <v>666</v>
      </c>
      <c r="J202">
        <v>16</v>
      </c>
      <c r="K202" t="s">
        <v>6077</v>
      </c>
      <c r="L202" t="s">
        <v>6078</v>
      </c>
      <c r="M202" t="s">
        <v>4728</v>
      </c>
      <c r="N202" t="s">
        <v>4679</v>
      </c>
      <c r="O202" t="s">
        <v>6079</v>
      </c>
      <c r="Q202" t="s">
        <v>6080</v>
      </c>
      <c r="R202" t="s">
        <v>6081</v>
      </c>
    </row>
    <row r="203" spans="1:18" x14ac:dyDescent="0.15">
      <c r="A203" t="s">
        <v>6082</v>
      </c>
      <c r="B203" t="s">
        <v>3726</v>
      </c>
      <c r="C203" t="s">
        <v>4733</v>
      </c>
      <c r="D203" t="str">
        <f>"01471767"</f>
        <v>01471767</v>
      </c>
      <c r="F203" t="str">
        <f>"20090301"</f>
        <v>20090301</v>
      </c>
      <c r="G203">
        <v>33</v>
      </c>
      <c r="H203">
        <v>2</v>
      </c>
      <c r="I203">
        <v>140</v>
      </c>
      <c r="J203">
        <v>10</v>
      </c>
      <c r="K203" t="s">
        <v>6083</v>
      </c>
      <c r="L203" t="s">
        <v>3733</v>
      </c>
      <c r="M203" t="s">
        <v>4735</v>
      </c>
      <c r="N203" t="s">
        <v>4679</v>
      </c>
      <c r="O203" t="s">
        <v>4814</v>
      </c>
      <c r="Q203" t="s">
        <v>6084</v>
      </c>
      <c r="R203" t="s">
        <v>6085</v>
      </c>
    </row>
    <row r="204" spans="1:18" x14ac:dyDescent="0.15">
      <c r="A204" t="s">
        <v>6086</v>
      </c>
      <c r="B204" t="s">
        <v>6087</v>
      </c>
      <c r="C204" t="s">
        <v>6088</v>
      </c>
      <c r="D204" t="str">
        <f>"00349690"</f>
        <v>00349690</v>
      </c>
      <c r="F204" t="str">
        <f>"19780101"</f>
        <v>19780101</v>
      </c>
      <c r="G204">
        <v>12</v>
      </c>
      <c r="H204">
        <v>2</v>
      </c>
      <c r="I204">
        <v>113</v>
      </c>
      <c r="J204">
        <v>18</v>
      </c>
      <c r="K204" t="s">
        <v>6089</v>
      </c>
      <c r="M204" t="s">
        <v>6090</v>
      </c>
      <c r="N204" t="s">
        <v>4679</v>
      </c>
      <c r="O204" t="s">
        <v>6091</v>
      </c>
      <c r="Q204" t="s">
        <v>6092</v>
      </c>
      <c r="R204" t="s">
        <v>6093</v>
      </c>
    </row>
    <row r="205" spans="1:18" x14ac:dyDescent="0.15">
      <c r="A205" t="s">
        <v>6094</v>
      </c>
      <c r="B205" t="s">
        <v>6095</v>
      </c>
      <c r="C205" t="s">
        <v>5277</v>
      </c>
      <c r="E205" t="str">
        <f>"9780190215217"</f>
        <v>9780190215217</v>
      </c>
      <c r="F205" t="str">
        <f>"20170101"</f>
        <v>20170101</v>
      </c>
      <c r="I205">
        <v>143</v>
      </c>
      <c r="J205">
        <v>13</v>
      </c>
      <c r="K205" t="s">
        <v>6096</v>
      </c>
      <c r="M205" t="s">
        <v>4813</v>
      </c>
      <c r="N205" t="s">
        <v>4773</v>
      </c>
      <c r="O205" t="s">
        <v>6097</v>
      </c>
      <c r="Q205" t="s">
        <v>6098</v>
      </c>
      <c r="R205" t="s">
        <v>6099</v>
      </c>
    </row>
    <row r="206" spans="1:18" x14ac:dyDescent="0.15">
      <c r="A206" t="s">
        <v>6100</v>
      </c>
      <c r="B206" t="s">
        <v>6101</v>
      </c>
      <c r="C206" t="s">
        <v>6102</v>
      </c>
      <c r="D206" t="str">
        <f>"00904392"</f>
        <v>00904392</v>
      </c>
      <c r="F206" t="str">
        <f>"19780401"</f>
        <v>19780401</v>
      </c>
      <c r="G206">
        <v>6</v>
      </c>
      <c r="H206">
        <v>2</v>
      </c>
      <c r="I206">
        <v>112</v>
      </c>
      <c r="J206">
        <v>11</v>
      </c>
      <c r="K206" t="s">
        <v>6103</v>
      </c>
      <c r="L206" t="s">
        <v>6104</v>
      </c>
      <c r="M206" t="s">
        <v>5638</v>
      </c>
      <c r="N206" t="s">
        <v>4679</v>
      </c>
      <c r="O206" t="s">
        <v>6105</v>
      </c>
      <c r="Q206" t="s">
        <v>6106</v>
      </c>
      <c r="R206" t="s">
        <v>6107</v>
      </c>
    </row>
    <row r="207" spans="1:18" x14ac:dyDescent="0.15">
      <c r="A207" t="s">
        <v>6108</v>
      </c>
      <c r="B207" t="s">
        <v>6109</v>
      </c>
      <c r="C207" t="s">
        <v>4667</v>
      </c>
      <c r="D207" t="str">
        <f>"04194217"</f>
        <v>04194217</v>
      </c>
      <c r="F207" t="str">
        <f>"20070101"</f>
        <v>20070101</v>
      </c>
      <c r="G207">
        <v>68</v>
      </c>
      <c r="H207" t="s">
        <v>6110</v>
      </c>
      <c r="I207">
        <v>651</v>
      </c>
      <c r="J207">
        <v>1</v>
      </c>
      <c r="K207" t="s">
        <v>6111</v>
      </c>
      <c r="M207" t="s">
        <v>4670</v>
      </c>
      <c r="N207" t="s">
        <v>4671</v>
      </c>
      <c r="O207" t="s">
        <v>6112</v>
      </c>
      <c r="Q207" t="s">
        <v>6113</v>
      </c>
      <c r="R207" t="s">
        <v>6114</v>
      </c>
    </row>
    <row r="208" spans="1:18" x14ac:dyDescent="0.15">
      <c r="A208" t="s">
        <v>6115</v>
      </c>
      <c r="B208" t="s">
        <v>6116</v>
      </c>
      <c r="C208" t="s">
        <v>6117</v>
      </c>
      <c r="D208" t="str">
        <f>"00380253"</f>
        <v>00380253</v>
      </c>
      <c r="F208" t="str">
        <f>"20010601"</f>
        <v>20010601</v>
      </c>
      <c r="G208">
        <v>42</v>
      </c>
      <c r="H208">
        <v>3</v>
      </c>
      <c r="I208">
        <v>351</v>
      </c>
      <c r="J208">
        <v>22</v>
      </c>
      <c r="K208" t="s">
        <v>6118</v>
      </c>
      <c r="L208" t="s">
        <v>4397</v>
      </c>
      <c r="M208" t="s">
        <v>5186</v>
      </c>
      <c r="N208" t="s">
        <v>4679</v>
      </c>
      <c r="O208" t="s">
        <v>6119</v>
      </c>
      <c r="Q208" t="s">
        <v>6120</v>
      </c>
      <c r="R208" t="s">
        <v>6121</v>
      </c>
    </row>
    <row r="209" spans="1:18" x14ac:dyDescent="0.15">
      <c r="A209" t="s">
        <v>6122</v>
      </c>
      <c r="B209" t="s">
        <v>6123</v>
      </c>
      <c r="C209" t="s">
        <v>6124</v>
      </c>
      <c r="D209" t="str">
        <f>"00900036"</f>
        <v>00900036</v>
      </c>
      <c r="F209" t="str">
        <f>"20060801"</f>
        <v>20060801</v>
      </c>
      <c r="G209">
        <v>96</v>
      </c>
      <c r="H209">
        <v>8</v>
      </c>
      <c r="I209">
        <v>1342</v>
      </c>
      <c r="J209">
        <v>5</v>
      </c>
      <c r="K209" t="s">
        <v>6125</v>
      </c>
      <c r="L209" t="s">
        <v>6126</v>
      </c>
      <c r="M209" t="s">
        <v>6127</v>
      </c>
      <c r="N209" t="s">
        <v>4679</v>
      </c>
      <c r="O209" t="s">
        <v>6128</v>
      </c>
      <c r="Q209" t="s">
        <v>6129</v>
      </c>
      <c r="R209" t="s">
        <v>6130</v>
      </c>
    </row>
    <row r="210" spans="1:18" x14ac:dyDescent="0.15">
      <c r="A210" t="s">
        <v>6131</v>
      </c>
      <c r="B210" t="s">
        <v>5471</v>
      </c>
      <c r="C210" t="s">
        <v>6132</v>
      </c>
      <c r="D210" t="str">
        <f>"00147370"</f>
        <v>00147370</v>
      </c>
      <c r="F210" t="str">
        <f>"19951201"</f>
        <v>19951201</v>
      </c>
      <c r="G210">
        <v>34</v>
      </c>
      <c r="H210">
        <v>4</v>
      </c>
      <c r="I210">
        <v>373</v>
      </c>
      <c r="J210">
        <v>16</v>
      </c>
      <c r="K210" t="s">
        <v>6133</v>
      </c>
      <c r="L210" t="s">
        <v>4619</v>
      </c>
      <c r="M210" t="s">
        <v>5186</v>
      </c>
      <c r="N210" t="s">
        <v>4679</v>
      </c>
      <c r="O210" t="s">
        <v>6134</v>
      </c>
      <c r="Q210" t="s">
        <v>6135</v>
      </c>
      <c r="R210" t="s">
        <v>6136</v>
      </c>
    </row>
    <row r="211" spans="1:18" x14ac:dyDescent="0.15">
      <c r="A211" t="s">
        <v>6137</v>
      </c>
      <c r="B211" t="s">
        <v>6138</v>
      </c>
      <c r="C211" t="s">
        <v>6139</v>
      </c>
      <c r="E211" t="str">
        <f>"0205359019"</f>
        <v>0205359019</v>
      </c>
      <c r="F211" t="str">
        <f>"20030101"</f>
        <v>20030101</v>
      </c>
      <c r="I211">
        <v>164</v>
      </c>
      <c r="J211">
        <v>22</v>
      </c>
      <c r="K211" t="s">
        <v>6140</v>
      </c>
      <c r="M211" t="s">
        <v>6141</v>
      </c>
      <c r="N211" t="s">
        <v>4773</v>
      </c>
      <c r="O211" t="s">
        <v>6142</v>
      </c>
      <c r="Q211" t="s">
        <v>6143</v>
      </c>
      <c r="R211" t="s">
        <v>6144</v>
      </c>
    </row>
    <row r="212" spans="1:18" x14ac:dyDescent="0.15">
      <c r="A212" t="s">
        <v>6145</v>
      </c>
      <c r="B212" t="s">
        <v>292</v>
      </c>
      <c r="C212" t="s">
        <v>6146</v>
      </c>
      <c r="D212" t="str">
        <f>"10926771"</f>
        <v>10926771</v>
      </c>
      <c r="F212" t="str">
        <f>"20200923"</f>
        <v>20200923</v>
      </c>
      <c r="K212" t="s">
        <v>6147</v>
      </c>
      <c r="L212" t="s">
        <v>308</v>
      </c>
      <c r="M212" t="s">
        <v>4728</v>
      </c>
      <c r="O212" t="s">
        <v>5171</v>
      </c>
      <c r="Q212" t="s">
        <v>6148</v>
      </c>
      <c r="R212" t="s">
        <v>6149</v>
      </c>
    </row>
    <row r="213" spans="1:18" x14ac:dyDescent="0.15">
      <c r="A213" t="s">
        <v>6150</v>
      </c>
      <c r="B213" t="s">
        <v>1341</v>
      </c>
      <c r="C213" t="s">
        <v>6151</v>
      </c>
      <c r="D213" t="str">
        <f>"01907409"</f>
        <v>01907409</v>
      </c>
      <c r="F213" t="str">
        <f>"20181101"</f>
        <v>20181101</v>
      </c>
      <c r="G213">
        <v>94</v>
      </c>
      <c r="I213">
        <v>105</v>
      </c>
      <c r="J213">
        <v>10</v>
      </c>
      <c r="K213" t="s">
        <v>6152</v>
      </c>
      <c r="L213" t="s">
        <v>1356</v>
      </c>
      <c r="M213" t="s">
        <v>4735</v>
      </c>
      <c r="N213" t="s">
        <v>4679</v>
      </c>
      <c r="O213" t="s">
        <v>6153</v>
      </c>
      <c r="Q213" t="s">
        <v>6154</v>
      </c>
      <c r="R213" t="s">
        <v>6155</v>
      </c>
    </row>
    <row r="214" spans="1:18" x14ac:dyDescent="0.15">
      <c r="A214" t="s">
        <v>6156</v>
      </c>
      <c r="B214" t="s">
        <v>6157</v>
      </c>
      <c r="C214" t="s">
        <v>6158</v>
      </c>
      <c r="D214" t="str">
        <f>"00223182"</f>
        <v>00223182</v>
      </c>
      <c r="F214" t="str">
        <f>"20011101"</f>
        <v>20011101</v>
      </c>
      <c r="G214">
        <v>33</v>
      </c>
      <c r="H214">
        <v>6</v>
      </c>
      <c r="I214">
        <v>322</v>
      </c>
      <c r="J214">
        <v>10</v>
      </c>
      <c r="K214" t="s">
        <v>6159</v>
      </c>
      <c r="L214" t="s">
        <v>4312</v>
      </c>
      <c r="M214" t="s">
        <v>6160</v>
      </c>
      <c r="N214" t="s">
        <v>4679</v>
      </c>
      <c r="O214" t="s">
        <v>6161</v>
      </c>
      <c r="Q214" t="s">
        <v>6162</v>
      </c>
      <c r="R214" t="s">
        <v>6163</v>
      </c>
    </row>
    <row r="215" spans="1:18" x14ac:dyDescent="0.15">
      <c r="A215" t="s">
        <v>6164</v>
      </c>
      <c r="B215" t="s">
        <v>6165</v>
      </c>
      <c r="C215" t="s">
        <v>6166</v>
      </c>
      <c r="D215" t="str">
        <f>"15313204"</f>
        <v>15313204</v>
      </c>
      <c r="F215" t="str">
        <f>"20200101"</f>
        <v>20200101</v>
      </c>
      <c r="G215">
        <v>29</v>
      </c>
      <c r="H215" s="1">
        <v>44256</v>
      </c>
      <c r="I215">
        <v>23</v>
      </c>
      <c r="J215">
        <v>20</v>
      </c>
      <c r="K215" t="s">
        <v>6167</v>
      </c>
      <c r="L215" t="s">
        <v>6168</v>
      </c>
      <c r="M215" t="s">
        <v>4728</v>
      </c>
      <c r="N215" t="s">
        <v>4679</v>
      </c>
      <c r="O215" t="s">
        <v>6169</v>
      </c>
      <c r="Q215" t="s">
        <v>6170</v>
      </c>
      <c r="R215" t="s">
        <v>6171</v>
      </c>
    </row>
    <row r="216" spans="1:18" x14ac:dyDescent="0.15">
      <c r="A216" t="s">
        <v>6172</v>
      </c>
      <c r="B216" t="s">
        <v>6173</v>
      </c>
      <c r="C216" t="s">
        <v>4779</v>
      </c>
      <c r="D216" t="str">
        <f>"10443894"</f>
        <v>10443894</v>
      </c>
      <c r="F216" t="str">
        <f>"19970501"</f>
        <v>19970501</v>
      </c>
      <c r="G216">
        <v>78</v>
      </c>
      <c r="H216">
        <v>3</v>
      </c>
      <c r="I216">
        <v>240</v>
      </c>
      <c r="J216">
        <v>15</v>
      </c>
      <c r="K216" t="s">
        <v>6174</v>
      </c>
      <c r="L216" t="s">
        <v>4513</v>
      </c>
      <c r="M216" t="s">
        <v>4782</v>
      </c>
      <c r="N216" t="s">
        <v>4679</v>
      </c>
      <c r="O216" t="s">
        <v>6175</v>
      </c>
      <c r="Q216" t="s">
        <v>6176</v>
      </c>
      <c r="R216" t="s">
        <v>6177</v>
      </c>
    </row>
    <row r="217" spans="1:18" x14ac:dyDescent="0.15">
      <c r="A217" t="s">
        <v>6178</v>
      </c>
      <c r="B217" t="s">
        <v>6179</v>
      </c>
      <c r="C217" t="s">
        <v>6180</v>
      </c>
      <c r="D217" t="str">
        <f>"09161503"</f>
        <v>09161503</v>
      </c>
      <c r="F217" t="str">
        <f>"20030101"</f>
        <v>20030101</v>
      </c>
      <c r="G217">
        <v>19</v>
      </c>
      <c r="H217">
        <v>2</v>
      </c>
      <c r="I217">
        <v>79</v>
      </c>
      <c r="J217">
        <v>15</v>
      </c>
      <c r="K217" t="s">
        <v>6181</v>
      </c>
      <c r="M217" t="s">
        <v>6182</v>
      </c>
      <c r="N217" t="s">
        <v>4679</v>
      </c>
      <c r="O217" t="s">
        <v>6183</v>
      </c>
      <c r="Q217" t="s">
        <v>6184</v>
      </c>
      <c r="R217" t="s">
        <v>6185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Z478"/>
  <sheetViews>
    <sheetView tabSelected="1" topLeftCell="B1" workbookViewId="0">
      <pane ySplit="1" topLeftCell="A2" activePane="bottomLeft" state="frozen"/>
      <selection pane="bottomLeft" activeCell="N11" sqref="N11"/>
    </sheetView>
  </sheetViews>
  <sheetFormatPr baseColWidth="10" defaultRowHeight="13" customHeight="1" x14ac:dyDescent="0.15"/>
  <cols>
    <col min="1" max="2" width="10.83203125" style="10"/>
    <col min="3" max="3" width="10.83203125" style="13"/>
    <col min="4" max="16384" width="10.83203125" style="10"/>
  </cols>
  <sheetData>
    <row r="1" spans="1:78" s="6" customFormat="1" ht="13" customHeight="1" x14ac:dyDescent="0.15">
      <c r="A1" s="5" t="s">
        <v>6186</v>
      </c>
      <c r="B1" s="5" t="s">
        <v>6192</v>
      </c>
      <c r="C1" s="7" t="s">
        <v>6193</v>
      </c>
      <c r="D1" s="5" t="s">
        <v>4656</v>
      </c>
      <c r="E1" s="5" t="s">
        <v>6194</v>
      </c>
      <c r="F1" s="5" t="s">
        <v>6195</v>
      </c>
      <c r="G1" s="5" t="s">
        <v>6251</v>
      </c>
      <c r="H1" s="5" t="s">
        <v>6196</v>
      </c>
      <c r="I1" s="5" t="s">
        <v>6197</v>
      </c>
      <c r="J1" s="5" t="s">
        <v>21</v>
      </c>
      <c r="K1" s="5" t="s">
        <v>6198</v>
      </c>
      <c r="L1" s="5" t="s">
        <v>6199</v>
      </c>
      <c r="M1" s="5" t="s">
        <v>6200</v>
      </c>
      <c r="N1" s="5" t="s">
        <v>6252</v>
      </c>
      <c r="O1" s="5" t="s">
        <v>38</v>
      </c>
      <c r="P1" s="6" t="s">
        <v>39</v>
      </c>
      <c r="Q1" s="5" t="s">
        <v>40</v>
      </c>
      <c r="R1" s="5" t="s">
        <v>6201</v>
      </c>
      <c r="S1" s="5" t="s">
        <v>45</v>
      </c>
      <c r="T1" s="5" t="s">
        <v>46</v>
      </c>
      <c r="U1" s="5" t="s">
        <v>6202</v>
      </c>
      <c r="V1" s="5" t="s">
        <v>6203</v>
      </c>
      <c r="W1" s="5" t="s">
        <v>6204</v>
      </c>
      <c r="X1" s="5" t="s">
        <v>6205</v>
      </c>
      <c r="Y1" s="6" t="s">
        <v>30</v>
      </c>
      <c r="Z1" s="6" t="s">
        <v>31</v>
      </c>
      <c r="AA1" s="6" t="s">
        <v>32</v>
      </c>
      <c r="AB1" s="6" t="s">
        <v>33</v>
      </c>
      <c r="AC1" s="6" t="s">
        <v>34</v>
      </c>
      <c r="AD1" s="5" t="s">
        <v>6206</v>
      </c>
      <c r="AE1" s="5" t="s">
        <v>54</v>
      </c>
      <c r="AF1" s="5" t="s">
        <v>6250</v>
      </c>
      <c r="AG1" s="5" t="s">
        <v>35</v>
      </c>
      <c r="AH1" s="6" t="s">
        <v>6207</v>
      </c>
      <c r="AI1" s="6" t="s">
        <v>6208</v>
      </c>
      <c r="AJ1" s="5" t="s">
        <v>4662</v>
      </c>
      <c r="AK1" s="5" t="s">
        <v>4663</v>
      </c>
      <c r="AL1" s="5" t="s">
        <v>6209</v>
      </c>
      <c r="AM1" s="5" t="s">
        <v>6210</v>
      </c>
      <c r="AN1" s="5" t="s">
        <v>6211</v>
      </c>
      <c r="AO1" s="5" t="s">
        <v>6212</v>
      </c>
      <c r="AP1" s="5" t="s">
        <v>6213</v>
      </c>
      <c r="AQ1" s="5" t="s">
        <v>6214</v>
      </c>
      <c r="AR1" s="5" t="s">
        <v>6215</v>
      </c>
      <c r="AS1" s="5" t="s">
        <v>6216</v>
      </c>
      <c r="AT1" s="5" t="s">
        <v>6217</v>
      </c>
      <c r="AU1" s="5" t="s">
        <v>6218</v>
      </c>
      <c r="AV1" s="5" t="s">
        <v>6219</v>
      </c>
      <c r="AW1" s="5" t="s">
        <v>6220</v>
      </c>
      <c r="AX1" s="5" t="s">
        <v>6221</v>
      </c>
      <c r="AY1" s="5" t="s">
        <v>6222</v>
      </c>
      <c r="AZ1" s="5" t="s">
        <v>6223</v>
      </c>
      <c r="BA1" s="5" t="s">
        <v>6224</v>
      </c>
      <c r="BB1" s="5" t="s">
        <v>6225</v>
      </c>
      <c r="BC1" s="5" t="s">
        <v>6226</v>
      </c>
      <c r="BD1" s="5" t="s">
        <v>6227</v>
      </c>
      <c r="BE1" s="5" t="s">
        <v>6228</v>
      </c>
      <c r="BF1" s="5" t="s">
        <v>6229</v>
      </c>
      <c r="BG1" s="5" t="s">
        <v>6230</v>
      </c>
      <c r="BH1" s="5" t="s">
        <v>6231</v>
      </c>
      <c r="BI1" s="5" t="s">
        <v>6232</v>
      </c>
      <c r="BJ1" s="5" t="s">
        <v>6233</v>
      </c>
      <c r="BK1" s="5" t="s">
        <v>6234</v>
      </c>
      <c r="BL1" s="5" t="s">
        <v>6235</v>
      </c>
      <c r="BM1" s="5" t="s">
        <v>6236</v>
      </c>
      <c r="BN1" s="5" t="s">
        <v>6237</v>
      </c>
      <c r="BO1" s="5" t="s">
        <v>6238</v>
      </c>
      <c r="BP1" s="5" t="s">
        <v>6239</v>
      </c>
      <c r="BQ1" s="5" t="s">
        <v>6240</v>
      </c>
      <c r="BR1" s="5" t="s">
        <v>6241</v>
      </c>
      <c r="BS1" s="5" t="s">
        <v>6242</v>
      </c>
      <c r="BT1" s="5" t="s">
        <v>6243</v>
      </c>
      <c r="BU1" s="5" t="s">
        <v>6244</v>
      </c>
      <c r="BV1" s="5" t="s">
        <v>6245</v>
      </c>
      <c r="BW1" s="5" t="s">
        <v>6246</v>
      </c>
      <c r="BX1" s="5" t="s">
        <v>6247</v>
      </c>
      <c r="BY1" s="5" t="s">
        <v>6248</v>
      </c>
      <c r="BZ1" s="5" t="s">
        <v>6249</v>
      </c>
    </row>
    <row r="2" spans="1:78" ht="13" customHeight="1" x14ac:dyDescent="0.15">
      <c r="A2" s="8" t="s">
        <v>6188</v>
      </c>
      <c r="B2" s="8" t="s">
        <v>74</v>
      </c>
      <c r="C2" s="9">
        <v>2021</v>
      </c>
      <c r="D2" s="8" t="s">
        <v>68</v>
      </c>
      <c r="E2" s="8" t="s">
        <v>70</v>
      </c>
      <c r="F2" s="8" t="s">
        <v>71</v>
      </c>
      <c r="G2" s="8" t="str" cm="1">
        <f t="array" ref="G2">LOWER(CleanCode(F2))</f>
        <v>towardcoexistenceofimmigrantsandlocalpeopleinjapanimplicationsfromspatialassimilationtheory</v>
      </c>
      <c r="H2" s="8"/>
      <c r="I2" s="8"/>
      <c r="J2" s="8" t="s">
        <v>76</v>
      </c>
      <c r="K2" s="8"/>
      <c r="L2" s="8"/>
      <c r="M2" s="8" t="s">
        <v>72</v>
      </c>
      <c r="N2" s="8" t="str">
        <f>PROPER(M2)</f>
        <v>Sustainability</v>
      </c>
      <c r="O2" s="8" t="s">
        <v>69</v>
      </c>
      <c r="P2" s="8" t="s">
        <v>85</v>
      </c>
      <c r="Q2" s="8" t="s">
        <v>69</v>
      </c>
      <c r="R2" s="8"/>
      <c r="S2" s="8">
        <v>13</v>
      </c>
      <c r="T2" s="8">
        <v>7</v>
      </c>
      <c r="U2" s="8" t="s">
        <v>69</v>
      </c>
      <c r="V2" s="8" t="s">
        <v>69</v>
      </c>
      <c r="W2" s="8">
        <v>16</v>
      </c>
      <c r="X2" s="8"/>
      <c r="Y2" s="8">
        <v>46</v>
      </c>
      <c r="Z2" s="8">
        <v>0</v>
      </c>
      <c r="AA2" s="8">
        <v>0</v>
      </c>
      <c r="AB2" s="8">
        <v>0</v>
      </c>
      <c r="AC2" s="8">
        <v>0</v>
      </c>
      <c r="AD2" s="8" t="s">
        <v>93</v>
      </c>
      <c r="AE2" s="8" t="s">
        <v>89</v>
      </c>
      <c r="AF2" s="8" t="s">
        <v>69</v>
      </c>
      <c r="AG2" s="8" t="s">
        <v>82</v>
      </c>
      <c r="AH2" s="8" t="s">
        <v>83</v>
      </c>
      <c r="AI2" s="8" t="s">
        <v>84</v>
      </c>
      <c r="AJ2" s="8" t="s">
        <v>69</v>
      </c>
      <c r="AK2" s="8" t="s">
        <v>75</v>
      </c>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row>
    <row r="3" spans="1:78" ht="13" customHeight="1" x14ac:dyDescent="0.15">
      <c r="A3" s="8" t="s">
        <v>6188</v>
      </c>
      <c r="B3" s="8" t="s">
        <v>100</v>
      </c>
      <c r="C3" s="9" t="s">
        <v>69</v>
      </c>
      <c r="D3" s="8" t="s">
        <v>96</v>
      </c>
      <c r="E3" s="8" t="s">
        <v>97</v>
      </c>
      <c r="F3" s="8" t="s">
        <v>98</v>
      </c>
      <c r="G3" s="8" t="str" cm="1">
        <f t="array" ref="G3">LOWER(CleanCode(F3))</f>
        <v>anewframeworkofworkplacebelonginginstrumentvalidationandtestingrelationshipstocrucialacculturationoutcomes</v>
      </c>
      <c r="H3" s="8"/>
      <c r="I3" s="8"/>
      <c r="J3" s="8" t="s">
        <v>102</v>
      </c>
      <c r="K3" s="8"/>
      <c r="L3" s="8"/>
      <c r="M3" s="8" t="s">
        <v>99</v>
      </c>
      <c r="N3" s="8" t="str">
        <f t="shared" ref="N3:N66" si="0">PROPER(M3)</f>
        <v>Journal Of International And Intercultural Communication</v>
      </c>
      <c r="O3" s="8" t="s">
        <v>111</v>
      </c>
      <c r="P3" s="8" t="s">
        <v>112</v>
      </c>
      <c r="Q3" s="8" t="s">
        <v>69</v>
      </c>
      <c r="R3" s="8"/>
      <c r="S3" s="8" t="s">
        <v>69</v>
      </c>
      <c r="T3" s="8" t="s">
        <v>69</v>
      </c>
      <c r="U3" s="8" t="s">
        <v>69</v>
      </c>
      <c r="V3" s="8" t="s">
        <v>69</v>
      </c>
      <c r="W3" s="8">
        <v>22</v>
      </c>
      <c r="X3" s="8"/>
      <c r="Y3" s="8">
        <v>40</v>
      </c>
      <c r="Z3" s="8">
        <v>0</v>
      </c>
      <c r="AA3" s="8">
        <v>0</v>
      </c>
      <c r="AB3" s="8">
        <v>2</v>
      </c>
      <c r="AC3" s="8">
        <v>2</v>
      </c>
      <c r="AD3" s="8" t="s">
        <v>119</v>
      </c>
      <c r="AE3" s="8" t="s">
        <v>115</v>
      </c>
      <c r="AF3" s="8" t="s">
        <v>69</v>
      </c>
      <c r="AG3" s="8" t="s">
        <v>108</v>
      </c>
      <c r="AH3" s="8" t="s">
        <v>109</v>
      </c>
      <c r="AI3" s="8" t="s">
        <v>110</v>
      </c>
      <c r="AJ3" s="8" t="s">
        <v>69</v>
      </c>
      <c r="AK3" s="8" t="s">
        <v>101</v>
      </c>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row>
    <row r="4" spans="1:78" ht="13" customHeight="1" x14ac:dyDescent="0.15">
      <c r="A4" s="8" t="s">
        <v>6188</v>
      </c>
      <c r="B4" s="8" t="s">
        <v>74</v>
      </c>
      <c r="C4" s="9">
        <v>2021</v>
      </c>
      <c r="D4" s="8" t="s">
        <v>120</v>
      </c>
      <c r="E4" s="8" t="s">
        <v>121</v>
      </c>
      <c r="F4" s="8" t="s">
        <v>122</v>
      </c>
      <c r="G4" s="8" t="str" cm="1">
        <f t="array" ref="G4">LOWER(CleanCode(F4))</f>
        <v>acculturationinaglobalisedworldimplicationsfortheoryandeducationalpolicyandpractice</v>
      </c>
      <c r="H4" s="8"/>
      <c r="I4" s="8"/>
      <c r="J4" s="8" t="s">
        <v>125</v>
      </c>
      <c r="K4" s="8"/>
      <c r="L4" s="8"/>
      <c r="M4" s="8" t="s">
        <v>123</v>
      </c>
      <c r="N4" s="8" t="str">
        <f t="shared" si="0"/>
        <v>International Journal Of Comparative Education And Development</v>
      </c>
      <c r="O4" s="8" t="s">
        <v>134</v>
      </c>
      <c r="P4" s="8" t="s">
        <v>135</v>
      </c>
      <c r="Q4" s="8" t="s">
        <v>69</v>
      </c>
      <c r="R4" s="8"/>
      <c r="S4" s="8">
        <v>23</v>
      </c>
      <c r="T4" s="8">
        <v>1</v>
      </c>
      <c r="U4" s="8">
        <v>44</v>
      </c>
      <c r="V4" s="8">
        <v>58</v>
      </c>
      <c r="W4" s="8">
        <v>15</v>
      </c>
      <c r="X4" s="8"/>
      <c r="Y4" s="8">
        <v>86</v>
      </c>
      <c r="Z4" s="8">
        <v>0</v>
      </c>
      <c r="AA4" s="8">
        <v>0</v>
      </c>
      <c r="AB4" s="8">
        <v>0</v>
      </c>
      <c r="AC4" s="8">
        <v>0</v>
      </c>
      <c r="AD4" s="8" t="s">
        <v>142</v>
      </c>
      <c r="AE4" s="8" t="s">
        <v>139</v>
      </c>
      <c r="AF4" s="8" t="s">
        <v>69</v>
      </c>
      <c r="AG4" s="8" t="s">
        <v>131</v>
      </c>
      <c r="AH4" s="8" t="s">
        <v>132</v>
      </c>
      <c r="AI4" s="8" t="s">
        <v>133</v>
      </c>
      <c r="AJ4" s="8" t="s">
        <v>69</v>
      </c>
      <c r="AK4" s="8" t="s">
        <v>124</v>
      </c>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row>
    <row r="5" spans="1:78" ht="13" customHeight="1" x14ac:dyDescent="0.15">
      <c r="A5" s="8" t="s">
        <v>6188</v>
      </c>
      <c r="B5" s="8" t="s">
        <v>100</v>
      </c>
      <c r="C5" s="9" t="s">
        <v>69</v>
      </c>
      <c r="D5" s="8" t="s">
        <v>143</v>
      </c>
      <c r="E5" s="8" t="s">
        <v>144</v>
      </c>
      <c r="F5" s="8" t="s">
        <v>145</v>
      </c>
      <c r="G5" s="8" t="str" cm="1">
        <f t="array" ref="G5">LOWER(CleanCode(F5))</f>
        <v>contributionsofsocialdeterminantsofhealthtosystolicbloodpressureinunitedstatesadultimmigrantsuseofpathanalysistovalidateaconceptualframework</v>
      </c>
      <c r="H5" s="8"/>
      <c r="I5" s="8"/>
      <c r="J5" s="8" t="s">
        <v>148</v>
      </c>
      <c r="K5" s="8"/>
      <c r="L5" s="8"/>
      <c r="M5" s="8" t="s">
        <v>146</v>
      </c>
      <c r="N5" s="8" t="str">
        <f t="shared" si="0"/>
        <v>Chronic Illness</v>
      </c>
      <c r="O5" s="8" t="s">
        <v>158</v>
      </c>
      <c r="P5" s="8" t="s">
        <v>159</v>
      </c>
      <c r="Q5" s="8" t="s">
        <v>69</v>
      </c>
      <c r="R5" s="8"/>
      <c r="S5" s="8" t="s">
        <v>69</v>
      </c>
      <c r="T5" s="8" t="s">
        <v>69</v>
      </c>
      <c r="U5" s="8" t="s">
        <v>69</v>
      </c>
      <c r="V5" s="8" t="s">
        <v>69</v>
      </c>
      <c r="W5" s="8">
        <v>13</v>
      </c>
      <c r="X5" s="8"/>
      <c r="Y5" s="8">
        <v>38</v>
      </c>
      <c r="Z5" s="8">
        <v>0</v>
      </c>
      <c r="AA5" s="8">
        <v>0</v>
      </c>
      <c r="AB5" s="8">
        <v>0</v>
      </c>
      <c r="AC5" s="8">
        <v>0</v>
      </c>
      <c r="AD5" s="8" t="s">
        <v>166</v>
      </c>
      <c r="AE5" s="8" t="s">
        <v>162</v>
      </c>
      <c r="AF5" s="8">
        <v>33726528</v>
      </c>
      <c r="AG5" s="8" t="s">
        <v>155</v>
      </c>
      <c r="AH5" s="8" t="s">
        <v>156</v>
      </c>
      <c r="AI5" s="8" t="s">
        <v>157</v>
      </c>
      <c r="AJ5" s="8" t="s">
        <v>69</v>
      </c>
      <c r="AK5" s="8" t="s">
        <v>147</v>
      </c>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row>
    <row r="6" spans="1:78" ht="13" customHeight="1" x14ac:dyDescent="0.15">
      <c r="A6" s="8" t="s">
        <v>6188</v>
      </c>
      <c r="B6" s="8" t="s">
        <v>100</v>
      </c>
      <c r="C6" s="9" t="s">
        <v>69</v>
      </c>
      <c r="D6" s="8" t="s">
        <v>120</v>
      </c>
      <c r="E6" s="8" t="s">
        <v>121</v>
      </c>
      <c r="F6" s="8" t="s">
        <v>122</v>
      </c>
      <c r="G6" s="8" t="str" cm="1">
        <f t="array" ref="G6">LOWER(CleanCode(F6))</f>
        <v>acculturationinaglobalisedworldimplicationsfortheoryandeducationalpolicyandpractice</v>
      </c>
      <c r="H6" s="8"/>
      <c r="I6" s="8"/>
      <c r="J6" s="8" t="s">
        <v>167</v>
      </c>
      <c r="K6" s="8"/>
      <c r="L6" s="8"/>
      <c r="M6" s="8" t="s">
        <v>123</v>
      </c>
      <c r="N6" s="8" t="str">
        <f t="shared" si="0"/>
        <v>International Journal Of Comparative Education And Development</v>
      </c>
      <c r="O6" s="8" t="s">
        <v>134</v>
      </c>
      <c r="P6" s="8" t="s">
        <v>135</v>
      </c>
      <c r="Q6" s="8" t="s">
        <v>69</v>
      </c>
      <c r="R6" s="8"/>
      <c r="S6" s="8" t="s">
        <v>69</v>
      </c>
      <c r="T6" s="8" t="s">
        <v>69</v>
      </c>
      <c r="U6" s="8" t="s">
        <v>69</v>
      </c>
      <c r="V6" s="8" t="s">
        <v>69</v>
      </c>
      <c r="W6" s="8">
        <v>15</v>
      </c>
      <c r="X6" s="8"/>
      <c r="Y6" s="8">
        <v>86</v>
      </c>
      <c r="Z6" s="8">
        <v>0</v>
      </c>
      <c r="AA6" s="8">
        <v>0</v>
      </c>
      <c r="AB6" s="8">
        <v>0</v>
      </c>
      <c r="AC6" s="8">
        <v>0</v>
      </c>
      <c r="AD6" s="8" t="s">
        <v>169</v>
      </c>
      <c r="AE6" s="8" t="s">
        <v>139</v>
      </c>
      <c r="AF6" s="8" t="s">
        <v>69</v>
      </c>
      <c r="AG6" s="8" t="s">
        <v>131</v>
      </c>
      <c r="AH6" s="8" t="s">
        <v>132</v>
      </c>
      <c r="AI6" s="8" t="s">
        <v>133</v>
      </c>
      <c r="AJ6" s="8" t="s">
        <v>69</v>
      </c>
      <c r="AK6" s="8" t="s">
        <v>124</v>
      </c>
      <c r="AL6" s="8"/>
      <c r="AM6" s="8"/>
      <c r="AN6" s="8"/>
      <c r="AO6" s="8"/>
      <c r="AP6" s="8"/>
      <c r="AQ6" s="8"/>
      <c r="AR6" s="8"/>
      <c r="AS6" s="8"/>
      <c r="AT6" s="8"/>
      <c r="AU6" s="8"/>
      <c r="AV6" s="8"/>
      <c r="AW6" s="8"/>
      <c r="AX6" s="8"/>
      <c r="AY6" s="8"/>
      <c r="AZ6" s="8"/>
      <c r="BA6" s="8"/>
      <c r="BB6" s="8"/>
      <c r="BC6" s="8"/>
      <c r="BD6" s="8"/>
      <c r="BE6" s="8"/>
      <c r="BF6" s="8"/>
      <c r="BG6" s="8"/>
      <c r="BH6" s="8"/>
      <c r="BI6" s="8"/>
      <c r="BJ6" s="8"/>
      <c r="BK6" s="8"/>
      <c r="BL6" s="8"/>
      <c r="BM6" s="8"/>
      <c r="BN6" s="8"/>
      <c r="BO6" s="8"/>
      <c r="BP6" s="8"/>
      <c r="BQ6" s="8"/>
      <c r="BR6" s="8"/>
      <c r="BS6" s="8"/>
      <c r="BT6" s="8"/>
      <c r="BU6" s="8"/>
      <c r="BV6" s="8"/>
      <c r="BW6" s="8"/>
      <c r="BX6" s="8"/>
      <c r="BY6" s="8"/>
      <c r="BZ6" s="8"/>
    </row>
    <row r="7" spans="1:78" ht="13" customHeight="1" x14ac:dyDescent="0.15">
      <c r="A7" s="8" t="s">
        <v>6188</v>
      </c>
      <c r="B7" s="8" t="s">
        <v>100</v>
      </c>
      <c r="C7" s="9" t="s">
        <v>69</v>
      </c>
      <c r="D7" s="8" t="s">
        <v>170</v>
      </c>
      <c r="E7" s="8" t="s">
        <v>171</v>
      </c>
      <c r="F7" s="8" t="s">
        <v>172</v>
      </c>
      <c r="G7" s="8" t="str" cm="1">
        <f t="array" ref="G7">LOWER(CleanCode(F7))</f>
        <v>immigrantscrimeandtheamericandreamtestingasegmentedassimilationtheoryofcrime</v>
      </c>
      <c r="H7" s="8"/>
      <c r="I7" s="8"/>
      <c r="J7" s="8" t="s">
        <v>175</v>
      </c>
      <c r="K7" s="8"/>
      <c r="L7" s="8"/>
      <c r="M7" s="8" t="s">
        <v>173</v>
      </c>
      <c r="N7" s="8" t="str">
        <f t="shared" si="0"/>
        <v>International Journal Of Offender Therapy And Comparative Criminology</v>
      </c>
      <c r="O7" s="8" t="s">
        <v>183</v>
      </c>
      <c r="P7" s="8" t="s">
        <v>184</v>
      </c>
      <c r="Q7" s="8" t="s">
        <v>69</v>
      </c>
      <c r="R7" s="8"/>
      <c r="S7" s="8" t="s">
        <v>69</v>
      </c>
      <c r="T7" s="8" t="s">
        <v>69</v>
      </c>
      <c r="U7" s="8" t="s">
        <v>69</v>
      </c>
      <c r="V7" s="8" t="s">
        <v>69</v>
      </c>
      <c r="W7" s="8">
        <v>27</v>
      </c>
      <c r="X7" s="8"/>
      <c r="Y7" s="8">
        <v>64</v>
      </c>
      <c r="Z7" s="8">
        <v>0</v>
      </c>
      <c r="AA7" s="8">
        <v>0</v>
      </c>
      <c r="AB7" s="8">
        <v>0</v>
      </c>
      <c r="AC7" s="8">
        <v>0</v>
      </c>
      <c r="AD7" s="8" t="s">
        <v>193</v>
      </c>
      <c r="AE7" s="8" t="s">
        <v>188</v>
      </c>
      <c r="AF7" s="8">
        <v>33567954</v>
      </c>
      <c r="AG7" s="8" t="s">
        <v>180</v>
      </c>
      <c r="AH7" s="8" t="s">
        <v>181</v>
      </c>
      <c r="AI7" s="8" t="s">
        <v>182</v>
      </c>
      <c r="AJ7" s="8" t="s">
        <v>69</v>
      </c>
      <c r="AK7" s="8" t="s">
        <v>174</v>
      </c>
      <c r="AL7" s="8"/>
      <c r="AM7" s="8"/>
      <c r="AN7" s="8"/>
      <c r="AO7" s="8"/>
      <c r="AP7" s="8"/>
      <c r="AQ7" s="8"/>
      <c r="AR7" s="8"/>
      <c r="AS7" s="8"/>
      <c r="AT7" s="8"/>
      <c r="AU7" s="8"/>
      <c r="AV7" s="8"/>
      <c r="AW7" s="8"/>
      <c r="AX7" s="8"/>
      <c r="AY7" s="8"/>
      <c r="AZ7" s="8"/>
      <c r="BA7" s="8"/>
      <c r="BB7" s="8"/>
      <c r="BC7" s="8"/>
      <c r="BD7" s="8"/>
      <c r="BE7" s="8"/>
      <c r="BF7" s="8"/>
      <c r="BG7" s="8"/>
      <c r="BH7" s="8"/>
      <c r="BI7" s="8"/>
      <c r="BJ7" s="8"/>
      <c r="BK7" s="8"/>
      <c r="BL7" s="8"/>
      <c r="BM7" s="8"/>
      <c r="BN7" s="8"/>
      <c r="BO7" s="8"/>
      <c r="BP7" s="8"/>
      <c r="BQ7" s="8"/>
      <c r="BR7" s="8"/>
      <c r="BS7" s="8"/>
      <c r="BT7" s="8"/>
      <c r="BU7" s="8"/>
      <c r="BV7" s="8"/>
      <c r="BW7" s="8"/>
      <c r="BX7" s="8"/>
      <c r="BY7" s="8"/>
      <c r="BZ7" s="8"/>
    </row>
    <row r="8" spans="1:78" ht="13" customHeight="1" x14ac:dyDescent="0.15">
      <c r="A8" s="8" t="s">
        <v>6188</v>
      </c>
      <c r="B8" s="8" t="s">
        <v>100</v>
      </c>
      <c r="C8" s="9" t="s">
        <v>69</v>
      </c>
      <c r="D8" s="8" t="s">
        <v>194</v>
      </c>
      <c r="E8" s="8" t="s">
        <v>195</v>
      </c>
      <c r="F8" s="8" t="s">
        <v>196</v>
      </c>
      <c r="G8" s="8" t="str" cm="1">
        <f t="array" ref="G8">LOWER(CleanCode(F8))</f>
        <v>thetransnationallifecourseanintegratedandunifiedtheoreticalconceptformigrationresearch</v>
      </c>
      <c r="H8" s="8"/>
      <c r="I8" s="8"/>
      <c r="J8" s="8" t="s">
        <v>199</v>
      </c>
      <c r="K8" s="8"/>
      <c r="L8" s="8"/>
      <c r="M8" s="8" t="s">
        <v>197</v>
      </c>
      <c r="N8" s="8" t="str">
        <f t="shared" si="0"/>
        <v>Ethnic And Racial Studies</v>
      </c>
      <c r="O8" s="8" t="s">
        <v>205</v>
      </c>
      <c r="P8" s="8" t="s">
        <v>206</v>
      </c>
      <c r="Q8" s="8" t="s">
        <v>69</v>
      </c>
      <c r="R8" s="8"/>
      <c r="S8" s="8" t="s">
        <v>69</v>
      </c>
      <c r="T8" s="8" t="s">
        <v>69</v>
      </c>
      <c r="U8" s="8" t="s">
        <v>69</v>
      </c>
      <c r="V8" s="8" t="s">
        <v>69</v>
      </c>
      <c r="W8" s="8">
        <v>28</v>
      </c>
      <c r="X8" s="8"/>
      <c r="Y8" s="8">
        <v>91</v>
      </c>
      <c r="Z8" s="8">
        <v>0</v>
      </c>
      <c r="AA8" s="8">
        <v>0</v>
      </c>
      <c r="AB8" s="8">
        <v>2</v>
      </c>
      <c r="AC8" s="8">
        <v>2</v>
      </c>
      <c r="AD8" s="8" t="s">
        <v>212</v>
      </c>
      <c r="AE8" s="8" t="s">
        <v>209</v>
      </c>
      <c r="AF8" s="8" t="s">
        <v>69</v>
      </c>
      <c r="AG8" s="8" t="s">
        <v>108</v>
      </c>
      <c r="AH8" s="8" t="s">
        <v>109</v>
      </c>
      <c r="AI8" s="8" t="s">
        <v>110</v>
      </c>
      <c r="AJ8" s="8" t="s">
        <v>69</v>
      </c>
      <c r="AK8" s="8" t="s">
        <v>198</v>
      </c>
      <c r="AL8" s="8"/>
      <c r="AM8" s="8"/>
      <c r="AN8" s="8"/>
      <c r="AO8" s="8"/>
      <c r="AP8" s="8"/>
      <c r="AQ8" s="8"/>
      <c r="AR8" s="8"/>
      <c r="AS8" s="8"/>
      <c r="AT8" s="8"/>
      <c r="AU8" s="8"/>
      <c r="AV8" s="8"/>
      <c r="AW8" s="8"/>
      <c r="AX8" s="8"/>
      <c r="AY8" s="8"/>
      <c r="AZ8" s="8"/>
      <c r="BA8" s="8"/>
      <c r="BB8" s="8"/>
      <c r="BC8" s="8"/>
      <c r="BD8" s="8"/>
      <c r="BE8" s="8"/>
      <c r="BF8" s="8"/>
      <c r="BG8" s="8"/>
      <c r="BH8" s="8"/>
      <c r="BI8" s="8"/>
      <c r="BJ8" s="8"/>
      <c r="BK8" s="8"/>
      <c r="BL8" s="8"/>
      <c r="BM8" s="8"/>
      <c r="BN8" s="8"/>
      <c r="BO8" s="8"/>
      <c r="BP8" s="8"/>
      <c r="BQ8" s="8"/>
      <c r="BR8" s="8"/>
      <c r="BS8" s="8"/>
      <c r="BT8" s="8"/>
      <c r="BU8" s="8"/>
      <c r="BV8" s="8"/>
      <c r="BW8" s="8"/>
      <c r="BX8" s="8"/>
      <c r="BY8" s="8"/>
      <c r="BZ8" s="8"/>
    </row>
    <row r="9" spans="1:78" ht="13" customHeight="1" x14ac:dyDescent="0.15">
      <c r="A9" s="8" t="s">
        <v>6188</v>
      </c>
      <c r="B9" s="8" t="s">
        <v>100</v>
      </c>
      <c r="C9" s="9" t="s">
        <v>69</v>
      </c>
      <c r="D9" s="8" t="s">
        <v>214</v>
      </c>
      <c r="E9" s="8" t="s">
        <v>215</v>
      </c>
      <c r="F9" s="8" t="s">
        <v>216</v>
      </c>
      <c r="G9" s="8" t="str" cm="1">
        <f t="array" ref="G9">LOWER(CleanCode(F9))</f>
        <v>aliminallensonintegratingrefugeesintotheworkplaceconceptualisingatheoreticalmodel</v>
      </c>
      <c r="H9" s="8"/>
      <c r="I9" s="8"/>
      <c r="J9" s="8" t="s">
        <v>219</v>
      </c>
      <c r="K9" s="8"/>
      <c r="L9" s="8"/>
      <c r="M9" s="8" t="s">
        <v>217</v>
      </c>
      <c r="N9" s="8" t="str">
        <f t="shared" si="0"/>
        <v>Human Resource Management Journal</v>
      </c>
      <c r="O9" s="8" t="s">
        <v>226</v>
      </c>
      <c r="P9" s="8" t="s">
        <v>227</v>
      </c>
      <c r="Q9" s="8" t="s">
        <v>69</v>
      </c>
      <c r="R9" s="8"/>
      <c r="S9" s="8" t="s">
        <v>69</v>
      </c>
      <c r="T9" s="8" t="s">
        <v>69</v>
      </c>
      <c r="U9" s="8" t="s">
        <v>69</v>
      </c>
      <c r="V9" s="8" t="s">
        <v>69</v>
      </c>
      <c r="W9" s="8">
        <v>23</v>
      </c>
      <c r="X9" s="8"/>
      <c r="Y9" s="8">
        <v>119</v>
      </c>
      <c r="Z9" s="8">
        <v>0</v>
      </c>
      <c r="AA9" s="8">
        <v>0</v>
      </c>
      <c r="AB9" s="8">
        <v>5</v>
      </c>
      <c r="AC9" s="8">
        <v>5</v>
      </c>
      <c r="AD9" s="8" t="s">
        <v>234</v>
      </c>
      <c r="AE9" s="8" t="s">
        <v>230</v>
      </c>
      <c r="AF9" s="8" t="s">
        <v>69</v>
      </c>
      <c r="AG9" s="8" t="s">
        <v>223</v>
      </c>
      <c r="AH9" s="8" t="s">
        <v>224</v>
      </c>
      <c r="AI9" s="8" t="s">
        <v>225</v>
      </c>
      <c r="AJ9" s="8" t="s">
        <v>69</v>
      </c>
      <c r="AK9" s="8" t="s">
        <v>218</v>
      </c>
      <c r="AL9" s="8"/>
      <c r="AM9" s="8"/>
      <c r="AN9" s="8"/>
      <c r="AO9" s="8"/>
      <c r="AP9" s="8"/>
      <c r="AQ9" s="8"/>
      <c r="AR9" s="8"/>
      <c r="AS9" s="8"/>
      <c r="AT9" s="8"/>
      <c r="AU9" s="8"/>
      <c r="AV9" s="8"/>
      <c r="AW9" s="8"/>
      <c r="AX9" s="8"/>
      <c r="AY9" s="8"/>
      <c r="AZ9" s="8"/>
      <c r="BA9" s="8"/>
      <c r="BB9" s="8"/>
      <c r="BC9" s="8"/>
      <c r="BD9" s="8"/>
      <c r="BE9" s="8"/>
      <c r="BF9" s="8"/>
      <c r="BG9" s="8"/>
      <c r="BH9" s="8"/>
      <c r="BI9" s="8"/>
      <c r="BJ9" s="8"/>
      <c r="BK9" s="8"/>
      <c r="BL9" s="8"/>
      <c r="BM9" s="8"/>
      <c r="BN9" s="8"/>
      <c r="BO9" s="8"/>
      <c r="BP9" s="8"/>
      <c r="BQ9" s="8"/>
      <c r="BR9" s="8"/>
      <c r="BS9" s="8"/>
      <c r="BT9" s="8"/>
      <c r="BU9" s="8"/>
      <c r="BV9" s="8"/>
      <c r="BW9" s="8"/>
      <c r="BX9" s="8"/>
      <c r="BY9" s="8"/>
      <c r="BZ9" s="8"/>
    </row>
    <row r="10" spans="1:78" ht="13" customHeight="1" x14ac:dyDescent="0.15">
      <c r="A10" s="8" t="s">
        <v>6188</v>
      </c>
      <c r="B10" s="8" t="s">
        <v>100</v>
      </c>
      <c r="C10" s="9" t="s">
        <v>69</v>
      </c>
      <c r="D10" s="8" t="s">
        <v>235</v>
      </c>
      <c r="E10" s="8" t="s">
        <v>236</v>
      </c>
      <c r="F10" s="8" t="s">
        <v>237</v>
      </c>
      <c r="G10" s="8" t="str" cm="1">
        <f t="array" ref="G10">LOWER(CleanCode(F10))</f>
        <v>transnationalfathersnewtheoreticalandconceptualchallenges</v>
      </c>
      <c r="H10" s="8"/>
      <c r="I10" s="8"/>
      <c r="J10" s="8" t="s">
        <v>241</v>
      </c>
      <c r="K10" s="8"/>
      <c r="L10" s="8"/>
      <c r="M10" s="8" t="s">
        <v>238</v>
      </c>
      <c r="N10" s="8" t="str">
        <f t="shared" si="0"/>
        <v>Journal Of Family Theory &amp; Review</v>
      </c>
      <c r="O10" s="8" t="s">
        <v>245</v>
      </c>
      <c r="P10" s="8" t="s">
        <v>246</v>
      </c>
      <c r="Q10" s="8" t="s">
        <v>69</v>
      </c>
      <c r="R10" s="8"/>
      <c r="S10" s="8" t="s">
        <v>69</v>
      </c>
      <c r="T10" s="8" t="s">
        <v>69</v>
      </c>
      <c r="U10" s="8" t="s">
        <v>69</v>
      </c>
      <c r="V10" s="8" t="s">
        <v>69</v>
      </c>
      <c r="W10" s="8">
        <v>17</v>
      </c>
      <c r="X10" s="8"/>
      <c r="Y10" s="8">
        <v>77</v>
      </c>
      <c r="Z10" s="8">
        <v>1</v>
      </c>
      <c r="AA10" s="8">
        <v>1</v>
      </c>
      <c r="AB10" s="8">
        <v>2</v>
      </c>
      <c r="AC10" s="8">
        <v>2</v>
      </c>
      <c r="AD10" s="8" t="s">
        <v>253</v>
      </c>
      <c r="AE10" s="8" t="s">
        <v>249</v>
      </c>
      <c r="AF10" s="8" t="s">
        <v>69</v>
      </c>
      <c r="AG10" s="8" t="s">
        <v>223</v>
      </c>
      <c r="AH10" s="8" t="s">
        <v>224</v>
      </c>
      <c r="AI10" s="8" t="s">
        <v>225</v>
      </c>
      <c r="AJ10" s="8" t="s">
        <v>240</v>
      </c>
      <c r="AK10" s="8" t="s">
        <v>239</v>
      </c>
      <c r="AL10" s="8"/>
      <c r="AM10" s="8"/>
      <c r="AN10" s="8"/>
      <c r="AO10" s="8"/>
      <c r="AP10" s="8"/>
      <c r="AQ10" s="8"/>
      <c r="AR10" s="8"/>
      <c r="AS10" s="8"/>
      <c r="AT10" s="8"/>
      <c r="AU10" s="8"/>
      <c r="AV10" s="8"/>
      <c r="AW10" s="8"/>
      <c r="AX10" s="8"/>
      <c r="AY10" s="8"/>
      <c r="AZ10" s="8"/>
      <c r="BA10" s="8"/>
      <c r="BB10" s="8"/>
      <c r="BC10" s="8"/>
      <c r="BD10" s="8"/>
      <c r="BE10" s="8"/>
      <c r="BF10" s="8"/>
      <c r="BG10" s="8"/>
      <c r="BH10" s="8"/>
      <c r="BI10" s="8"/>
      <c r="BJ10" s="8"/>
      <c r="BK10" s="8"/>
      <c r="BL10" s="8"/>
      <c r="BM10" s="8"/>
      <c r="BN10" s="8"/>
      <c r="BO10" s="8"/>
      <c r="BP10" s="8"/>
      <c r="BQ10" s="8"/>
      <c r="BR10" s="8"/>
      <c r="BS10" s="8"/>
      <c r="BT10" s="8"/>
      <c r="BU10" s="8"/>
      <c r="BV10" s="8"/>
      <c r="BW10" s="8"/>
      <c r="BX10" s="8"/>
      <c r="BY10" s="8"/>
      <c r="BZ10" s="8"/>
    </row>
    <row r="11" spans="1:78" ht="13" customHeight="1" x14ac:dyDescent="0.15">
      <c r="A11" s="8" t="s">
        <v>6188</v>
      </c>
      <c r="B11" s="8" t="s">
        <v>100</v>
      </c>
      <c r="C11" s="9" t="s">
        <v>69</v>
      </c>
      <c r="D11" s="8" t="s">
        <v>254</v>
      </c>
      <c r="E11" s="8" t="s">
        <v>255</v>
      </c>
      <c r="F11" s="8" t="s">
        <v>256</v>
      </c>
      <c r="G11" s="8" t="str" cm="1">
        <f t="array" ref="G11">LOWER(CleanCode(F11))</f>
        <v>biculturalismandcrossculturalcompetenceexaminationofanattributioncomplexitytheorybasedmodel</v>
      </c>
      <c r="H11" s="8"/>
      <c r="I11" s="8"/>
      <c r="J11" s="8" t="s">
        <v>260</v>
      </c>
      <c r="K11" s="8"/>
      <c r="L11" s="8"/>
      <c r="M11" s="8" t="s">
        <v>257</v>
      </c>
      <c r="N11" s="8" t="str">
        <f t="shared" si="0"/>
        <v>Cross Cultural &amp; Strategic Management</v>
      </c>
      <c r="O11" s="8" t="s">
        <v>264</v>
      </c>
      <c r="P11" s="8" t="s">
        <v>69</v>
      </c>
      <c r="Q11" s="8" t="s">
        <v>69</v>
      </c>
      <c r="R11" s="8"/>
      <c r="S11" s="8" t="s">
        <v>69</v>
      </c>
      <c r="T11" s="8" t="s">
        <v>69</v>
      </c>
      <c r="U11" s="8" t="s">
        <v>69</v>
      </c>
      <c r="V11" s="8" t="s">
        <v>69</v>
      </c>
      <c r="W11" s="8">
        <v>20</v>
      </c>
      <c r="X11" s="8"/>
      <c r="Y11" s="8">
        <v>45</v>
      </c>
      <c r="Z11" s="8">
        <v>0</v>
      </c>
      <c r="AA11" s="8">
        <v>0</v>
      </c>
      <c r="AB11" s="8">
        <v>7</v>
      </c>
      <c r="AC11" s="8">
        <v>7</v>
      </c>
      <c r="AD11" s="8" t="s">
        <v>270</v>
      </c>
      <c r="AE11" s="8" t="s">
        <v>267</v>
      </c>
      <c r="AF11" s="8" t="s">
        <v>69</v>
      </c>
      <c r="AG11" s="8" t="s">
        <v>131</v>
      </c>
      <c r="AH11" s="8" t="s">
        <v>132</v>
      </c>
      <c r="AI11" s="8" t="s">
        <v>133</v>
      </c>
      <c r="AJ11" s="8" t="s">
        <v>259</v>
      </c>
      <c r="AK11" s="8" t="s">
        <v>258</v>
      </c>
      <c r="AL11" s="8"/>
      <c r="AM11" s="8"/>
      <c r="AN11" s="8"/>
      <c r="AO11" s="8"/>
      <c r="AP11" s="8"/>
      <c r="AQ11" s="8"/>
      <c r="AR11" s="8"/>
      <c r="AS11" s="8"/>
      <c r="AT11" s="8"/>
      <c r="AU11" s="8"/>
      <c r="AV11" s="8"/>
      <c r="AW11" s="8"/>
      <c r="AX11" s="8"/>
      <c r="AY11" s="8"/>
      <c r="AZ11" s="8"/>
      <c r="BA11" s="8"/>
      <c r="BB11" s="8"/>
      <c r="BC11" s="8"/>
      <c r="BD11" s="8"/>
      <c r="BE11" s="8"/>
      <c r="BF11" s="8"/>
      <c r="BG11" s="8"/>
      <c r="BH11" s="8"/>
      <c r="BI11" s="8"/>
      <c r="BJ11" s="8"/>
      <c r="BK11" s="8"/>
      <c r="BL11" s="8"/>
      <c r="BM11" s="8"/>
      <c r="BN11" s="8"/>
      <c r="BO11" s="8"/>
      <c r="BP11" s="8"/>
      <c r="BQ11" s="8"/>
      <c r="BR11" s="8"/>
      <c r="BS11" s="8"/>
      <c r="BT11" s="8"/>
      <c r="BU11" s="8"/>
      <c r="BV11" s="8"/>
      <c r="BW11" s="8"/>
      <c r="BX11" s="8"/>
      <c r="BY11" s="8"/>
      <c r="BZ11" s="8"/>
    </row>
    <row r="12" spans="1:78" ht="13" customHeight="1" x14ac:dyDescent="0.15">
      <c r="A12" s="8" t="s">
        <v>6188</v>
      </c>
      <c r="B12" s="8" t="s">
        <v>74</v>
      </c>
      <c r="C12" s="9">
        <v>2020</v>
      </c>
      <c r="D12" s="8" t="s">
        <v>271</v>
      </c>
      <c r="E12" s="8" t="s">
        <v>272</v>
      </c>
      <c r="F12" s="8" t="s">
        <v>273</v>
      </c>
      <c r="G12" s="8" t="str" cm="1">
        <f t="array" ref="G12">LOWER(CleanCode(F12))</f>
        <v>psychologyofworkingtheorywithrefugeepersonsapplicationsforcareercounseling</v>
      </c>
      <c r="H12" s="8"/>
      <c r="I12" s="8"/>
      <c r="J12" s="8" t="s">
        <v>277</v>
      </c>
      <c r="K12" s="8"/>
      <c r="L12" s="8"/>
      <c r="M12" s="8" t="s">
        <v>274</v>
      </c>
      <c r="N12" s="8" t="str">
        <f t="shared" si="0"/>
        <v>Journal Of Career Development</v>
      </c>
      <c r="O12" s="8" t="s">
        <v>281</v>
      </c>
      <c r="P12" s="8" t="s">
        <v>282</v>
      </c>
      <c r="Q12" s="8" t="s">
        <v>69</v>
      </c>
      <c r="R12" s="8"/>
      <c r="S12" s="8">
        <v>47</v>
      </c>
      <c r="T12" s="8">
        <v>5</v>
      </c>
      <c r="U12" s="8">
        <v>592</v>
      </c>
      <c r="V12" s="8">
        <v>605</v>
      </c>
      <c r="W12" s="8">
        <v>14</v>
      </c>
      <c r="X12" s="8"/>
      <c r="Y12" s="8">
        <v>69</v>
      </c>
      <c r="Z12" s="8">
        <v>2</v>
      </c>
      <c r="AA12" s="8">
        <v>2</v>
      </c>
      <c r="AB12" s="8">
        <v>1</v>
      </c>
      <c r="AC12" s="8">
        <v>1</v>
      </c>
      <c r="AD12" s="8" t="s">
        <v>290</v>
      </c>
      <c r="AE12" s="8" t="s">
        <v>286</v>
      </c>
      <c r="AF12" s="8" t="s">
        <v>69</v>
      </c>
      <c r="AG12" s="8" t="s">
        <v>180</v>
      </c>
      <c r="AH12" s="8" t="s">
        <v>181</v>
      </c>
      <c r="AI12" s="8" t="s">
        <v>182</v>
      </c>
      <c r="AJ12" s="8" t="s">
        <v>276</v>
      </c>
      <c r="AK12" s="8" t="s">
        <v>275</v>
      </c>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row>
    <row r="13" spans="1:78" ht="13" customHeight="1" x14ac:dyDescent="0.15">
      <c r="A13" s="8" t="s">
        <v>6188</v>
      </c>
      <c r="B13" s="8" t="s">
        <v>100</v>
      </c>
      <c r="C13" s="9" t="s">
        <v>69</v>
      </c>
      <c r="D13" s="8" t="s">
        <v>291</v>
      </c>
      <c r="E13" s="8" t="s">
        <v>292</v>
      </c>
      <c r="F13" s="8" t="s">
        <v>293</v>
      </c>
      <c r="G13" s="8" t="str" cm="1">
        <f t="array" ref="G13">LOWER(CleanCode(F13))</f>
        <v>understandingintimatepartnerviolenceamongimmigrantandrefugeewomenagroundedtheoryanalysis</v>
      </c>
      <c r="H13" s="8"/>
      <c r="I13" s="8"/>
      <c r="J13" s="8" t="s">
        <v>297</v>
      </c>
      <c r="K13" s="8"/>
      <c r="L13" s="8"/>
      <c r="M13" s="8" t="s">
        <v>294</v>
      </c>
      <c r="N13" s="8" t="str">
        <f t="shared" si="0"/>
        <v>Journal Of Aggression Maltreatment &amp; Trauma</v>
      </c>
      <c r="O13" s="8" t="s">
        <v>304</v>
      </c>
      <c r="P13" s="8" t="s">
        <v>305</v>
      </c>
      <c r="Q13" s="8" t="s">
        <v>69</v>
      </c>
      <c r="R13" s="8"/>
      <c r="S13" s="8" t="s">
        <v>69</v>
      </c>
      <c r="T13" s="8" t="s">
        <v>69</v>
      </c>
      <c r="U13" s="8" t="s">
        <v>69</v>
      </c>
      <c r="V13" s="8" t="s">
        <v>69</v>
      </c>
      <c r="W13" s="8">
        <v>19</v>
      </c>
      <c r="X13" s="8"/>
      <c r="Y13" s="8">
        <v>40</v>
      </c>
      <c r="Z13" s="8">
        <v>1</v>
      </c>
      <c r="AA13" s="8">
        <v>1</v>
      </c>
      <c r="AB13" s="8">
        <v>4</v>
      </c>
      <c r="AC13" s="8">
        <v>4</v>
      </c>
      <c r="AD13" s="8" t="s">
        <v>313</v>
      </c>
      <c r="AE13" s="8" t="s">
        <v>308</v>
      </c>
      <c r="AF13" s="8" t="s">
        <v>69</v>
      </c>
      <c r="AG13" s="8" t="s">
        <v>108</v>
      </c>
      <c r="AH13" s="8" t="s">
        <v>109</v>
      </c>
      <c r="AI13" s="8" t="s">
        <v>110</v>
      </c>
      <c r="AJ13" s="8" t="s">
        <v>296</v>
      </c>
      <c r="AK13" s="8" t="s">
        <v>295</v>
      </c>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row>
    <row r="14" spans="1:78" ht="13" customHeight="1" x14ac:dyDescent="0.15">
      <c r="A14" s="8" t="s">
        <v>6188</v>
      </c>
      <c r="B14" s="8" t="s">
        <v>318</v>
      </c>
      <c r="C14" s="9">
        <v>2020</v>
      </c>
      <c r="D14" s="8" t="s">
        <v>314</v>
      </c>
      <c r="E14" s="8" t="s">
        <v>315</v>
      </c>
      <c r="F14" s="8" t="s">
        <v>316</v>
      </c>
      <c r="G14" s="8" t="str" cm="1">
        <f t="array" ref="G14">LOWER(CleanCode(F14))</f>
        <v>impactofcultureonrefugeewomensconceptualizationandexperienceofpostpartumdepressioninhighincomecountriesofresettlementascopingreview</v>
      </c>
      <c r="H14" s="8"/>
      <c r="I14" s="8"/>
      <c r="J14" s="8" t="s">
        <v>320</v>
      </c>
      <c r="K14" s="8"/>
      <c r="L14" s="8"/>
      <c r="M14" s="8" t="s">
        <v>317</v>
      </c>
      <c r="N14" s="8" t="str">
        <f t="shared" si="0"/>
        <v>Plos One</v>
      </c>
      <c r="O14" s="8" t="s">
        <v>327</v>
      </c>
      <c r="P14" s="8" t="s">
        <v>69</v>
      </c>
      <c r="Q14" s="8" t="s">
        <v>69</v>
      </c>
      <c r="R14" s="8"/>
      <c r="S14" s="8">
        <v>15</v>
      </c>
      <c r="T14" s="8">
        <v>9</v>
      </c>
      <c r="U14" s="8" t="s">
        <v>69</v>
      </c>
      <c r="V14" s="8" t="s">
        <v>69</v>
      </c>
      <c r="W14" s="8">
        <v>21</v>
      </c>
      <c r="X14" s="8"/>
      <c r="Y14" s="8">
        <v>35</v>
      </c>
      <c r="Z14" s="8">
        <v>0</v>
      </c>
      <c r="AA14" s="8">
        <v>0</v>
      </c>
      <c r="AB14" s="8">
        <v>1</v>
      </c>
      <c r="AC14" s="8">
        <v>1</v>
      </c>
      <c r="AD14" s="8" t="s">
        <v>335</v>
      </c>
      <c r="AE14" s="8" t="s">
        <v>331</v>
      </c>
      <c r="AF14" s="8">
        <v>32870929</v>
      </c>
      <c r="AG14" s="8" t="s">
        <v>324</v>
      </c>
      <c r="AH14" s="8" t="s">
        <v>325</v>
      </c>
      <c r="AI14" s="8" t="s">
        <v>326</v>
      </c>
      <c r="AJ14" s="8" t="s">
        <v>319</v>
      </c>
      <c r="AK14" s="8" t="s">
        <v>69</v>
      </c>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row>
    <row r="15" spans="1:78" ht="13" customHeight="1" x14ac:dyDescent="0.15">
      <c r="A15" s="8" t="s">
        <v>6188</v>
      </c>
      <c r="B15" s="8" t="s">
        <v>74</v>
      </c>
      <c r="C15" s="9">
        <v>2020</v>
      </c>
      <c r="D15" s="8" t="s">
        <v>337</v>
      </c>
      <c r="E15" s="8" t="s">
        <v>338</v>
      </c>
      <c r="F15" s="8" t="s">
        <v>339</v>
      </c>
      <c r="G15" s="8" t="str" cm="1">
        <f t="array" ref="G15">LOWER(CleanCode(F15))</f>
        <v>religiousdiscriminationinyoungmuslimassimilationinspaincontributionstoportesandrumbautssegmentedassimilationtheory</v>
      </c>
      <c r="H15" s="8"/>
      <c r="I15" s="8"/>
      <c r="J15" s="8" t="s">
        <v>343</v>
      </c>
      <c r="K15" s="8"/>
      <c r="L15" s="8"/>
      <c r="M15" s="8" t="s">
        <v>340</v>
      </c>
      <c r="N15" s="8" t="str">
        <f t="shared" si="0"/>
        <v>Social Compass</v>
      </c>
      <c r="O15" s="8" t="s">
        <v>351</v>
      </c>
      <c r="P15" s="8" t="s">
        <v>352</v>
      </c>
      <c r="Q15" s="8" t="s">
        <v>69</v>
      </c>
      <c r="R15" s="8"/>
      <c r="S15" s="8">
        <v>67</v>
      </c>
      <c r="T15" s="8">
        <v>4</v>
      </c>
      <c r="U15" s="8">
        <v>599</v>
      </c>
      <c r="V15" s="8">
        <v>616</v>
      </c>
      <c r="W15" s="8">
        <v>18</v>
      </c>
      <c r="X15" s="8"/>
      <c r="Y15" s="8">
        <v>42</v>
      </c>
      <c r="Z15" s="8">
        <v>0</v>
      </c>
      <c r="AA15" s="8">
        <v>0</v>
      </c>
      <c r="AB15" s="8">
        <v>3</v>
      </c>
      <c r="AC15" s="8">
        <v>4</v>
      </c>
      <c r="AD15" s="8" t="s">
        <v>361</v>
      </c>
      <c r="AE15" s="8" t="s">
        <v>357</v>
      </c>
      <c r="AF15" s="8" t="s">
        <v>69</v>
      </c>
      <c r="AG15" s="8" t="s">
        <v>155</v>
      </c>
      <c r="AH15" s="8" t="s">
        <v>156</v>
      </c>
      <c r="AI15" s="8" t="s">
        <v>157</v>
      </c>
      <c r="AJ15" s="8" t="s">
        <v>342</v>
      </c>
      <c r="AK15" s="8" t="s">
        <v>341</v>
      </c>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row>
    <row r="16" spans="1:78" ht="13" customHeight="1" x14ac:dyDescent="0.15">
      <c r="A16" s="8" t="s">
        <v>6188</v>
      </c>
      <c r="B16" s="8" t="s">
        <v>74</v>
      </c>
      <c r="C16" s="9">
        <v>2020</v>
      </c>
      <c r="D16" s="8" t="s">
        <v>362</v>
      </c>
      <c r="E16" s="8" t="s">
        <v>363</v>
      </c>
      <c r="F16" s="8" t="s">
        <v>364</v>
      </c>
      <c r="G16" s="8" t="str" cm="1">
        <f t="array" ref="G16">LOWER(CleanCode(F16))</f>
        <v>applicationoftheminoritystresstheoryunderstandingthementalhealthofundocumentedlatinximmigrants</v>
      </c>
      <c r="H16" s="8"/>
      <c r="I16" s="8"/>
      <c r="J16" s="8" t="s">
        <v>368</v>
      </c>
      <c r="K16" s="8"/>
      <c r="L16" s="8"/>
      <c r="M16" s="8" t="s">
        <v>365</v>
      </c>
      <c r="N16" s="8" t="str">
        <f t="shared" si="0"/>
        <v>American Journal Of Community Psychology</v>
      </c>
      <c r="O16" s="8" t="s">
        <v>375</v>
      </c>
      <c r="P16" s="8" t="s">
        <v>376</v>
      </c>
      <c r="Q16" s="8" t="s">
        <v>69</v>
      </c>
      <c r="R16" s="8"/>
      <c r="S16" s="8">
        <v>66</v>
      </c>
      <c r="T16" s="8" t="s">
        <v>379</v>
      </c>
      <c r="U16" s="8">
        <v>325</v>
      </c>
      <c r="V16" s="8">
        <v>336</v>
      </c>
      <c r="W16" s="8">
        <v>12</v>
      </c>
      <c r="X16" s="8"/>
      <c r="Y16" s="8">
        <v>38</v>
      </c>
      <c r="Z16" s="8">
        <v>4</v>
      </c>
      <c r="AA16" s="8">
        <v>4</v>
      </c>
      <c r="AB16" s="8">
        <v>4</v>
      </c>
      <c r="AC16" s="8">
        <v>9</v>
      </c>
      <c r="AD16" s="8" t="s">
        <v>384</v>
      </c>
      <c r="AE16" s="8" t="s">
        <v>380</v>
      </c>
      <c r="AF16" s="8">
        <v>32776579</v>
      </c>
      <c r="AG16" s="8" t="s">
        <v>223</v>
      </c>
      <c r="AH16" s="8" t="s">
        <v>224</v>
      </c>
      <c r="AI16" s="8" t="s">
        <v>225</v>
      </c>
      <c r="AJ16" s="8" t="s">
        <v>367</v>
      </c>
      <c r="AK16" s="8" t="s">
        <v>366</v>
      </c>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row>
    <row r="17" spans="1:78" ht="13" customHeight="1" x14ac:dyDescent="0.15">
      <c r="A17" s="8" t="s">
        <v>6188</v>
      </c>
      <c r="B17" s="8" t="s">
        <v>74</v>
      </c>
      <c r="C17" s="9">
        <v>2020</v>
      </c>
      <c r="D17" s="8" t="s">
        <v>385</v>
      </c>
      <c r="E17" s="8" t="s">
        <v>386</v>
      </c>
      <c r="F17" s="8" t="s">
        <v>387</v>
      </c>
      <c r="G17" s="8" t="str" cm="1">
        <f t="array" ref="G17">LOWER(CleanCode(F17))</f>
        <v>understandingmuslimassimilationinamericaanexploratoryassessmentoffirstsecondgenerationmuslimsusingsegmentedassimilationtheory</v>
      </c>
      <c r="H17" s="8"/>
      <c r="I17" s="8"/>
      <c r="J17" s="8" t="s">
        <v>391</v>
      </c>
      <c r="K17" s="8"/>
      <c r="L17" s="8"/>
      <c r="M17" s="8" t="s">
        <v>388</v>
      </c>
      <c r="N17" s="8" t="str">
        <f t="shared" si="0"/>
        <v>Journal Of Muslim Minority Affairs</v>
      </c>
      <c r="O17" s="8" t="s">
        <v>394</v>
      </c>
      <c r="P17" s="8" t="s">
        <v>395</v>
      </c>
      <c r="Q17" s="8" t="s">
        <v>69</v>
      </c>
      <c r="R17" s="8"/>
      <c r="S17" s="8">
        <v>40</v>
      </c>
      <c r="T17" s="8">
        <v>2</v>
      </c>
      <c r="U17" s="8">
        <v>217</v>
      </c>
      <c r="V17" s="8">
        <v>234</v>
      </c>
      <c r="W17" s="8">
        <v>18</v>
      </c>
      <c r="X17" s="8"/>
      <c r="Y17" s="8">
        <v>41</v>
      </c>
      <c r="Z17" s="8">
        <v>1</v>
      </c>
      <c r="AA17" s="8">
        <v>1</v>
      </c>
      <c r="AB17" s="8">
        <v>1</v>
      </c>
      <c r="AC17" s="8">
        <v>2</v>
      </c>
      <c r="AD17" s="8" t="s">
        <v>403</v>
      </c>
      <c r="AE17" s="8" t="s">
        <v>399</v>
      </c>
      <c r="AF17" s="8" t="s">
        <v>69</v>
      </c>
      <c r="AG17" s="8" t="s">
        <v>108</v>
      </c>
      <c r="AH17" s="8" t="s">
        <v>109</v>
      </c>
      <c r="AI17" s="8" t="s">
        <v>110</v>
      </c>
      <c r="AJ17" s="8" t="s">
        <v>390</v>
      </c>
      <c r="AK17" s="8" t="s">
        <v>389</v>
      </c>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row>
    <row r="18" spans="1:78" ht="13" customHeight="1" x14ac:dyDescent="0.15">
      <c r="A18" s="8" t="s">
        <v>6188</v>
      </c>
      <c r="B18" s="8" t="s">
        <v>74</v>
      </c>
      <c r="C18" s="9">
        <v>2020</v>
      </c>
      <c r="D18" s="8" t="s">
        <v>404</v>
      </c>
      <c r="E18" s="8" t="s">
        <v>405</v>
      </c>
      <c r="F18" s="8" t="s">
        <v>406</v>
      </c>
      <c r="G18" s="8" t="str" cm="1">
        <f t="array" ref="G18">LOWER(CleanCode(F18))</f>
        <v>conceptualizingethnicityhowdimensionsofethnicityaffectdisparitiesinhealthoutcomesamonglatinxsintheunitedstates</v>
      </c>
      <c r="H18" s="8"/>
      <c r="I18" s="8"/>
      <c r="J18" s="8" t="s">
        <v>410</v>
      </c>
      <c r="K18" s="8"/>
      <c r="L18" s="8"/>
      <c r="M18" s="8" t="s">
        <v>407</v>
      </c>
      <c r="N18" s="8" t="str">
        <f t="shared" si="0"/>
        <v>Ethnicity &amp; Disease</v>
      </c>
      <c r="O18" s="8" t="s">
        <v>418</v>
      </c>
      <c r="P18" s="8" t="s">
        <v>419</v>
      </c>
      <c r="Q18" s="8" t="s">
        <v>69</v>
      </c>
      <c r="R18" s="8"/>
      <c r="S18" s="8">
        <v>30</v>
      </c>
      <c r="T18" s="8">
        <v>3</v>
      </c>
      <c r="U18" s="8">
        <v>489</v>
      </c>
      <c r="V18" s="8">
        <v>500</v>
      </c>
      <c r="W18" s="8">
        <v>12</v>
      </c>
      <c r="X18" s="8"/>
      <c r="Y18" s="8">
        <v>37</v>
      </c>
      <c r="Z18" s="8">
        <v>0</v>
      </c>
      <c r="AA18" s="8">
        <v>0</v>
      </c>
      <c r="AB18" s="8">
        <v>1</v>
      </c>
      <c r="AC18" s="8">
        <v>1</v>
      </c>
      <c r="AD18" s="8" t="s">
        <v>426</v>
      </c>
      <c r="AE18" s="8" t="s">
        <v>423</v>
      </c>
      <c r="AF18" s="8">
        <v>32742154</v>
      </c>
      <c r="AG18" s="8" t="s">
        <v>415</v>
      </c>
      <c r="AH18" s="8" t="s">
        <v>416</v>
      </c>
      <c r="AI18" s="8" t="s">
        <v>417</v>
      </c>
      <c r="AJ18" s="8" t="s">
        <v>409</v>
      </c>
      <c r="AK18" s="8" t="s">
        <v>408</v>
      </c>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row>
    <row r="19" spans="1:78" ht="13" customHeight="1" x14ac:dyDescent="0.15">
      <c r="A19" s="8" t="s">
        <v>6188</v>
      </c>
      <c r="B19" s="8" t="s">
        <v>74</v>
      </c>
      <c r="C19" s="9">
        <v>2020</v>
      </c>
      <c r="D19" s="8" t="s">
        <v>428</v>
      </c>
      <c r="E19" s="8" t="s">
        <v>429</v>
      </c>
      <c r="F19" s="8" t="s">
        <v>430</v>
      </c>
      <c r="G19" s="8" t="str" cm="1">
        <f t="array" ref="G19">LOWER(CleanCode(F19))</f>
        <v>noaustrianmotherdoesthistosleepwithoutababypostnatalacculturativestressanddoingthemonthamongeastasianwomeninaustriarevisitingacculturationtheoriesfromaqualitativeperspective</v>
      </c>
      <c r="H19" s="8"/>
      <c r="I19" s="8"/>
      <c r="J19" s="8" t="s">
        <v>434</v>
      </c>
      <c r="K19" s="8"/>
      <c r="L19" s="8"/>
      <c r="M19" s="8" t="s">
        <v>431</v>
      </c>
      <c r="N19" s="8" t="str">
        <f t="shared" si="0"/>
        <v>Frontiers In Psychology</v>
      </c>
      <c r="O19" s="8" t="s">
        <v>444</v>
      </c>
      <c r="P19" s="8" t="s">
        <v>69</v>
      </c>
      <c r="Q19" s="8" t="s">
        <v>69</v>
      </c>
      <c r="R19" s="8"/>
      <c r="S19" s="8">
        <v>11</v>
      </c>
      <c r="T19" s="8" t="s">
        <v>69</v>
      </c>
      <c r="U19" s="8" t="s">
        <v>69</v>
      </c>
      <c r="V19" s="8" t="s">
        <v>69</v>
      </c>
      <c r="W19" s="8">
        <v>17</v>
      </c>
      <c r="X19" s="8"/>
      <c r="Y19" s="8">
        <v>82</v>
      </c>
      <c r="Z19" s="8">
        <v>0</v>
      </c>
      <c r="AA19" s="8">
        <v>0</v>
      </c>
      <c r="AB19" s="8">
        <v>0</v>
      </c>
      <c r="AC19" s="8">
        <v>0</v>
      </c>
      <c r="AD19" s="8" t="s">
        <v>451</v>
      </c>
      <c r="AE19" s="8" t="s">
        <v>448</v>
      </c>
      <c r="AF19" s="8">
        <v>32477230</v>
      </c>
      <c r="AG19" s="8" t="s">
        <v>441</v>
      </c>
      <c r="AH19" s="8" t="s">
        <v>442</v>
      </c>
      <c r="AI19" s="8" t="s">
        <v>443</v>
      </c>
      <c r="AJ19" s="8" t="s">
        <v>433</v>
      </c>
      <c r="AK19" s="8" t="s">
        <v>432</v>
      </c>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row>
    <row r="20" spans="1:78" ht="13" customHeight="1" x14ac:dyDescent="0.15">
      <c r="A20" s="8" t="s">
        <v>6188</v>
      </c>
      <c r="B20" s="8" t="s">
        <v>74</v>
      </c>
      <c r="C20" s="9">
        <v>2020</v>
      </c>
      <c r="D20" s="8" t="s">
        <v>452</v>
      </c>
      <c r="E20" s="8" t="s">
        <v>453</v>
      </c>
      <c r="F20" s="8" t="s">
        <v>454</v>
      </c>
      <c r="G20" s="8" t="str" cm="1">
        <f t="array" ref="G20">LOWER(CleanCode(F20))</f>
        <v>fromculturalmemorytomemorystransculturationatheoreticalpath</v>
      </c>
      <c r="H20" s="8"/>
      <c r="I20" s="8"/>
      <c r="J20" s="8" t="s">
        <v>458</v>
      </c>
      <c r="K20" s="8"/>
      <c r="L20" s="8"/>
      <c r="M20" s="8" t="s">
        <v>455</v>
      </c>
      <c r="N20" s="8" t="str">
        <f t="shared" si="0"/>
        <v>Revista Chilena De Literatura</v>
      </c>
      <c r="O20" s="8" t="s">
        <v>465</v>
      </c>
      <c r="P20" s="8" t="s">
        <v>69</v>
      </c>
      <c r="Q20" s="8" t="s">
        <v>69</v>
      </c>
      <c r="R20" s="8"/>
      <c r="S20" s="8" t="s">
        <v>69</v>
      </c>
      <c r="T20" s="8">
        <v>101</v>
      </c>
      <c r="U20" s="8">
        <v>379</v>
      </c>
      <c r="V20" s="8">
        <v>404</v>
      </c>
      <c r="W20" s="8">
        <v>26</v>
      </c>
      <c r="X20" s="8"/>
      <c r="Y20" s="8">
        <v>62</v>
      </c>
      <c r="Z20" s="8">
        <v>0</v>
      </c>
      <c r="AA20" s="8">
        <v>0</v>
      </c>
      <c r="AB20" s="8">
        <v>0</v>
      </c>
      <c r="AC20" s="8">
        <v>3</v>
      </c>
      <c r="AD20" s="8" t="s">
        <v>472</v>
      </c>
      <c r="AE20" s="8" t="s">
        <v>69</v>
      </c>
      <c r="AF20" s="8" t="s">
        <v>69</v>
      </c>
      <c r="AG20" s="8" t="s">
        <v>462</v>
      </c>
      <c r="AH20" s="8" t="s">
        <v>463</v>
      </c>
      <c r="AI20" s="8" t="s">
        <v>464</v>
      </c>
      <c r="AJ20" s="8" t="s">
        <v>69</v>
      </c>
      <c r="AK20" s="8" t="s">
        <v>457</v>
      </c>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row>
    <row r="21" spans="1:78" ht="13" customHeight="1" x14ac:dyDescent="0.15">
      <c r="A21" s="8" t="s">
        <v>6188</v>
      </c>
      <c r="B21" s="8" t="s">
        <v>74</v>
      </c>
      <c r="C21" s="9">
        <v>2020</v>
      </c>
      <c r="D21" s="8" t="s">
        <v>473</v>
      </c>
      <c r="E21" s="8" t="s">
        <v>474</v>
      </c>
      <c r="F21" s="8" t="s">
        <v>475</v>
      </c>
      <c r="G21" s="8" t="str" cm="1">
        <f t="array" ref="G21">LOWER(CleanCode(F21))</f>
        <v>multifocalintegrationandmarginalisationatheoreticalmodelandanempiricalstudyonthreeimmigrantgroups</v>
      </c>
      <c r="H21" s="8"/>
      <c r="I21" s="8"/>
      <c r="J21" s="8" t="s">
        <v>479</v>
      </c>
      <c r="K21" s="8"/>
      <c r="L21" s="8"/>
      <c r="M21" s="8" t="s">
        <v>476</v>
      </c>
      <c r="N21" s="8" t="str">
        <f t="shared" si="0"/>
        <v>Sociology-The Journal Of The British Sociological Association</v>
      </c>
      <c r="O21" s="8" t="s">
        <v>486</v>
      </c>
      <c r="P21" s="8" t="s">
        <v>487</v>
      </c>
      <c r="Q21" s="8" t="s">
        <v>69</v>
      </c>
      <c r="R21" s="8"/>
      <c r="S21" s="8">
        <v>54</v>
      </c>
      <c r="T21" s="8">
        <v>4</v>
      </c>
      <c r="U21" s="8">
        <v>782</v>
      </c>
      <c r="V21" s="8">
        <v>805</v>
      </c>
      <c r="W21" s="8">
        <v>24</v>
      </c>
      <c r="X21" s="8"/>
      <c r="Y21" s="8">
        <v>82</v>
      </c>
      <c r="Z21" s="8">
        <v>0</v>
      </c>
      <c r="AA21" s="8">
        <v>0</v>
      </c>
      <c r="AB21" s="8">
        <v>3</v>
      </c>
      <c r="AC21" s="8">
        <v>6</v>
      </c>
      <c r="AD21" s="8" t="s">
        <v>495</v>
      </c>
      <c r="AE21" s="8" t="s">
        <v>491</v>
      </c>
      <c r="AF21" s="8" t="s">
        <v>69</v>
      </c>
      <c r="AG21" s="8" t="s">
        <v>155</v>
      </c>
      <c r="AH21" s="8" t="s">
        <v>156</v>
      </c>
      <c r="AI21" s="8" t="s">
        <v>157</v>
      </c>
      <c r="AJ21" s="8" t="s">
        <v>478</v>
      </c>
      <c r="AK21" s="8" t="s">
        <v>477</v>
      </c>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row>
    <row r="22" spans="1:78" ht="13" customHeight="1" x14ac:dyDescent="0.15">
      <c r="A22" s="8" t="s">
        <v>6188</v>
      </c>
      <c r="B22" s="8" t="s">
        <v>74</v>
      </c>
      <c r="C22" s="9">
        <v>2020</v>
      </c>
      <c r="D22" s="8" t="s">
        <v>497</v>
      </c>
      <c r="E22" s="8" t="s">
        <v>498</v>
      </c>
      <c r="F22" s="8" t="s">
        <v>499</v>
      </c>
      <c r="G22" s="8" t="str" cm="1">
        <f t="array" ref="G22">LOWER(CleanCode(F22))</f>
        <v>explainingtheculturalretentiondelinquencyrelationshipusingdifferentialsupportandcoerciontheoryastudyofnativebornandimmigrantlatinoyouth</v>
      </c>
      <c r="H22" s="8"/>
      <c r="I22" s="8"/>
      <c r="J22" s="8" t="s">
        <v>502</v>
      </c>
      <c r="K22" s="8"/>
      <c r="L22" s="8"/>
      <c r="M22" s="8" t="s">
        <v>500</v>
      </c>
      <c r="N22" s="8" t="str">
        <f t="shared" si="0"/>
        <v>Social Science Quarterly</v>
      </c>
      <c r="O22" s="8" t="s">
        <v>507</v>
      </c>
      <c r="P22" s="8" t="s">
        <v>508</v>
      </c>
      <c r="Q22" s="8" t="s">
        <v>69</v>
      </c>
      <c r="R22" s="8"/>
      <c r="S22" s="8">
        <v>101</v>
      </c>
      <c r="T22" s="8">
        <v>2</v>
      </c>
      <c r="U22" s="8">
        <v>623</v>
      </c>
      <c r="V22" s="8">
        <v>640</v>
      </c>
      <c r="W22" s="8">
        <v>18</v>
      </c>
      <c r="X22" s="8"/>
      <c r="Y22" s="8">
        <v>68</v>
      </c>
      <c r="Z22" s="8">
        <v>0</v>
      </c>
      <c r="AA22" s="8">
        <v>0</v>
      </c>
      <c r="AB22" s="8">
        <v>0</v>
      </c>
      <c r="AC22" s="8">
        <v>2</v>
      </c>
      <c r="AD22" s="8" t="s">
        <v>517</v>
      </c>
      <c r="AE22" s="8" t="s">
        <v>512</v>
      </c>
      <c r="AF22" s="8" t="s">
        <v>69</v>
      </c>
      <c r="AG22" s="8" t="s">
        <v>223</v>
      </c>
      <c r="AH22" s="8" t="s">
        <v>224</v>
      </c>
      <c r="AI22" s="8" t="s">
        <v>225</v>
      </c>
      <c r="AJ22" s="8" t="s">
        <v>501</v>
      </c>
      <c r="AK22" s="8" t="s">
        <v>69</v>
      </c>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row>
    <row r="23" spans="1:78" ht="13" customHeight="1" x14ac:dyDescent="0.15">
      <c r="A23" s="8" t="s">
        <v>6188</v>
      </c>
      <c r="B23" s="8" t="s">
        <v>74</v>
      </c>
      <c r="C23" s="9">
        <v>2020</v>
      </c>
      <c r="D23" s="8" t="s">
        <v>518</v>
      </c>
      <c r="E23" s="8" t="s">
        <v>519</v>
      </c>
      <c r="F23" s="8" t="s">
        <v>520</v>
      </c>
      <c r="G23" s="8" t="str" cm="1">
        <f t="array" ref="G23">LOWER(CleanCode(F23))</f>
        <v>internationalmigrationandhealthitistimetogobeyondconventionaltheoreticalframeworks</v>
      </c>
      <c r="H23" s="8"/>
      <c r="I23" s="8"/>
      <c r="J23" s="8" t="s">
        <v>523</v>
      </c>
      <c r="K23" s="8"/>
      <c r="L23" s="8"/>
      <c r="M23" s="8" t="s">
        <v>521</v>
      </c>
      <c r="N23" s="8" t="str">
        <f t="shared" si="0"/>
        <v>Bmj Global Health</v>
      </c>
      <c r="O23" s="8" t="s">
        <v>532</v>
      </c>
      <c r="P23" s="8" t="s">
        <v>69</v>
      </c>
      <c r="Q23" s="8" t="s">
        <v>69</v>
      </c>
      <c r="R23" s="8"/>
      <c r="S23" s="8">
        <v>5</v>
      </c>
      <c r="T23" s="8">
        <v>2</v>
      </c>
      <c r="U23" s="8" t="s">
        <v>69</v>
      </c>
      <c r="V23" s="8" t="s">
        <v>69</v>
      </c>
      <c r="W23" s="8">
        <v>7</v>
      </c>
      <c r="X23" s="8"/>
      <c r="Y23" s="8">
        <v>66</v>
      </c>
      <c r="Z23" s="8">
        <v>5</v>
      </c>
      <c r="AA23" s="8">
        <v>5</v>
      </c>
      <c r="AB23" s="8">
        <v>0</v>
      </c>
      <c r="AC23" s="8">
        <v>0</v>
      </c>
      <c r="AD23" s="8" t="s">
        <v>539</v>
      </c>
      <c r="AE23" s="8" t="s">
        <v>537</v>
      </c>
      <c r="AF23" s="8">
        <v>32180999</v>
      </c>
      <c r="AG23" s="8" t="s">
        <v>530</v>
      </c>
      <c r="AH23" s="8" t="s">
        <v>156</v>
      </c>
      <c r="AI23" s="8" t="s">
        <v>531</v>
      </c>
      <c r="AJ23" s="8" t="s">
        <v>522</v>
      </c>
      <c r="AK23" s="8" t="s">
        <v>69</v>
      </c>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row>
    <row r="24" spans="1:78" ht="13" customHeight="1" x14ac:dyDescent="0.15">
      <c r="A24" s="8" t="s">
        <v>6188</v>
      </c>
      <c r="B24" s="8" t="s">
        <v>74</v>
      </c>
      <c r="C24" s="9">
        <v>2020</v>
      </c>
      <c r="D24" s="8" t="s">
        <v>540</v>
      </c>
      <c r="E24" s="8" t="s">
        <v>541</v>
      </c>
      <c r="F24" s="8" t="s">
        <v>542</v>
      </c>
      <c r="G24" s="8" t="str" cm="1">
        <f t="array" ref="G24">LOWER(CleanCode(F24))</f>
        <v>socioculturallysensitivediseasepreventionandhealthpromotiondevelopmentofatheoreticalframeworkandresultsofasurveyofphysicalactivitypromotionprojects</v>
      </c>
      <c r="H24" s="8"/>
      <c r="I24" s="8"/>
      <c r="J24" s="8" t="s">
        <v>547</v>
      </c>
      <c r="K24" s="8"/>
      <c r="L24" s="8"/>
      <c r="M24" s="8" t="s">
        <v>543</v>
      </c>
      <c r="N24" s="8" t="str">
        <f t="shared" si="0"/>
        <v>Gesundheitswesen</v>
      </c>
      <c r="O24" s="8" t="s">
        <v>554</v>
      </c>
      <c r="P24" s="8" t="s">
        <v>555</v>
      </c>
      <c r="Q24" s="8" t="s">
        <v>69</v>
      </c>
      <c r="R24" s="8"/>
      <c r="S24" s="8">
        <v>82</v>
      </c>
      <c r="T24" s="8">
        <v>2</v>
      </c>
      <c r="U24" s="8">
        <v>202</v>
      </c>
      <c r="V24" s="8">
        <v>208</v>
      </c>
      <c r="W24" s="8">
        <v>7</v>
      </c>
      <c r="X24" s="8"/>
      <c r="Y24" s="8">
        <v>22</v>
      </c>
      <c r="Z24" s="8">
        <v>0</v>
      </c>
      <c r="AA24" s="8">
        <v>0</v>
      </c>
      <c r="AB24" s="8">
        <v>0</v>
      </c>
      <c r="AC24" s="8">
        <v>2</v>
      </c>
      <c r="AD24" s="8" t="s">
        <v>559</v>
      </c>
      <c r="AE24" s="8" t="s">
        <v>557</v>
      </c>
      <c r="AF24" s="8">
        <v>31822026</v>
      </c>
      <c r="AG24" s="8" t="s">
        <v>551</v>
      </c>
      <c r="AH24" s="8" t="s">
        <v>552</v>
      </c>
      <c r="AI24" s="8" t="s">
        <v>553</v>
      </c>
      <c r="AJ24" s="8" t="s">
        <v>546</v>
      </c>
      <c r="AK24" s="8" t="s">
        <v>545</v>
      </c>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row>
    <row r="25" spans="1:78" ht="13" customHeight="1" x14ac:dyDescent="0.15">
      <c r="A25" s="8" t="s">
        <v>6188</v>
      </c>
      <c r="B25" s="8" t="s">
        <v>74</v>
      </c>
      <c r="C25" s="9">
        <v>2020</v>
      </c>
      <c r="D25" s="8" t="s">
        <v>560</v>
      </c>
      <c r="E25" s="8" t="s">
        <v>561</v>
      </c>
      <c r="F25" s="8" t="s">
        <v>562</v>
      </c>
      <c r="G25" s="8" t="str" cm="1">
        <f t="array" ref="G25">LOWER(CleanCode(F25))</f>
        <v>attachmentfacilitatesacculturativelearningandadversitymoderatesvalidatingthetheoryofepistemictrustinanaturalexperiment</v>
      </c>
      <c r="H25" s="8"/>
      <c r="I25" s="8"/>
      <c r="J25" s="8" t="s">
        <v>566</v>
      </c>
      <c r="K25" s="8"/>
      <c r="L25" s="8"/>
      <c r="M25" s="8" t="s">
        <v>563</v>
      </c>
      <c r="N25" s="8" t="str">
        <f t="shared" si="0"/>
        <v>Child Psychiatry &amp; Human Development</v>
      </c>
      <c r="O25" s="8" t="s">
        <v>575</v>
      </c>
      <c r="P25" s="8" t="s">
        <v>576</v>
      </c>
      <c r="Q25" s="8" t="s">
        <v>69</v>
      </c>
      <c r="R25" s="8"/>
      <c r="S25" s="8">
        <v>51</v>
      </c>
      <c r="T25" s="8">
        <v>3</v>
      </c>
      <c r="U25" s="8">
        <v>471</v>
      </c>
      <c r="V25" s="8">
        <v>477</v>
      </c>
      <c r="W25" s="8">
        <v>7</v>
      </c>
      <c r="X25" s="8"/>
      <c r="Y25" s="8">
        <v>28</v>
      </c>
      <c r="Z25" s="8">
        <v>1</v>
      </c>
      <c r="AA25" s="8">
        <v>1</v>
      </c>
      <c r="AB25" s="8">
        <v>3</v>
      </c>
      <c r="AC25" s="8">
        <v>10</v>
      </c>
      <c r="AD25" s="8" t="s">
        <v>585</v>
      </c>
      <c r="AE25" s="8" t="s">
        <v>580</v>
      </c>
      <c r="AF25" s="8">
        <v>31981084</v>
      </c>
      <c r="AG25" s="8" t="s">
        <v>572</v>
      </c>
      <c r="AH25" s="8" t="s">
        <v>573</v>
      </c>
      <c r="AI25" s="8" t="s">
        <v>574</v>
      </c>
      <c r="AJ25" s="8" t="s">
        <v>565</v>
      </c>
      <c r="AK25" s="8" t="s">
        <v>564</v>
      </c>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row>
    <row r="26" spans="1:78" ht="13" customHeight="1" x14ac:dyDescent="0.15">
      <c r="A26" s="8" t="s">
        <v>6188</v>
      </c>
      <c r="B26" s="8" t="s">
        <v>74</v>
      </c>
      <c r="C26" s="9">
        <v>2020</v>
      </c>
      <c r="D26" s="8" t="s">
        <v>586</v>
      </c>
      <c r="E26" s="8" t="s">
        <v>587</v>
      </c>
      <c r="F26" s="8" t="s">
        <v>588</v>
      </c>
      <c r="G26" s="8" t="str" cm="1">
        <f t="array" ref="G26">LOWER(CleanCode(F26))</f>
        <v>mixedcouplesandtheirdescendantsinspainpatternsofmixednessandtheoreticalconsiderations</v>
      </c>
      <c r="H26" s="8"/>
      <c r="I26" s="8"/>
      <c r="J26" s="8" t="s">
        <v>592</v>
      </c>
      <c r="K26" s="8"/>
      <c r="L26" s="8"/>
      <c r="M26" s="8" t="s">
        <v>589</v>
      </c>
      <c r="N26" s="8" t="str">
        <f t="shared" si="0"/>
        <v>Anuario Cidob De La Inmigracion</v>
      </c>
      <c r="O26" s="8" t="s">
        <v>599</v>
      </c>
      <c r="P26" s="8" t="s">
        <v>600</v>
      </c>
      <c r="Q26" s="8" t="s">
        <v>69</v>
      </c>
      <c r="R26" s="8"/>
      <c r="S26" s="8" t="s">
        <v>69</v>
      </c>
      <c r="T26" s="8" t="s">
        <v>69</v>
      </c>
      <c r="U26" s="8">
        <v>168</v>
      </c>
      <c r="V26" s="8">
        <v>195</v>
      </c>
      <c r="W26" s="8">
        <v>28</v>
      </c>
      <c r="X26" s="8"/>
      <c r="Y26" s="8">
        <v>55</v>
      </c>
      <c r="Z26" s="8">
        <v>0</v>
      </c>
      <c r="AA26" s="8">
        <v>0</v>
      </c>
      <c r="AB26" s="8">
        <v>0</v>
      </c>
      <c r="AC26" s="8">
        <v>0</v>
      </c>
      <c r="AD26" s="8" t="s">
        <v>606</v>
      </c>
      <c r="AE26" s="8" t="s">
        <v>603</v>
      </c>
      <c r="AF26" s="8" t="s">
        <v>69</v>
      </c>
      <c r="AG26" s="8" t="s">
        <v>596</v>
      </c>
      <c r="AH26" s="8" t="s">
        <v>597</v>
      </c>
      <c r="AI26" s="8" t="s">
        <v>598</v>
      </c>
      <c r="AJ26" s="8" t="s">
        <v>591</v>
      </c>
      <c r="AK26" s="8" t="s">
        <v>590</v>
      </c>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row>
    <row r="27" spans="1:78" ht="13" customHeight="1" x14ac:dyDescent="0.15">
      <c r="A27" s="8" t="s">
        <v>6188</v>
      </c>
      <c r="B27" s="8" t="s">
        <v>74</v>
      </c>
      <c r="C27" s="9">
        <v>2020</v>
      </c>
      <c r="D27" s="8" t="s">
        <v>607</v>
      </c>
      <c r="E27" s="8" t="s">
        <v>608</v>
      </c>
      <c r="F27" s="8" t="s">
        <v>609</v>
      </c>
      <c r="G27" s="8" t="str" cm="1">
        <f t="array" ref="G27">LOWER(CleanCode(F27))</f>
        <v>theoryofartabstractionandprotestinthedominicanplasticartsduringthefirsttwodecadesofthetrujillosdictatorship19301952</v>
      </c>
      <c r="H27" s="8"/>
      <c r="I27" s="8"/>
      <c r="J27" s="8" t="s">
        <v>612</v>
      </c>
      <c r="K27" s="8"/>
      <c r="L27" s="8"/>
      <c r="M27" s="8" t="s">
        <v>610</v>
      </c>
      <c r="N27" s="8" t="str">
        <f t="shared" si="0"/>
        <v>Espacio Tiempo Y Forma Serie Vii-Historia Del Arte</v>
      </c>
      <c r="O27" s="8" t="s">
        <v>617</v>
      </c>
      <c r="P27" s="8" t="s">
        <v>618</v>
      </c>
      <c r="Q27" s="8" t="s">
        <v>69</v>
      </c>
      <c r="R27" s="8"/>
      <c r="S27" s="8" t="s">
        <v>69</v>
      </c>
      <c r="T27" s="8">
        <v>8</v>
      </c>
      <c r="U27" s="8">
        <v>485</v>
      </c>
      <c r="V27" s="8">
        <v>510</v>
      </c>
      <c r="W27" s="8">
        <v>26</v>
      </c>
      <c r="X27" s="8"/>
      <c r="Y27" s="8">
        <v>51</v>
      </c>
      <c r="Z27" s="8">
        <v>0</v>
      </c>
      <c r="AA27" s="8">
        <v>0</v>
      </c>
      <c r="AB27" s="8">
        <v>0</v>
      </c>
      <c r="AC27" s="8">
        <v>0</v>
      </c>
      <c r="AD27" s="8" t="s">
        <v>624</v>
      </c>
      <c r="AE27" s="8" t="s">
        <v>621</v>
      </c>
      <c r="AF27" s="8" t="s">
        <v>69</v>
      </c>
      <c r="AG27" s="8" t="s">
        <v>614</v>
      </c>
      <c r="AH27" s="8" t="s">
        <v>615</v>
      </c>
      <c r="AI27" s="8" t="s">
        <v>616</v>
      </c>
      <c r="AJ27" s="8" t="s">
        <v>69</v>
      </c>
      <c r="AK27" s="8" t="s">
        <v>611</v>
      </c>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row>
    <row r="28" spans="1:78" ht="13" customHeight="1" x14ac:dyDescent="0.15">
      <c r="A28" s="8" t="s">
        <v>6188</v>
      </c>
      <c r="B28" s="8" t="s">
        <v>100</v>
      </c>
      <c r="C28" s="9" t="s">
        <v>69</v>
      </c>
      <c r="D28" s="8" t="s">
        <v>625</v>
      </c>
      <c r="E28" s="8" t="s">
        <v>626</v>
      </c>
      <c r="F28" s="8" t="s">
        <v>627</v>
      </c>
      <c r="G28" s="8" t="str" cm="1">
        <f t="array" ref="G28">LOWER(CleanCode(F28))</f>
        <v>doesacculturationaffectonesimplicitleadershiptheoriesevidencefromchineseprofessionalsinaustraliaandchina</v>
      </c>
      <c r="H28" s="8"/>
      <c r="I28" s="8"/>
      <c r="J28" s="8" t="s">
        <v>631</v>
      </c>
      <c r="K28" s="8"/>
      <c r="L28" s="8"/>
      <c r="M28" s="8" t="s">
        <v>628</v>
      </c>
      <c r="N28" s="8" t="str">
        <f t="shared" si="0"/>
        <v>Asia Pacific Journal Of Management</v>
      </c>
      <c r="O28" s="8" t="s">
        <v>637</v>
      </c>
      <c r="P28" s="8" t="s">
        <v>638</v>
      </c>
      <c r="Q28" s="8" t="s">
        <v>69</v>
      </c>
      <c r="R28" s="8"/>
      <c r="S28" s="8" t="s">
        <v>69</v>
      </c>
      <c r="T28" s="8" t="s">
        <v>69</v>
      </c>
      <c r="U28" s="8" t="s">
        <v>69</v>
      </c>
      <c r="V28" s="8" t="s">
        <v>69</v>
      </c>
      <c r="W28" s="8">
        <v>23</v>
      </c>
      <c r="X28" s="8"/>
      <c r="Y28" s="8">
        <v>109</v>
      </c>
      <c r="Z28" s="8">
        <v>1</v>
      </c>
      <c r="AA28" s="8">
        <v>1</v>
      </c>
      <c r="AB28" s="8">
        <v>1</v>
      </c>
      <c r="AC28" s="8">
        <v>8</v>
      </c>
      <c r="AD28" s="8" t="s">
        <v>644</v>
      </c>
      <c r="AE28" s="8" t="s">
        <v>641</v>
      </c>
      <c r="AF28" s="8" t="s">
        <v>69</v>
      </c>
      <c r="AG28" s="8" t="s">
        <v>572</v>
      </c>
      <c r="AH28" s="8" t="s">
        <v>573</v>
      </c>
      <c r="AI28" s="8" t="s">
        <v>636</v>
      </c>
      <c r="AJ28" s="8" t="s">
        <v>630</v>
      </c>
      <c r="AK28" s="8" t="s">
        <v>629</v>
      </c>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row>
    <row r="29" spans="1:78" ht="13" customHeight="1" x14ac:dyDescent="0.15">
      <c r="A29" s="8" t="s">
        <v>6188</v>
      </c>
      <c r="B29" s="8" t="s">
        <v>74</v>
      </c>
      <c r="C29" s="9">
        <v>2019</v>
      </c>
      <c r="D29" s="8" t="s">
        <v>645</v>
      </c>
      <c r="E29" s="8" t="s">
        <v>646</v>
      </c>
      <c r="F29" s="8" t="s">
        <v>647</v>
      </c>
      <c r="G29" s="8" t="str" cm="1">
        <f t="array" ref="G29">LOWER(CleanCode(F29))</f>
        <v>acculturationoferasmusstudentsusingthemultidimensionalindividualdifferenceacculturationmodelframework</v>
      </c>
      <c r="H29" s="8"/>
      <c r="I29" s="8"/>
      <c r="J29" s="8" t="s">
        <v>651</v>
      </c>
      <c r="K29" s="8"/>
      <c r="L29" s="8"/>
      <c r="M29" s="8" t="s">
        <v>648</v>
      </c>
      <c r="N29" s="8" t="str">
        <f t="shared" si="0"/>
        <v>International Journal Of Psychology</v>
      </c>
      <c r="O29" s="8" t="s">
        <v>660</v>
      </c>
      <c r="P29" s="8" t="s">
        <v>661</v>
      </c>
      <c r="Q29" s="8" t="s">
        <v>69</v>
      </c>
      <c r="R29" s="8"/>
      <c r="S29" s="8">
        <v>54</v>
      </c>
      <c r="T29" s="8">
        <v>6</v>
      </c>
      <c r="U29" s="8">
        <v>739</v>
      </c>
      <c r="V29" s="8">
        <v>749</v>
      </c>
      <c r="W29" s="8">
        <v>11</v>
      </c>
      <c r="X29" s="8"/>
      <c r="Y29" s="8">
        <v>39</v>
      </c>
      <c r="Z29" s="8">
        <v>3</v>
      </c>
      <c r="AA29" s="8">
        <v>3</v>
      </c>
      <c r="AB29" s="8">
        <v>0</v>
      </c>
      <c r="AC29" s="8">
        <v>17</v>
      </c>
      <c r="AD29" s="8" t="s">
        <v>666</v>
      </c>
      <c r="AE29" s="8" t="s">
        <v>664</v>
      </c>
      <c r="AF29" s="8">
        <v>30171685</v>
      </c>
      <c r="AG29" s="8" t="s">
        <v>657</v>
      </c>
      <c r="AH29" s="8" t="s">
        <v>658</v>
      </c>
      <c r="AI29" s="8" t="s">
        <v>659</v>
      </c>
      <c r="AJ29" s="8" t="s">
        <v>650</v>
      </c>
      <c r="AK29" s="8" t="s">
        <v>649</v>
      </c>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row>
    <row r="30" spans="1:78" ht="13" customHeight="1" x14ac:dyDescent="0.15">
      <c r="A30" s="8" t="s">
        <v>6188</v>
      </c>
      <c r="B30" s="8" t="s">
        <v>74</v>
      </c>
      <c r="C30" s="9">
        <v>2020</v>
      </c>
      <c r="D30" s="8" t="s">
        <v>667</v>
      </c>
      <c r="E30" s="8" t="s">
        <v>668</v>
      </c>
      <c r="F30" s="8" t="s">
        <v>669</v>
      </c>
      <c r="G30" s="8" t="str" cm="1">
        <f t="array" ref="G30">LOWER(CleanCode(F30))</f>
        <v>acculturationofruralurbanmigrantsinurbanisingchinaamultidimensionalandbiculturalframework</v>
      </c>
      <c r="H30" s="8"/>
      <c r="I30" s="8"/>
      <c r="J30" s="8" t="s">
        <v>673</v>
      </c>
      <c r="K30" s="8"/>
      <c r="L30" s="8"/>
      <c r="M30" s="8" t="s">
        <v>670</v>
      </c>
      <c r="N30" s="8" t="str">
        <f t="shared" si="0"/>
        <v>Population Space And Place</v>
      </c>
      <c r="O30" s="8" t="s">
        <v>681</v>
      </c>
      <c r="P30" s="8" t="s">
        <v>682</v>
      </c>
      <c r="Q30" s="8" t="s">
        <v>69</v>
      </c>
      <c r="R30" s="8"/>
      <c r="S30" s="8">
        <v>26</v>
      </c>
      <c r="T30" s="8">
        <v>1</v>
      </c>
      <c r="U30" s="8" t="s">
        <v>69</v>
      </c>
      <c r="V30" s="8" t="s">
        <v>69</v>
      </c>
      <c r="W30" s="8">
        <v>16</v>
      </c>
      <c r="X30" s="8"/>
      <c r="Y30" s="8">
        <v>59</v>
      </c>
      <c r="Z30" s="8">
        <v>0</v>
      </c>
      <c r="AA30" s="8">
        <v>0</v>
      </c>
      <c r="AB30" s="8">
        <v>3</v>
      </c>
      <c r="AC30" s="8">
        <v>21</v>
      </c>
      <c r="AD30" s="8" t="s">
        <v>691</v>
      </c>
      <c r="AE30" s="8" t="s">
        <v>687</v>
      </c>
      <c r="AF30" s="8" t="s">
        <v>69</v>
      </c>
      <c r="AG30" s="8" t="s">
        <v>223</v>
      </c>
      <c r="AH30" s="8" t="s">
        <v>224</v>
      </c>
      <c r="AI30" s="8" t="s">
        <v>225</v>
      </c>
      <c r="AJ30" s="8" t="s">
        <v>672</v>
      </c>
      <c r="AK30" s="8" t="s">
        <v>671</v>
      </c>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row>
    <row r="31" spans="1:78" ht="13" customHeight="1" x14ac:dyDescent="0.15">
      <c r="A31" s="8" t="s">
        <v>6188</v>
      </c>
      <c r="B31" s="8" t="s">
        <v>74</v>
      </c>
      <c r="C31" s="9">
        <v>2019</v>
      </c>
      <c r="D31" s="8" t="s">
        <v>692</v>
      </c>
      <c r="E31" s="8" t="s">
        <v>693</v>
      </c>
      <c r="F31" s="8" t="s">
        <v>694</v>
      </c>
      <c r="G31" s="8" t="str" cm="1">
        <f t="array" ref="G31">LOWER(CleanCode(F31))</f>
        <v>atheoreticalexaminationofimmigrantstatusandsubstanceuseamonglatinocollegestudents</v>
      </c>
      <c r="H31" s="8"/>
      <c r="I31" s="8"/>
      <c r="J31" s="8" t="s">
        <v>697</v>
      </c>
      <c r="K31" s="8"/>
      <c r="L31" s="8"/>
      <c r="M31" s="8" t="s">
        <v>695</v>
      </c>
      <c r="N31" s="8" t="str">
        <f t="shared" si="0"/>
        <v>Deviant Behavior</v>
      </c>
      <c r="O31" s="8" t="s">
        <v>704</v>
      </c>
      <c r="P31" s="8" t="s">
        <v>705</v>
      </c>
      <c r="Q31" s="8" t="s">
        <v>69</v>
      </c>
      <c r="R31" s="8"/>
      <c r="S31" s="8">
        <v>40</v>
      </c>
      <c r="T31" s="8">
        <v>11</v>
      </c>
      <c r="U31" s="8">
        <v>1372</v>
      </c>
      <c r="V31" s="8">
        <v>1390</v>
      </c>
      <c r="W31" s="8">
        <v>19</v>
      </c>
      <c r="X31" s="8"/>
      <c r="Y31" s="8">
        <v>86</v>
      </c>
      <c r="Z31" s="8">
        <v>0</v>
      </c>
      <c r="AA31" s="8">
        <v>0</v>
      </c>
      <c r="AB31" s="8">
        <v>0</v>
      </c>
      <c r="AC31" s="8">
        <v>4</v>
      </c>
      <c r="AD31" s="8" t="s">
        <v>713</v>
      </c>
      <c r="AE31" s="8" t="s">
        <v>709</v>
      </c>
      <c r="AF31" s="8" t="s">
        <v>69</v>
      </c>
      <c r="AG31" s="8" t="s">
        <v>701</v>
      </c>
      <c r="AH31" s="8" t="s">
        <v>702</v>
      </c>
      <c r="AI31" s="8" t="s">
        <v>703</v>
      </c>
      <c r="AJ31" s="8" t="s">
        <v>696</v>
      </c>
      <c r="AK31" s="8" t="s">
        <v>69</v>
      </c>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row>
    <row r="32" spans="1:78" ht="13" customHeight="1" x14ac:dyDescent="0.15">
      <c r="A32" s="8" t="s">
        <v>6188</v>
      </c>
      <c r="B32" s="8" t="s">
        <v>318</v>
      </c>
      <c r="C32" s="9">
        <v>2019</v>
      </c>
      <c r="D32" s="8" t="s">
        <v>714</v>
      </c>
      <c r="E32" s="8" t="s">
        <v>715</v>
      </c>
      <c r="F32" s="8" t="s">
        <v>716</v>
      </c>
      <c r="G32" s="8" t="str" cm="1">
        <f t="array" ref="G32">LOWER(CleanCode(F32))</f>
        <v>socialdevelopmentalperspectiveonintergroupattitudestowardsimmigrantsandrefugeesinchildhoodandadolescencearoadmapfromtheorytopracticeforaninclusivesociety</v>
      </c>
      <c r="H32" s="8"/>
      <c r="I32" s="8"/>
      <c r="J32" s="8" t="s">
        <v>720</v>
      </c>
      <c r="K32" s="8"/>
      <c r="L32" s="8"/>
      <c r="M32" s="8" t="s">
        <v>717</v>
      </c>
      <c r="N32" s="8" t="str">
        <f t="shared" si="0"/>
        <v>Human Development</v>
      </c>
      <c r="O32" s="8" t="s">
        <v>727</v>
      </c>
      <c r="P32" s="8" t="s">
        <v>728</v>
      </c>
      <c r="Q32" s="8" t="s">
        <v>69</v>
      </c>
      <c r="R32" s="8"/>
      <c r="S32" s="8">
        <v>63</v>
      </c>
      <c r="T32" s="8">
        <v>2</v>
      </c>
      <c r="U32" s="8">
        <v>90</v>
      </c>
      <c r="V32" s="8">
        <v>111</v>
      </c>
      <c r="W32" s="8">
        <v>22</v>
      </c>
      <c r="X32" s="8"/>
      <c r="Y32" s="8">
        <v>75</v>
      </c>
      <c r="Z32" s="8">
        <v>3</v>
      </c>
      <c r="AA32" s="8">
        <v>3</v>
      </c>
      <c r="AB32" s="8">
        <v>3</v>
      </c>
      <c r="AC32" s="8">
        <v>11</v>
      </c>
      <c r="AD32" s="8" t="s">
        <v>735</v>
      </c>
      <c r="AE32" s="8" t="s">
        <v>732</v>
      </c>
      <c r="AF32" s="8" t="s">
        <v>69</v>
      </c>
      <c r="AG32" s="8" t="s">
        <v>725</v>
      </c>
      <c r="AH32" s="8" t="s">
        <v>83</v>
      </c>
      <c r="AI32" s="8" t="s">
        <v>726</v>
      </c>
      <c r="AJ32" s="8" t="s">
        <v>719</v>
      </c>
      <c r="AK32" s="8" t="s">
        <v>718</v>
      </c>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row>
    <row r="33" spans="1:78" ht="13" customHeight="1" x14ac:dyDescent="0.15">
      <c r="A33" s="8" t="s">
        <v>6188</v>
      </c>
      <c r="B33" s="8" t="s">
        <v>74</v>
      </c>
      <c r="C33" s="9">
        <v>2019</v>
      </c>
      <c r="D33" s="8" t="s">
        <v>736</v>
      </c>
      <c r="E33" s="8" t="s">
        <v>737</v>
      </c>
      <c r="F33" s="8" t="s">
        <v>738</v>
      </c>
      <c r="G33" s="8" t="str" cm="1">
        <f t="array" ref="G33">LOWER(CleanCode(F33))</f>
        <v>culturaladaptationofcognitivebehavioraltherapyfromthetheoreticalframeworktoevidencebasedpractice</v>
      </c>
      <c r="H33" s="8"/>
      <c r="I33" s="8"/>
      <c r="J33" s="8" t="s">
        <v>743</v>
      </c>
      <c r="K33" s="8"/>
      <c r="L33" s="8"/>
      <c r="M33" s="8" t="s">
        <v>739</v>
      </c>
      <c r="N33" s="8" t="str">
        <f t="shared" si="0"/>
        <v>Archives Of Hellenic Medicine</v>
      </c>
      <c r="O33" s="8" t="s">
        <v>751</v>
      </c>
      <c r="P33" s="8" t="s">
        <v>69</v>
      </c>
      <c r="Q33" s="8" t="s">
        <v>69</v>
      </c>
      <c r="R33" s="8"/>
      <c r="S33" s="8">
        <v>36</v>
      </c>
      <c r="T33" s="8">
        <v>6</v>
      </c>
      <c r="U33" s="8">
        <v>821</v>
      </c>
      <c r="V33" s="8">
        <v>829</v>
      </c>
      <c r="W33" s="8">
        <v>9</v>
      </c>
      <c r="X33" s="8"/>
      <c r="Y33" s="8">
        <v>32</v>
      </c>
      <c r="Z33" s="8">
        <v>0</v>
      </c>
      <c r="AA33" s="8">
        <v>0</v>
      </c>
      <c r="AB33" s="8">
        <v>1</v>
      </c>
      <c r="AC33" s="8">
        <v>3</v>
      </c>
      <c r="AD33" s="8" t="s">
        <v>758</v>
      </c>
      <c r="AE33" s="8" t="s">
        <v>69</v>
      </c>
      <c r="AF33" s="8" t="s">
        <v>69</v>
      </c>
      <c r="AG33" s="8" t="s">
        <v>748</v>
      </c>
      <c r="AH33" s="8" t="s">
        <v>749</v>
      </c>
      <c r="AI33" s="8" t="s">
        <v>750</v>
      </c>
      <c r="AJ33" s="8" t="s">
        <v>742</v>
      </c>
      <c r="AK33" s="8" t="s">
        <v>741</v>
      </c>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row>
    <row r="34" spans="1:78" ht="13" customHeight="1" x14ac:dyDescent="0.15">
      <c r="A34" s="8" t="s">
        <v>6188</v>
      </c>
      <c r="B34" s="8" t="s">
        <v>74</v>
      </c>
      <c r="C34" s="9">
        <v>2019</v>
      </c>
      <c r="D34" s="8" t="s">
        <v>759</v>
      </c>
      <c r="E34" s="8" t="s">
        <v>760</v>
      </c>
      <c r="F34" s="8" t="s">
        <v>761</v>
      </c>
      <c r="G34" s="8" t="str" cm="1">
        <f t="array" ref="G34">LOWER(CleanCode(F34))</f>
        <v>theeffectofthenormativecontextonintergroupdiscriminationimplicationsforthescientificvalueofexactandconceptualreplications</v>
      </c>
      <c r="H34" s="8"/>
      <c r="I34" s="8"/>
      <c r="J34" s="8" t="s">
        <v>765</v>
      </c>
      <c r="K34" s="8"/>
      <c r="L34" s="8"/>
      <c r="M34" s="8" t="s">
        <v>762</v>
      </c>
      <c r="N34" s="8" t="str">
        <f t="shared" si="0"/>
        <v>International Journal Of Intercultural Relations</v>
      </c>
      <c r="O34" s="8" t="s">
        <v>774</v>
      </c>
      <c r="P34" s="8" t="s">
        <v>775</v>
      </c>
      <c r="Q34" s="8" t="s">
        <v>69</v>
      </c>
      <c r="R34" s="8"/>
      <c r="S34" s="8">
        <v>73</v>
      </c>
      <c r="T34" s="8" t="s">
        <v>69</v>
      </c>
      <c r="U34" s="8">
        <v>43</v>
      </c>
      <c r="V34" s="8">
        <v>58</v>
      </c>
      <c r="W34" s="8">
        <v>16</v>
      </c>
      <c r="X34" s="8"/>
      <c r="Y34" s="8">
        <v>60</v>
      </c>
      <c r="Z34" s="8">
        <v>1</v>
      </c>
      <c r="AA34" s="8">
        <v>1</v>
      </c>
      <c r="AB34" s="8">
        <v>1</v>
      </c>
      <c r="AC34" s="8">
        <v>4</v>
      </c>
      <c r="AD34" s="8" t="s">
        <v>782</v>
      </c>
      <c r="AE34" s="8" t="s">
        <v>778</v>
      </c>
      <c r="AF34" s="8" t="s">
        <v>69</v>
      </c>
      <c r="AG34" s="8" t="s">
        <v>771</v>
      </c>
      <c r="AH34" s="8" t="s">
        <v>772</v>
      </c>
      <c r="AI34" s="8" t="s">
        <v>773</v>
      </c>
      <c r="AJ34" s="8" t="s">
        <v>764</v>
      </c>
      <c r="AK34" s="8" t="s">
        <v>763</v>
      </c>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row>
    <row r="35" spans="1:78" ht="13" customHeight="1" x14ac:dyDescent="0.15">
      <c r="A35" s="8" t="s">
        <v>6188</v>
      </c>
      <c r="B35" s="8" t="s">
        <v>318</v>
      </c>
      <c r="C35" s="9">
        <v>2019</v>
      </c>
      <c r="D35" s="8" t="s">
        <v>783</v>
      </c>
      <c r="E35" s="8" t="s">
        <v>784</v>
      </c>
      <c r="F35" s="8" t="s">
        <v>785</v>
      </c>
      <c r="G35" s="8" t="str" cm="1">
        <f t="array" ref="G35">LOWER(CleanCode(F35))</f>
        <v>conceptualizingtheotherininterculturalencountersreviewformulationandtypologyoftheotheridentity</v>
      </c>
      <c r="H35" s="8"/>
      <c r="I35" s="8"/>
      <c r="J35" s="8" t="s">
        <v>789</v>
      </c>
      <c r="K35" s="8"/>
      <c r="L35" s="8"/>
      <c r="M35" s="8" t="s">
        <v>786</v>
      </c>
      <c r="N35" s="8" t="str">
        <f t="shared" si="0"/>
        <v>Howard Journal Of Communications</v>
      </c>
      <c r="O35" s="8" t="s">
        <v>793</v>
      </c>
      <c r="P35" s="8" t="s">
        <v>794</v>
      </c>
      <c r="Q35" s="8" t="s">
        <v>69</v>
      </c>
      <c r="R35" s="8"/>
      <c r="S35" s="8">
        <v>30</v>
      </c>
      <c r="T35" s="8">
        <v>5</v>
      </c>
      <c r="U35" s="8">
        <v>446</v>
      </c>
      <c r="V35" s="8">
        <v>463</v>
      </c>
      <c r="W35" s="8">
        <v>18</v>
      </c>
      <c r="X35" s="8"/>
      <c r="Y35" s="8">
        <v>108</v>
      </c>
      <c r="Z35" s="8">
        <v>3</v>
      </c>
      <c r="AA35" s="8">
        <v>3</v>
      </c>
      <c r="AB35" s="8">
        <v>3</v>
      </c>
      <c r="AC35" s="8">
        <v>11</v>
      </c>
      <c r="AD35" s="8" t="s">
        <v>800</v>
      </c>
      <c r="AE35" s="8" t="s">
        <v>798</v>
      </c>
      <c r="AF35" s="8" t="s">
        <v>69</v>
      </c>
      <c r="AG35" s="8" t="s">
        <v>108</v>
      </c>
      <c r="AH35" s="8" t="s">
        <v>109</v>
      </c>
      <c r="AI35" s="8" t="s">
        <v>110</v>
      </c>
      <c r="AJ35" s="8" t="s">
        <v>788</v>
      </c>
      <c r="AK35" s="8" t="s">
        <v>787</v>
      </c>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row>
    <row r="36" spans="1:78" ht="13" customHeight="1" x14ac:dyDescent="0.15">
      <c r="A36" s="8" t="s">
        <v>6188</v>
      </c>
      <c r="B36" s="8" t="s">
        <v>74</v>
      </c>
      <c r="C36" s="9">
        <v>2020</v>
      </c>
      <c r="D36" s="8" t="s">
        <v>801</v>
      </c>
      <c r="E36" s="8" t="s">
        <v>802</v>
      </c>
      <c r="F36" s="8" t="s">
        <v>803</v>
      </c>
      <c r="G36" s="8" t="str" cm="1">
        <f t="array" ref="G36">LOWER(CleanCode(F36))</f>
        <v>anintergenerationalconceptualisationofitalianaustralianethnicidentitythroughbourdieuandheidegger</v>
      </c>
      <c r="H36" s="8"/>
      <c r="I36" s="8"/>
      <c r="J36" s="8" t="s">
        <v>806</v>
      </c>
      <c r="K36" s="8"/>
      <c r="L36" s="8"/>
      <c r="M36" s="8" t="s">
        <v>804</v>
      </c>
      <c r="N36" s="8" t="str">
        <f t="shared" si="0"/>
        <v>Social Identities</v>
      </c>
      <c r="O36" s="8" t="s">
        <v>810</v>
      </c>
      <c r="P36" s="8" t="s">
        <v>811</v>
      </c>
      <c r="Q36" s="8" t="s">
        <v>69</v>
      </c>
      <c r="R36" s="8"/>
      <c r="S36" s="8">
        <v>26</v>
      </c>
      <c r="T36" s="8">
        <v>1</v>
      </c>
      <c r="U36" s="8">
        <v>3</v>
      </c>
      <c r="V36" s="8">
        <v>15</v>
      </c>
      <c r="W36" s="8">
        <v>13</v>
      </c>
      <c r="X36" s="8"/>
      <c r="Y36" s="8">
        <v>54</v>
      </c>
      <c r="Z36" s="8">
        <v>2</v>
      </c>
      <c r="AA36" s="8">
        <v>2</v>
      </c>
      <c r="AB36" s="8">
        <v>0</v>
      </c>
      <c r="AC36" s="8">
        <v>0</v>
      </c>
      <c r="AD36" s="8" t="s">
        <v>819</v>
      </c>
      <c r="AE36" s="8" t="s">
        <v>815</v>
      </c>
      <c r="AF36" s="8" t="s">
        <v>69</v>
      </c>
      <c r="AG36" s="8" t="s">
        <v>108</v>
      </c>
      <c r="AH36" s="8" t="s">
        <v>109</v>
      </c>
      <c r="AI36" s="8" t="s">
        <v>110</v>
      </c>
      <c r="AJ36" s="8" t="s">
        <v>69</v>
      </c>
      <c r="AK36" s="8" t="s">
        <v>805</v>
      </c>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row>
    <row r="37" spans="1:78" ht="13" customHeight="1" x14ac:dyDescent="0.15">
      <c r="A37" s="8" t="s">
        <v>6188</v>
      </c>
      <c r="B37" s="8" t="s">
        <v>74</v>
      </c>
      <c r="C37" s="9">
        <v>2019</v>
      </c>
      <c r="D37" s="8" t="s">
        <v>820</v>
      </c>
      <c r="E37" s="8" t="s">
        <v>821</v>
      </c>
      <c r="F37" s="8" t="s">
        <v>822</v>
      </c>
      <c r="G37" s="8" t="str" cm="1">
        <f t="array" ref="G37">LOWER(CleanCode(F37))</f>
        <v>lessonsfromanoldsecondgenerationintheusfreshevidenceonassimilationtheories</v>
      </c>
      <c r="H37" s="8"/>
      <c r="I37" s="8"/>
      <c r="J37" s="8" t="s">
        <v>825</v>
      </c>
      <c r="K37" s="8"/>
      <c r="L37" s="8"/>
      <c r="M37" s="8" t="s">
        <v>197</v>
      </c>
      <c r="N37" s="8" t="str">
        <f t="shared" si="0"/>
        <v>Ethnic And Racial Studies</v>
      </c>
      <c r="O37" s="8" t="s">
        <v>205</v>
      </c>
      <c r="P37" s="8" t="s">
        <v>206</v>
      </c>
      <c r="Q37" s="8" t="s">
        <v>69</v>
      </c>
      <c r="R37" s="8"/>
      <c r="S37" s="8">
        <v>42</v>
      </c>
      <c r="T37" s="8">
        <v>13</v>
      </c>
      <c r="U37" s="8">
        <v>2285</v>
      </c>
      <c r="V37" s="8">
        <v>2290</v>
      </c>
      <c r="W37" s="8">
        <v>6</v>
      </c>
      <c r="X37" s="8"/>
      <c r="Y37" s="8">
        <v>7</v>
      </c>
      <c r="Z37" s="8">
        <v>0</v>
      </c>
      <c r="AA37" s="8">
        <v>0</v>
      </c>
      <c r="AB37" s="8">
        <v>1</v>
      </c>
      <c r="AC37" s="8">
        <v>4</v>
      </c>
      <c r="AD37" s="8" t="s">
        <v>832</v>
      </c>
      <c r="AE37" s="8" t="s">
        <v>830</v>
      </c>
      <c r="AF37" s="8" t="s">
        <v>69</v>
      </c>
      <c r="AG37" s="8" t="s">
        <v>108</v>
      </c>
      <c r="AH37" s="8" t="s">
        <v>109</v>
      </c>
      <c r="AI37" s="8" t="s">
        <v>110</v>
      </c>
      <c r="AJ37" s="8" t="s">
        <v>824</v>
      </c>
      <c r="AK37" s="8" t="s">
        <v>823</v>
      </c>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row>
    <row r="38" spans="1:78" ht="13" customHeight="1" x14ac:dyDescent="0.15">
      <c r="A38" s="8" t="s">
        <v>6188</v>
      </c>
      <c r="B38" s="8" t="s">
        <v>74</v>
      </c>
      <c r="C38" s="9">
        <v>2019</v>
      </c>
      <c r="D38" s="8" t="s">
        <v>834</v>
      </c>
      <c r="E38" s="8" t="s">
        <v>835</v>
      </c>
      <c r="F38" s="8" t="s">
        <v>836</v>
      </c>
      <c r="G38" s="8" t="str" cm="1">
        <f t="array" ref="G38">LOWER(CleanCode(F38))</f>
        <v>towardsaframeworkforunderstandingethnicconsumersacculturationstrategiesinamulticulturalenvironmentafoodconsumptionperspective</v>
      </c>
      <c r="H38" s="8"/>
      <c r="I38" s="8"/>
      <c r="J38" s="8" t="s">
        <v>840</v>
      </c>
      <c r="K38" s="8"/>
      <c r="L38" s="8"/>
      <c r="M38" s="8" t="s">
        <v>837</v>
      </c>
      <c r="N38" s="8" t="str">
        <f t="shared" si="0"/>
        <v>International Marketing Review</v>
      </c>
      <c r="O38" s="8" t="s">
        <v>844</v>
      </c>
      <c r="P38" s="8" t="s">
        <v>845</v>
      </c>
      <c r="Q38" s="8" t="s">
        <v>69</v>
      </c>
      <c r="R38" s="8"/>
      <c r="S38" s="8">
        <v>36</v>
      </c>
      <c r="T38" s="8">
        <v>5</v>
      </c>
      <c r="U38" s="8">
        <v>771</v>
      </c>
      <c r="V38" s="8">
        <v>804</v>
      </c>
      <c r="W38" s="8">
        <v>34</v>
      </c>
      <c r="X38" s="8"/>
      <c r="Y38" s="8">
        <v>117</v>
      </c>
      <c r="Z38" s="8">
        <v>6</v>
      </c>
      <c r="AA38" s="8">
        <v>6</v>
      </c>
      <c r="AB38" s="8">
        <v>2</v>
      </c>
      <c r="AC38" s="8">
        <v>12</v>
      </c>
      <c r="AD38" s="8" t="s">
        <v>852</v>
      </c>
      <c r="AE38" s="8" t="s">
        <v>849</v>
      </c>
      <c r="AF38" s="8" t="s">
        <v>69</v>
      </c>
      <c r="AG38" s="8" t="s">
        <v>131</v>
      </c>
      <c r="AH38" s="8" t="s">
        <v>132</v>
      </c>
      <c r="AI38" s="8" t="s">
        <v>133</v>
      </c>
      <c r="AJ38" s="8" t="s">
        <v>839</v>
      </c>
      <c r="AK38" s="8" t="s">
        <v>838</v>
      </c>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row>
    <row r="39" spans="1:78" ht="13" customHeight="1" x14ac:dyDescent="0.15">
      <c r="A39" s="8" t="s">
        <v>6188</v>
      </c>
      <c r="B39" s="8" t="s">
        <v>74</v>
      </c>
      <c r="C39" s="9">
        <v>2020</v>
      </c>
      <c r="D39" s="8" t="s">
        <v>854</v>
      </c>
      <c r="E39" s="8" t="s">
        <v>855</v>
      </c>
      <c r="F39" s="8" t="s">
        <v>856</v>
      </c>
      <c r="G39" s="8" t="str" cm="1">
        <f t="array" ref="G39">LOWER(CleanCode(F39))</f>
        <v>selfidentificationsofyouthincataloniaalinguisticacculturationtheoryapproach</v>
      </c>
      <c r="H39" s="8"/>
      <c r="I39" s="8"/>
      <c r="J39" s="8" t="s">
        <v>860</v>
      </c>
      <c r="K39" s="8"/>
      <c r="L39" s="8"/>
      <c r="M39" s="8" t="s">
        <v>857</v>
      </c>
      <c r="N39" s="8" t="str">
        <f t="shared" si="0"/>
        <v>Journal Of Multilingual And Multicultural Development</v>
      </c>
      <c r="O39" s="8" t="s">
        <v>868</v>
      </c>
      <c r="P39" s="8" t="s">
        <v>869</v>
      </c>
      <c r="Q39" s="8" t="s">
        <v>69</v>
      </c>
      <c r="R39" s="8"/>
      <c r="S39" s="8">
        <v>41</v>
      </c>
      <c r="T39" s="8">
        <v>10</v>
      </c>
      <c r="U39" s="8">
        <v>829</v>
      </c>
      <c r="V39" s="8">
        <v>843</v>
      </c>
      <c r="W39" s="8">
        <v>15</v>
      </c>
      <c r="X39" s="8"/>
      <c r="Y39" s="8">
        <v>57</v>
      </c>
      <c r="Z39" s="8">
        <v>3</v>
      </c>
      <c r="AA39" s="8">
        <v>3</v>
      </c>
      <c r="AB39" s="8">
        <v>2</v>
      </c>
      <c r="AC39" s="8">
        <v>3</v>
      </c>
      <c r="AD39" s="8" t="s">
        <v>878</v>
      </c>
      <c r="AE39" s="8" t="s">
        <v>873</v>
      </c>
      <c r="AF39" s="8" t="s">
        <v>69</v>
      </c>
      <c r="AG39" s="8" t="s">
        <v>108</v>
      </c>
      <c r="AH39" s="8" t="s">
        <v>109</v>
      </c>
      <c r="AI39" s="8" t="s">
        <v>110</v>
      </c>
      <c r="AJ39" s="8" t="s">
        <v>859</v>
      </c>
      <c r="AK39" s="8" t="s">
        <v>858</v>
      </c>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row>
    <row r="40" spans="1:78" ht="13" customHeight="1" x14ac:dyDescent="0.15">
      <c r="A40" s="8" t="s">
        <v>6188</v>
      </c>
      <c r="B40" s="8" t="s">
        <v>74</v>
      </c>
      <c r="C40" s="9">
        <v>2019</v>
      </c>
      <c r="D40" s="8" t="s">
        <v>879</v>
      </c>
      <c r="E40" s="8" t="s">
        <v>880</v>
      </c>
      <c r="F40" s="8" t="s">
        <v>881</v>
      </c>
      <c r="G40" s="8" t="str" cm="1">
        <f t="array" ref="G40">LOWER(CleanCode(F40))</f>
        <v>aframeworkfortheprospectiveanalysisofethnoculturalsuperdiversity</v>
      </c>
      <c r="H40" s="8"/>
      <c r="I40" s="8"/>
      <c r="J40" s="8" t="s">
        <v>884</v>
      </c>
      <c r="K40" s="8"/>
      <c r="L40" s="8"/>
      <c r="M40" s="8" t="s">
        <v>882</v>
      </c>
      <c r="N40" s="8" t="str">
        <f t="shared" si="0"/>
        <v>Demographic Research</v>
      </c>
      <c r="O40" s="8" t="s">
        <v>895</v>
      </c>
      <c r="P40" s="8" t="s">
        <v>69</v>
      </c>
      <c r="Q40" s="8" t="s">
        <v>69</v>
      </c>
      <c r="R40" s="8"/>
      <c r="S40" s="8">
        <v>41</v>
      </c>
      <c r="T40" s="8" t="s">
        <v>69</v>
      </c>
      <c r="U40" s="8">
        <v>293</v>
      </c>
      <c r="V40" s="8">
        <v>330</v>
      </c>
      <c r="W40" s="8">
        <v>38</v>
      </c>
      <c r="X40" s="8"/>
      <c r="Y40" s="8">
        <v>110</v>
      </c>
      <c r="Z40" s="8">
        <v>4</v>
      </c>
      <c r="AA40" s="8">
        <v>4</v>
      </c>
      <c r="AB40" s="8">
        <v>0</v>
      </c>
      <c r="AC40" s="8">
        <v>3</v>
      </c>
      <c r="AD40" s="8" t="s">
        <v>901</v>
      </c>
      <c r="AE40" s="8" t="s">
        <v>899</v>
      </c>
      <c r="AF40" s="8" t="s">
        <v>69</v>
      </c>
      <c r="AG40" s="8" t="s">
        <v>892</v>
      </c>
      <c r="AH40" s="8" t="s">
        <v>893</v>
      </c>
      <c r="AI40" s="8" t="s">
        <v>894</v>
      </c>
      <c r="AJ40" s="8" t="s">
        <v>883</v>
      </c>
      <c r="AK40" s="8" t="s">
        <v>69</v>
      </c>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row>
    <row r="41" spans="1:78" ht="13" customHeight="1" x14ac:dyDescent="0.15">
      <c r="A41" s="8" t="s">
        <v>6188</v>
      </c>
      <c r="B41" s="8" t="s">
        <v>318</v>
      </c>
      <c r="C41" s="9">
        <v>2020</v>
      </c>
      <c r="D41" s="8" t="s">
        <v>903</v>
      </c>
      <c r="E41" s="8" t="s">
        <v>904</v>
      </c>
      <c r="F41" s="8" t="s">
        <v>905</v>
      </c>
      <c r="G41" s="8" t="str" cm="1">
        <f t="array" ref="G41">LOWER(CleanCode(F41))</f>
        <v>towardsaconceptualframeworkfordiasporatourism</v>
      </c>
      <c r="H41" s="8"/>
      <c r="I41" s="8"/>
      <c r="J41" s="8" t="s">
        <v>909</v>
      </c>
      <c r="K41" s="8"/>
      <c r="L41" s="8"/>
      <c r="M41" s="8" t="s">
        <v>906</v>
      </c>
      <c r="N41" s="8" t="str">
        <f t="shared" si="0"/>
        <v>Current Issues In Tourism</v>
      </c>
      <c r="O41" s="8" t="s">
        <v>915</v>
      </c>
      <c r="P41" s="8" t="s">
        <v>916</v>
      </c>
      <c r="Q41" s="8" t="s">
        <v>69</v>
      </c>
      <c r="R41" s="8"/>
      <c r="S41" s="8">
        <v>23</v>
      </c>
      <c r="T41" s="8">
        <v>17</v>
      </c>
      <c r="U41" s="8">
        <v>2109</v>
      </c>
      <c r="V41" s="8">
        <v>2126</v>
      </c>
      <c r="W41" s="8">
        <v>18</v>
      </c>
      <c r="X41" s="8"/>
      <c r="Y41" s="8">
        <v>135</v>
      </c>
      <c r="Z41" s="8">
        <v>7</v>
      </c>
      <c r="AA41" s="8">
        <v>7</v>
      </c>
      <c r="AB41" s="8">
        <v>4</v>
      </c>
      <c r="AC41" s="8">
        <v>15</v>
      </c>
      <c r="AD41" s="8" t="s">
        <v>924</v>
      </c>
      <c r="AE41" s="8" t="s">
        <v>919</v>
      </c>
      <c r="AF41" s="8" t="s">
        <v>69</v>
      </c>
      <c r="AG41" s="8" t="s">
        <v>108</v>
      </c>
      <c r="AH41" s="8" t="s">
        <v>109</v>
      </c>
      <c r="AI41" s="8" t="s">
        <v>110</v>
      </c>
      <c r="AJ41" s="8" t="s">
        <v>908</v>
      </c>
      <c r="AK41" s="8" t="s">
        <v>907</v>
      </c>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row>
    <row r="42" spans="1:78" ht="13" customHeight="1" x14ac:dyDescent="0.15">
      <c r="A42" s="8" t="s">
        <v>6188</v>
      </c>
      <c r="B42" s="8" t="s">
        <v>318</v>
      </c>
      <c r="C42" s="9">
        <v>2019</v>
      </c>
      <c r="D42" s="8" t="s">
        <v>925</v>
      </c>
      <c r="E42" s="8" t="s">
        <v>926</v>
      </c>
      <c r="F42" s="8" t="s">
        <v>927</v>
      </c>
      <c r="G42" s="8" t="str" cm="1">
        <f t="array" ref="G42">LOWER(CleanCode(F42))</f>
        <v>acculturationcopingandintegrationsuccessofinternationalskilledmigrantsanintegrativereviewandmultilevelframework</v>
      </c>
      <c r="H42" s="8"/>
      <c r="I42" s="8"/>
      <c r="J42" s="8" t="s">
        <v>930</v>
      </c>
      <c r="K42" s="8"/>
      <c r="L42" s="8"/>
      <c r="M42" s="8" t="s">
        <v>217</v>
      </c>
      <c r="N42" s="8" t="str">
        <f t="shared" si="0"/>
        <v>Human Resource Management Journal</v>
      </c>
      <c r="O42" s="8" t="s">
        <v>226</v>
      </c>
      <c r="P42" s="8" t="s">
        <v>227</v>
      </c>
      <c r="Q42" s="8" t="s">
        <v>69</v>
      </c>
      <c r="R42" s="8"/>
      <c r="S42" s="8">
        <v>29</v>
      </c>
      <c r="T42" s="8">
        <v>3</v>
      </c>
      <c r="U42" s="8">
        <v>328</v>
      </c>
      <c r="V42" s="8">
        <v>352</v>
      </c>
      <c r="W42" s="8">
        <v>25</v>
      </c>
      <c r="X42" s="8"/>
      <c r="Y42" s="8">
        <v>102</v>
      </c>
      <c r="Z42" s="8">
        <v>10</v>
      </c>
      <c r="AA42" s="8">
        <v>10</v>
      </c>
      <c r="AB42" s="8">
        <v>4</v>
      </c>
      <c r="AC42" s="8">
        <v>12</v>
      </c>
      <c r="AD42" s="8" t="s">
        <v>937</v>
      </c>
      <c r="AE42" s="8" t="s">
        <v>935</v>
      </c>
      <c r="AF42" s="8" t="s">
        <v>69</v>
      </c>
      <c r="AG42" s="8" t="s">
        <v>223</v>
      </c>
      <c r="AH42" s="8" t="s">
        <v>224</v>
      </c>
      <c r="AI42" s="8" t="s">
        <v>225</v>
      </c>
      <c r="AJ42" s="8" t="s">
        <v>929</v>
      </c>
      <c r="AK42" s="8" t="s">
        <v>928</v>
      </c>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row>
    <row r="43" spans="1:78" ht="13" customHeight="1" x14ac:dyDescent="0.15">
      <c r="A43" s="8" t="s">
        <v>6188</v>
      </c>
      <c r="B43" s="8" t="s">
        <v>74</v>
      </c>
      <c r="C43" s="9">
        <v>2019</v>
      </c>
      <c r="D43" s="8" t="s">
        <v>939</v>
      </c>
      <c r="E43" s="8" t="s">
        <v>940</v>
      </c>
      <c r="F43" s="8" t="s">
        <v>941</v>
      </c>
      <c r="G43" s="8" t="str" cm="1">
        <f t="array" ref="G43">LOWER(CleanCode(F43))</f>
        <v>injectionrisknormsandpracticesamongmigrantpuertoricanpeoplewhoinjectdrugsinnewyorkcitythelimitsofacculturationtheory</v>
      </c>
      <c r="H43" s="8"/>
      <c r="I43" s="8"/>
      <c r="J43" s="8" t="s">
        <v>945</v>
      </c>
      <c r="K43" s="8"/>
      <c r="L43" s="8"/>
      <c r="M43" s="8" t="s">
        <v>942</v>
      </c>
      <c r="N43" s="8" t="str">
        <f t="shared" si="0"/>
        <v>International Journal Of Drug Policy</v>
      </c>
      <c r="O43" s="8" t="s">
        <v>956</v>
      </c>
      <c r="P43" s="8" t="s">
        <v>957</v>
      </c>
      <c r="Q43" s="8" t="s">
        <v>69</v>
      </c>
      <c r="R43" s="8"/>
      <c r="S43" s="8">
        <v>69</v>
      </c>
      <c r="T43" s="8" t="s">
        <v>69</v>
      </c>
      <c r="U43" s="8">
        <v>60</v>
      </c>
      <c r="V43" s="8">
        <v>69</v>
      </c>
      <c r="W43" s="8">
        <v>10</v>
      </c>
      <c r="X43" s="8"/>
      <c r="Y43" s="8">
        <v>43</v>
      </c>
      <c r="Z43" s="8">
        <v>2</v>
      </c>
      <c r="AA43" s="8">
        <v>2</v>
      </c>
      <c r="AB43" s="8">
        <v>0</v>
      </c>
      <c r="AC43" s="8">
        <v>3</v>
      </c>
      <c r="AD43" s="8" t="s">
        <v>963</v>
      </c>
      <c r="AE43" s="8" t="s">
        <v>960</v>
      </c>
      <c r="AF43" s="8">
        <v>31196730</v>
      </c>
      <c r="AG43" s="8" t="s">
        <v>953</v>
      </c>
      <c r="AH43" s="8" t="s">
        <v>954</v>
      </c>
      <c r="AI43" s="8" t="s">
        <v>955</v>
      </c>
      <c r="AJ43" s="8" t="s">
        <v>944</v>
      </c>
      <c r="AK43" s="8" t="s">
        <v>943</v>
      </c>
      <c r="AL43" s="8"/>
      <c r="AM43" s="8"/>
      <c r="AN43" s="8"/>
      <c r="AO43" s="8"/>
      <c r="AP43" s="8"/>
      <c r="AQ43" s="8"/>
      <c r="AR43" s="8"/>
      <c r="AS43" s="8"/>
      <c r="AT43" s="8"/>
      <c r="AU43" s="8"/>
      <c r="AV43" s="8"/>
      <c r="AW43" s="8"/>
      <c r="AX43" s="8"/>
      <c r="AY43" s="8"/>
      <c r="AZ43" s="8"/>
      <c r="BA43" s="8"/>
      <c r="BB43" s="8"/>
      <c r="BC43" s="8"/>
      <c r="BD43" s="8"/>
      <c r="BE43" s="8"/>
      <c r="BF43" s="8"/>
      <c r="BG43" s="8"/>
      <c r="BH43" s="8"/>
      <c r="BI43" s="8"/>
      <c r="BJ43" s="8"/>
      <c r="BK43" s="8"/>
      <c r="BL43" s="8"/>
      <c r="BM43" s="8"/>
      <c r="BN43" s="8"/>
      <c r="BO43" s="8"/>
      <c r="BP43" s="8"/>
      <c r="BQ43" s="8"/>
      <c r="BR43" s="8"/>
      <c r="BS43" s="8"/>
      <c r="BT43" s="8"/>
      <c r="BU43" s="8"/>
      <c r="BV43" s="8"/>
      <c r="BW43" s="8"/>
      <c r="BX43" s="8"/>
      <c r="BY43" s="8"/>
      <c r="BZ43" s="8"/>
    </row>
    <row r="44" spans="1:78" ht="13" customHeight="1" x14ac:dyDescent="0.15">
      <c r="A44" s="8" t="s">
        <v>6188</v>
      </c>
      <c r="B44" s="8" t="s">
        <v>969</v>
      </c>
      <c r="C44" s="9">
        <v>2019</v>
      </c>
      <c r="D44" s="8" t="s">
        <v>965</v>
      </c>
      <c r="E44" s="8" t="s">
        <v>966</v>
      </c>
      <c r="F44" s="8" t="s">
        <v>967</v>
      </c>
      <c r="G44" s="8" t="str" cm="1">
        <f t="array" ref="G44">LOWER(CleanCode(F44))</f>
        <v>constructingabridgetomulticulturalmarketplacewellbeingaconsumercenteredframeworkformarketeraction</v>
      </c>
      <c r="H44" s="8"/>
      <c r="I44" s="8"/>
      <c r="J44" s="8" t="s">
        <v>976</v>
      </c>
      <c r="K44" s="8"/>
      <c r="L44" s="8"/>
      <c r="M44" s="8" t="s">
        <v>968</v>
      </c>
      <c r="N44" s="8" t="str">
        <f t="shared" si="0"/>
        <v>Journal Of Business Research</v>
      </c>
      <c r="O44" s="8" t="s">
        <v>984</v>
      </c>
      <c r="P44" s="8" t="s">
        <v>985</v>
      </c>
      <c r="Q44" s="8" t="s">
        <v>69</v>
      </c>
      <c r="R44" s="8"/>
      <c r="S44" s="8">
        <v>100</v>
      </c>
      <c r="T44" s="8" t="s">
        <v>69</v>
      </c>
      <c r="U44" s="8">
        <v>339</v>
      </c>
      <c r="V44" s="8">
        <v>353</v>
      </c>
      <c r="W44" s="8">
        <v>15</v>
      </c>
      <c r="X44" s="8"/>
      <c r="Y44" s="8">
        <v>184</v>
      </c>
      <c r="Z44" s="8">
        <v>6</v>
      </c>
      <c r="AA44" s="8">
        <v>6</v>
      </c>
      <c r="AB44" s="8">
        <v>4</v>
      </c>
      <c r="AC44" s="8">
        <v>19</v>
      </c>
      <c r="AD44" s="8" t="s">
        <v>990</v>
      </c>
      <c r="AE44" s="8" t="s">
        <v>988</v>
      </c>
      <c r="AF44" s="8" t="s">
        <v>69</v>
      </c>
      <c r="AG44" s="8" t="s">
        <v>982</v>
      </c>
      <c r="AH44" s="8" t="s">
        <v>573</v>
      </c>
      <c r="AI44" s="8" t="s">
        <v>983</v>
      </c>
      <c r="AJ44" s="8" t="s">
        <v>975</v>
      </c>
      <c r="AK44" s="8" t="s">
        <v>974</v>
      </c>
      <c r="AL44" s="8"/>
      <c r="AM44" s="8"/>
      <c r="AN44" s="8"/>
      <c r="AO44" s="8"/>
      <c r="AP44" s="8"/>
      <c r="AQ44" s="8"/>
      <c r="AR44" s="8"/>
      <c r="AS44" s="8"/>
      <c r="AT44" s="8"/>
      <c r="AU44" s="8"/>
      <c r="AV44" s="8"/>
      <c r="AW44" s="8"/>
      <c r="AX44" s="8"/>
      <c r="AY44" s="8"/>
      <c r="AZ44" s="8"/>
      <c r="BA44" s="8"/>
      <c r="BB44" s="8"/>
      <c r="BC44" s="8"/>
      <c r="BD44" s="8"/>
      <c r="BE44" s="8"/>
      <c r="BF44" s="8"/>
      <c r="BG44" s="8"/>
      <c r="BH44" s="8"/>
      <c r="BI44" s="8"/>
      <c r="BJ44" s="8"/>
      <c r="BK44" s="8"/>
      <c r="BL44" s="8"/>
      <c r="BM44" s="8"/>
      <c r="BN44" s="8"/>
      <c r="BO44" s="8"/>
      <c r="BP44" s="8"/>
      <c r="BQ44" s="8"/>
      <c r="BR44" s="8"/>
      <c r="BS44" s="8"/>
      <c r="BT44" s="8"/>
      <c r="BU44" s="8"/>
      <c r="BV44" s="8"/>
      <c r="BW44" s="8"/>
      <c r="BX44" s="8"/>
      <c r="BY44" s="8"/>
      <c r="BZ44" s="8"/>
    </row>
    <row r="45" spans="1:78" ht="13" customHeight="1" x14ac:dyDescent="0.15">
      <c r="A45" s="8" t="s">
        <v>6188</v>
      </c>
      <c r="B45" s="8" t="s">
        <v>74</v>
      </c>
      <c r="C45" s="9">
        <v>2019</v>
      </c>
      <c r="D45" s="8" t="s">
        <v>991</v>
      </c>
      <c r="E45" s="8" t="s">
        <v>992</v>
      </c>
      <c r="F45" s="8" t="s">
        <v>993</v>
      </c>
      <c r="G45" s="8" t="str" cm="1">
        <f t="array" ref="G45">LOWER(CleanCode(F45))</f>
        <v>theoreticalempiricalandpracticeliteratureonlanguagebrokeringfamilyacademicandpsychologicaloutcomes</v>
      </c>
      <c r="H45" s="8"/>
      <c r="I45" s="8"/>
      <c r="J45" s="8" t="s">
        <v>997</v>
      </c>
      <c r="K45" s="8"/>
      <c r="L45" s="8"/>
      <c r="M45" s="8" t="s">
        <v>994</v>
      </c>
      <c r="N45" s="8" t="str">
        <f t="shared" si="0"/>
        <v>Journal Of Human Behavior In The Social Environment</v>
      </c>
      <c r="O45" s="8" t="s">
        <v>1003</v>
      </c>
      <c r="P45" s="8" t="s">
        <v>1004</v>
      </c>
      <c r="Q45" s="8" t="s">
        <v>69</v>
      </c>
      <c r="R45" s="8"/>
      <c r="S45" s="8">
        <v>29</v>
      </c>
      <c r="T45" s="8">
        <v>7</v>
      </c>
      <c r="U45" s="8">
        <v>840</v>
      </c>
      <c r="V45" s="8">
        <v>860</v>
      </c>
      <c r="W45" s="8">
        <v>21</v>
      </c>
      <c r="X45" s="8"/>
      <c r="Y45" s="8">
        <v>95</v>
      </c>
      <c r="Z45" s="8">
        <v>1</v>
      </c>
      <c r="AA45" s="8">
        <v>1</v>
      </c>
      <c r="AB45" s="8">
        <v>1</v>
      </c>
      <c r="AC45" s="8">
        <v>8</v>
      </c>
      <c r="AD45" s="8" t="s">
        <v>1011</v>
      </c>
      <c r="AE45" s="8" t="s">
        <v>1007</v>
      </c>
      <c r="AF45" s="8" t="s">
        <v>69</v>
      </c>
      <c r="AG45" s="8" t="s">
        <v>108</v>
      </c>
      <c r="AH45" s="8" t="s">
        <v>109</v>
      </c>
      <c r="AI45" s="8" t="s">
        <v>110</v>
      </c>
      <c r="AJ45" s="8" t="s">
        <v>996</v>
      </c>
      <c r="AK45" s="8" t="s">
        <v>995</v>
      </c>
      <c r="AL45" s="8"/>
      <c r="AM45" s="8"/>
      <c r="AN45" s="8"/>
      <c r="AO45" s="8"/>
      <c r="AP45" s="8"/>
      <c r="AQ45" s="8"/>
      <c r="AR45" s="8"/>
      <c r="AS45" s="8"/>
      <c r="AT45" s="8"/>
      <c r="AU45" s="8"/>
      <c r="AV45" s="8"/>
      <c r="AW45" s="8"/>
      <c r="AX45" s="8"/>
      <c r="AY45" s="8"/>
      <c r="AZ45" s="8"/>
      <c r="BA45" s="8"/>
      <c r="BB45" s="8"/>
      <c r="BC45" s="8"/>
      <c r="BD45" s="8"/>
      <c r="BE45" s="8"/>
      <c r="BF45" s="8"/>
      <c r="BG45" s="8"/>
      <c r="BH45" s="8"/>
      <c r="BI45" s="8"/>
      <c r="BJ45" s="8"/>
      <c r="BK45" s="8"/>
      <c r="BL45" s="8"/>
      <c r="BM45" s="8"/>
      <c r="BN45" s="8"/>
      <c r="BO45" s="8"/>
      <c r="BP45" s="8"/>
      <c r="BQ45" s="8"/>
      <c r="BR45" s="8"/>
      <c r="BS45" s="8"/>
      <c r="BT45" s="8"/>
      <c r="BU45" s="8"/>
      <c r="BV45" s="8"/>
      <c r="BW45" s="8"/>
      <c r="BX45" s="8"/>
      <c r="BY45" s="8"/>
      <c r="BZ45" s="8"/>
    </row>
    <row r="46" spans="1:78" ht="13" customHeight="1" x14ac:dyDescent="0.15">
      <c r="A46" s="8" t="s">
        <v>6188</v>
      </c>
      <c r="B46" s="8" t="s">
        <v>74</v>
      </c>
      <c r="C46" s="9">
        <v>2019</v>
      </c>
      <c r="D46" s="8" t="s">
        <v>1012</v>
      </c>
      <c r="E46" s="8" t="s">
        <v>1013</v>
      </c>
      <c r="F46" s="8" t="s">
        <v>1014</v>
      </c>
      <c r="G46" s="8" t="str" cm="1">
        <f t="array" ref="G46">LOWER(CleanCode(F46))</f>
        <v>internalizingcapitalistnormsagroundedtheorystudyofhownorthkoreanescapeesadapttowork</v>
      </c>
      <c r="H46" s="8"/>
      <c r="I46" s="8"/>
      <c r="J46" s="8" t="s">
        <v>1017</v>
      </c>
      <c r="K46" s="8"/>
      <c r="L46" s="8"/>
      <c r="M46" s="8" t="s">
        <v>1015</v>
      </c>
      <c r="N46" s="8" t="str">
        <f t="shared" si="0"/>
        <v>Academy Of Management Discoveries</v>
      </c>
      <c r="O46" s="8" t="s">
        <v>1028</v>
      </c>
      <c r="P46" s="8" t="s">
        <v>69</v>
      </c>
      <c r="Q46" s="8" t="s">
        <v>69</v>
      </c>
      <c r="R46" s="8"/>
      <c r="S46" s="8">
        <v>5</v>
      </c>
      <c r="T46" s="8">
        <v>2</v>
      </c>
      <c r="U46" s="8">
        <v>171</v>
      </c>
      <c r="V46" s="8">
        <v>200</v>
      </c>
      <c r="W46" s="8">
        <v>30</v>
      </c>
      <c r="X46" s="8"/>
      <c r="Y46" s="8">
        <v>122</v>
      </c>
      <c r="Z46" s="8">
        <v>3</v>
      </c>
      <c r="AA46" s="8">
        <v>3</v>
      </c>
      <c r="AB46" s="8">
        <v>2</v>
      </c>
      <c r="AC46" s="8">
        <v>10</v>
      </c>
      <c r="AD46" s="8" t="s">
        <v>1033</v>
      </c>
      <c r="AE46" s="8" t="s">
        <v>1031</v>
      </c>
      <c r="AF46" s="8" t="s">
        <v>69</v>
      </c>
      <c r="AG46" s="8" t="s">
        <v>1025</v>
      </c>
      <c r="AH46" s="8" t="s">
        <v>1026</v>
      </c>
      <c r="AI46" s="8" t="s">
        <v>1027</v>
      </c>
      <c r="AJ46" s="8" t="s">
        <v>1016</v>
      </c>
      <c r="AK46" s="8" t="s">
        <v>69</v>
      </c>
      <c r="AL46" s="8"/>
      <c r="AM46" s="8"/>
      <c r="AN46" s="8"/>
      <c r="AO46" s="8"/>
      <c r="AP46" s="8"/>
      <c r="AQ46" s="8"/>
      <c r="AR46" s="8"/>
      <c r="AS46" s="8"/>
      <c r="AT46" s="8"/>
      <c r="AU46" s="8"/>
      <c r="AV46" s="8"/>
      <c r="AW46" s="8"/>
      <c r="AX46" s="8"/>
      <c r="AY46" s="8"/>
      <c r="AZ46" s="8"/>
      <c r="BA46" s="8"/>
      <c r="BB46" s="8"/>
      <c r="BC46" s="8"/>
      <c r="BD46" s="8"/>
      <c r="BE46" s="8"/>
      <c r="BF46" s="8"/>
      <c r="BG46" s="8"/>
      <c r="BH46" s="8"/>
      <c r="BI46" s="8"/>
      <c r="BJ46" s="8"/>
      <c r="BK46" s="8"/>
      <c r="BL46" s="8"/>
      <c r="BM46" s="8"/>
      <c r="BN46" s="8"/>
      <c r="BO46" s="8"/>
      <c r="BP46" s="8"/>
      <c r="BQ46" s="8"/>
      <c r="BR46" s="8"/>
      <c r="BS46" s="8"/>
      <c r="BT46" s="8"/>
      <c r="BU46" s="8"/>
      <c r="BV46" s="8"/>
      <c r="BW46" s="8"/>
      <c r="BX46" s="8"/>
      <c r="BY46" s="8"/>
      <c r="BZ46" s="8"/>
    </row>
    <row r="47" spans="1:78" ht="13" customHeight="1" x14ac:dyDescent="0.15">
      <c r="A47" s="8" t="s">
        <v>6188</v>
      </c>
      <c r="B47" s="8" t="s">
        <v>74</v>
      </c>
      <c r="C47" s="9">
        <v>2019</v>
      </c>
      <c r="D47" s="8" t="s">
        <v>1034</v>
      </c>
      <c r="E47" s="8" t="s">
        <v>1035</v>
      </c>
      <c r="F47" s="8" t="s">
        <v>1036</v>
      </c>
      <c r="G47" s="8" t="str" cm="1">
        <f t="array" ref="G47">LOWER(CleanCode(F47))</f>
        <v>thestudyandpreventionofalcoholandotherdrugmisuseamongmigrantstowardatransnationaltheoryofculturalstress</v>
      </c>
      <c r="H47" s="8"/>
      <c r="I47" s="8"/>
      <c r="J47" s="8" t="s">
        <v>1040</v>
      </c>
      <c r="K47" s="8"/>
      <c r="L47" s="8"/>
      <c r="M47" s="8" t="s">
        <v>1037</v>
      </c>
      <c r="N47" s="8" t="str">
        <f t="shared" si="0"/>
        <v>International Journal Of Mental Health And Addiction</v>
      </c>
      <c r="O47" s="8" t="s">
        <v>1047</v>
      </c>
      <c r="P47" s="8" t="s">
        <v>1048</v>
      </c>
      <c r="Q47" s="8" t="s">
        <v>69</v>
      </c>
      <c r="R47" s="8"/>
      <c r="S47" s="8">
        <v>17</v>
      </c>
      <c r="T47" s="8">
        <v>2</v>
      </c>
      <c r="U47" s="8">
        <v>346</v>
      </c>
      <c r="V47" s="8">
        <v>369</v>
      </c>
      <c r="W47" s="8">
        <v>24</v>
      </c>
      <c r="X47" s="8"/>
      <c r="Y47" s="8">
        <v>135</v>
      </c>
      <c r="Z47" s="8">
        <v>14</v>
      </c>
      <c r="AA47" s="8">
        <v>14</v>
      </c>
      <c r="AB47" s="8">
        <v>0</v>
      </c>
      <c r="AC47" s="8">
        <v>3</v>
      </c>
      <c r="AD47" s="8" t="s">
        <v>1055</v>
      </c>
      <c r="AE47" s="8" t="s">
        <v>1051</v>
      </c>
      <c r="AF47" s="8" t="s">
        <v>69</v>
      </c>
      <c r="AG47" s="8" t="s">
        <v>572</v>
      </c>
      <c r="AH47" s="8" t="s">
        <v>573</v>
      </c>
      <c r="AI47" s="8" t="s">
        <v>636</v>
      </c>
      <c r="AJ47" s="8" t="s">
        <v>1039</v>
      </c>
      <c r="AK47" s="8" t="s">
        <v>1038</v>
      </c>
      <c r="AL47" s="8"/>
      <c r="AM47" s="8"/>
      <c r="AN47" s="8"/>
      <c r="AO47" s="8"/>
      <c r="AP47" s="8"/>
      <c r="AQ47" s="8"/>
      <c r="AR47" s="8"/>
      <c r="AS47" s="8"/>
      <c r="AT47" s="8"/>
      <c r="AU47" s="8"/>
      <c r="AV47" s="8"/>
      <c r="AW47" s="8"/>
      <c r="AX47" s="8"/>
      <c r="AY47" s="8"/>
      <c r="AZ47" s="8"/>
      <c r="BA47" s="8"/>
      <c r="BB47" s="8"/>
      <c r="BC47" s="8"/>
      <c r="BD47" s="8"/>
      <c r="BE47" s="8"/>
      <c r="BF47" s="8"/>
      <c r="BG47" s="8"/>
      <c r="BH47" s="8"/>
      <c r="BI47" s="8"/>
      <c r="BJ47" s="8"/>
      <c r="BK47" s="8"/>
      <c r="BL47" s="8"/>
      <c r="BM47" s="8"/>
      <c r="BN47" s="8"/>
      <c r="BO47" s="8"/>
      <c r="BP47" s="8"/>
      <c r="BQ47" s="8"/>
      <c r="BR47" s="8"/>
      <c r="BS47" s="8"/>
      <c r="BT47" s="8"/>
      <c r="BU47" s="8"/>
      <c r="BV47" s="8"/>
      <c r="BW47" s="8"/>
      <c r="BX47" s="8"/>
      <c r="BY47" s="8"/>
      <c r="BZ47" s="8"/>
    </row>
    <row r="48" spans="1:78" ht="13" customHeight="1" x14ac:dyDescent="0.15">
      <c r="A48" s="8" t="s">
        <v>6188</v>
      </c>
      <c r="B48" s="8" t="s">
        <v>74</v>
      </c>
      <c r="C48" s="9">
        <v>2019</v>
      </c>
      <c r="D48" s="8" t="s">
        <v>1056</v>
      </c>
      <c r="E48" s="8" t="s">
        <v>1057</v>
      </c>
      <c r="F48" s="8" t="s">
        <v>1058</v>
      </c>
      <c r="G48" s="8" t="str" cm="1">
        <f t="array" ref="G48">LOWER(CleanCode(F48))</f>
        <v>theconceptualtriadtoleranceidentitynationalismintermsofmigrationcrisisinfrance</v>
      </c>
      <c r="H48" s="8"/>
      <c r="I48" s="8"/>
      <c r="J48" s="8" t="s">
        <v>1062</v>
      </c>
      <c r="K48" s="8"/>
      <c r="L48" s="8"/>
      <c r="M48" s="8" t="s">
        <v>1059</v>
      </c>
      <c r="N48" s="8" t="str">
        <f t="shared" si="0"/>
        <v>Contemporary Europe-Sovremennaya Evropa</v>
      </c>
      <c r="O48" s="8" t="s">
        <v>1069</v>
      </c>
      <c r="P48" s="8" t="s">
        <v>69</v>
      </c>
      <c r="Q48" s="8" t="s">
        <v>69</v>
      </c>
      <c r="R48" s="8"/>
      <c r="S48" s="8" t="s">
        <v>69</v>
      </c>
      <c r="T48" s="8">
        <v>2</v>
      </c>
      <c r="U48" s="8">
        <v>175</v>
      </c>
      <c r="V48" s="8">
        <v>184</v>
      </c>
      <c r="W48" s="8">
        <v>10</v>
      </c>
      <c r="X48" s="8"/>
      <c r="Y48" s="8">
        <v>23</v>
      </c>
      <c r="Z48" s="8">
        <v>0</v>
      </c>
      <c r="AA48" s="8">
        <v>0</v>
      </c>
      <c r="AB48" s="8">
        <v>0</v>
      </c>
      <c r="AC48" s="8">
        <v>2</v>
      </c>
      <c r="AD48" s="8" t="s">
        <v>1076</v>
      </c>
      <c r="AE48" s="8" t="s">
        <v>1073</v>
      </c>
      <c r="AF48" s="8" t="s">
        <v>69</v>
      </c>
      <c r="AG48" s="8" t="s">
        <v>1066</v>
      </c>
      <c r="AH48" s="8" t="s">
        <v>1067</v>
      </c>
      <c r="AI48" s="8" t="s">
        <v>1068</v>
      </c>
      <c r="AJ48" s="8" t="s">
        <v>69</v>
      </c>
      <c r="AK48" s="8" t="s">
        <v>1061</v>
      </c>
      <c r="AL48" s="8"/>
      <c r="AM48" s="8"/>
      <c r="AN48" s="8"/>
      <c r="AO48" s="8"/>
      <c r="AP48" s="8"/>
      <c r="AQ48" s="8"/>
      <c r="AR48" s="8"/>
      <c r="AS48" s="8"/>
      <c r="AT48" s="8"/>
      <c r="AU48" s="8"/>
      <c r="AV48" s="8"/>
      <c r="AW48" s="8"/>
      <c r="AX48" s="8"/>
      <c r="AY48" s="8"/>
      <c r="AZ48" s="8"/>
      <c r="BA48" s="8"/>
      <c r="BB48" s="8"/>
      <c r="BC48" s="8"/>
      <c r="BD48" s="8"/>
      <c r="BE48" s="8"/>
      <c r="BF48" s="8"/>
      <c r="BG48" s="8"/>
      <c r="BH48" s="8"/>
      <c r="BI48" s="8"/>
      <c r="BJ48" s="8"/>
      <c r="BK48" s="8"/>
      <c r="BL48" s="8"/>
      <c r="BM48" s="8"/>
      <c r="BN48" s="8"/>
      <c r="BO48" s="8"/>
      <c r="BP48" s="8"/>
      <c r="BQ48" s="8"/>
      <c r="BR48" s="8"/>
      <c r="BS48" s="8"/>
      <c r="BT48" s="8"/>
      <c r="BU48" s="8"/>
      <c r="BV48" s="8"/>
      <c r="BW48" s="8"/>
      <c r="BX48" s="8"/>
      <c r="BY48" s="8"/>
      <c r="BZ48" s="8"/>
    </row>
    <row r="49" spans="1:78" ht="13" customHeight="1" x14ac:dyDescent="0.15">
      <c r="A49" s="8" t="s">
        <v>6188</v>
      </c>
      <c r="B49" s="8" t="s">
        <v>74</v>
      </c>
      <c r="C49" s="9">
        <v>2019</v>
      </c>
      <c r="D49" s="8" t="s">
        <v>1077</v>
      </c>
      <c r="E49" s="8" t="s">
        <v>1078</v>
      </c>
      <c r="F49" s="8" t="s">
        <v>1079</v>
      </c>
      <c r="G49" s="8" t="str" cm="1">
        <f t="array" ref="G49">LOWER(CleanCode(F49))</f>
        <v>friendorfoeculturalfusiontheoryandmediacoverageofsyrianrefugeesinturkey</v>
      </c>
      <c r="H49" s="8"/>
      <c r="I49" s="8"/>
      <c r="J49" s="8" t="s">
        <v>1083</v>
      </c>
      <c r="K49" s="8"/>
      <c r="L49" s="8"/>
      <c r="M49" s="8" t="s">
        <v>1080</v>
      </c>
      <c r="N49" s="8" t="str">
        <f t="shared" si="0"/>
        <v>Communication Culture &amp; Critique</v>
      </c>
      <c r="O49" s="8" t="s">
        <v>1090</v>
      </c>
      <c r="P49" s="8" t="s">
        <v>1091</v>
      </c>
      <c r="Q49" s="8" t="s">
        <v>69</v>
      </c>
      <c r="R49" s="8"/>
      <c r="S49" s="8">
        <v>12</v>
      </c>
      <c r="T49" s="8">
        <v>1</v>
      </c>
      <c r="U49" s="8">
        <v>110</v>
      </c>
      <c r="V49" s="8">
        <v>127</v>
      </c>
      <c r="W49" s="8">
        <v>18</v>
      </c>
      <c r="X49" s="8"/>
      <c r="Y49" s="8">
        <v>31</v>
      </c>
      <c r="Z49" s="8">
        <v>0</v>
      </c>
      <c r="AA49" s="8">
        <v>0</v>
      </c>
      <c r="AB49" s="8">
        <v>3</v>
      </c>
      <c r="AC49" s="8">
        <v>10</v>
      </c>
      <c r="AD49" s="8" t="s">
        <v>1096</v>
      </c>
      <c r="AE49" s="8" t="s">
        <v>1094</v>
      </c>
      <c r="AF49" s="8" t="s">
        <v>69</v>
      </c>
      <c r="AG49" s="8" t="s">
        <v>1087</v>
      </c>
      <c r="AH49" s="8" t="s">
        <v>1088</v>
      </c>
      <c r="AI49" s="8" t="s">
        <v>1089</v>
      </c>
      <c r="AJ49" s="8" t="s">
        <v>1082</v>
      </c>
      <c r="AK49" s="8" t="s">
        <v>1081</v>
      </c>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row>
    <row r="50" spans="1:78" ht="13" customHeight="1" x14ac:dyDescent="0.15">
      <c r="A50" s="8" t="s">
        <v>6188</v>
      </c>
      <c r="B50" s="8" t="s">
        <v>74</v>
      </c>
      <c r="C50" s="9">
        <v>2019</v>
      </c>
      <c r="D50" s="8" t="s">
        <v>1097</v>
      </c>
      <c r="E50" s="8" t="s">
        <v>1098</v>
      </c>
      <c r="F50" s="8" t="s">
        <v>1099</v>
      </c>
      <c r="G50" s="8" t="str" cm="1">
        <f t="array" ref="G50">LOWER(CleanCode(F50))</f>
        <v>politicalideologyandculturaldiversityinsouthkoreatowardatheoryofgroupdifferentiatedrights</v>
      </c>
      <c r="H50" s="8"/>
      <c r="I50" s="8"/>
      <c r="J50" s="8" t="s">
        <v>1103</v>
      </c>
      <c r="K50" s="8"/>
      <c r="L50" s="8"/>
      <c r="M50" s="8" t="s">
        <v>1100</v>
      </c>
      <c r="N50" s="8" t="str">
        <f t="shared" si="0"/>
        <v>International Journal On Minority And Group Rights</v>
      </c>
      <c r="O50" s="8" t="s">
        <v>1110</v>
      </c>
      <c r="P50" s="8" t="s">
        <v>1111</v>
      </c>
      <c r="Q50" s="8" t="s">
        <v>69</v>
      </c>
      <c r="R50" s="8"/>
      <c r="S50" s="8">
        <v>26</v>
      </c>
      <c r="T50" s="8">
        <v>2</v>
      </c>
      <c r="U50" s="8">
        <v>289</v>
      </c>
      <c r="V50" s="8">
        <v>303</v>
      </c>
      <c r="W50" s="8">
        <v>15</v>
      </c>
      <c r="X50" s="8"/>
      <c r="Y50" s="8">
        <v>48</v>
      </c>
      <c r="Z50" s="8">
        <v>0</v>
      </c>
      <c r="AA50" s="8">
        <v>0</v>
      </c>
      <c r="AB50" s="8">
        <v>0</v>
      </c>
      <c r="AC50" s="8">
        <v>2</v>
      </c>
      <c r="AD50" s="8" t="s">
        <v>1118</v>
      </c>
      <c r="AE50" s="8" t="s">
        <v>1114</v>
      </c>
      <c r="AF50" s="8" t="s">
        <v>69</v>
      </c>
      <c r="AG50" s="8" t="s">
        <v>1107</v>
      </c>
      <c r="AH50" s="8" t="s">
        <v>1108</v>
      </c>
      <c r="AI50" s="8" t="s">
        <v>1109</v>
      </c>
      <c r="AJ50" s="8" t="s">
        <v>1102</v>
      </c>
      <c r="AK50" s="8" t="s">
        <v>1101</v>
      </c>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row>
    <row r="51" spans="1:78" ht="13" customHeight="1" x14ac:dyDescent="0.15">
      <c r="A51" s="8" t="s">
        <v>6188</v>
      </c>
      <c r="B51" s="8" t="s">
        <v>50</v>
      </c>
      <c r="C51" s="9">
        <v>2019</v>
      </c>
      <c r="D51" s="8" t="s">
        <v>1119</v>
      </c>
      <c r="E51" s="8" t="s">
        <v>1120</v>
      </c>
      <c r="F51" s="8" t="s">
        <v>1121</v>
      </c>
      <c r="G51" s="8" t="str" cm="1">
        <f t="array" ref="G51">LOWER(CleanCode(F51))</f>
        <v>acriticalreflectiononthetheoryofwellbeinginrefugeewomenexperiencingculturaltransition</v>
      </c>
      <c r="H51" s="8"/>
      <c r="I51" s="8"/>
      <c r="J51" s="8" t="s">
        <v>69</v>
      </c>
      <c r="K51" s="8"/>
      <c r="L51" s="8"/>
      <c r="M51" s="8" t="s">
        <v>1122</v>
      </c>
      <c r="N51" s="8" t="str">
        <f t="shared" si="0"/>
        <v>International Journal Of Qualitative Methods</v>
      </c>
      <c r="O51" s="8" t="s">
        <v>1124</v>
      </c>
      <c r="P51" s="8" t="s">
        <v>69</v>
      </c>
      <c r="Q51" s="8" t="s">
        <v>69</v>
      </c>
      <c r="R51" s="8"/>
      <c r="S51" s="8">
        <v>18</v>
      </c>
      <c r="T51" s="8" t="s">
        <v>69</v>
      </c>
      <c r="U51" s="8" t="s">
        <v>69</v>
      </c>
      <c r="V51" s="8" t="s">
        <v>69</v>
      </c>
      <c r="W51" s="8">
        <v>2</v>
      </c>
      <c r="X51" s="8"/>
      <c r="Y51" s="8">
        <v>0</v>
      </c>
      <c r="Z51" s="8">
        <v>0</v>
      </c>
      <c r="AA51" s="8">
        <v>0</v>
      </c>
      <c r="AB51" s="8">
        <v>0</v>
      </c>
      <c r="AC51" s="8">
        <v>1</v>
      </c>
      <c r="AD51" s="8" t="s">
        <v>1130</v>
      </c>
      <c r="AE51" s="8" t="s">
        <v>69</v>
      </c>
      <c r="AF51" s="8" t="s">
        <v>69</v>
      </c>
      <c r="AG51" s="8" t="s">
        <v>180</v>
      </c>
      <c r="AH51" s="8" t="s">
        <v>181</v>
      </c>
      <c r="AI51" s="8" t="s">
        <v>182</v>
      </c>
      <c r="AJ51" s="8" t="s">
        <v>69</v>
      </c>
      <c r="AK51" s="8" t="s">
        <v>69</v>
      </c>
      <c r="AL51" s="8"/>
      <c r="AM51" s="8"/>
      <c r="AN51" s="8"/>
      <c r="AO51" s="8"/>
      <c r="AP51" s="8"/>
      <c r="AQ51" s="8"/>
      <c r="AR51" s="8"/>
      <c r="AS51" s="8"/>
      <c r="AT51" s="8"/>
      <c r="AU51" s="8"/>
      <c r="AV51" s="8"/>
      <c r="AW51" s="8"/>
      <c r="AX51" s="8"/>
      <c r="AY51" s="8"/>
      <c r="AZ51" s="8"/>
      <c r="BA51" s="8"/>
      <c r="BB51" s="8"/>
      <c r="BC51" s="8"/>
      <c r="BD51" s="8"/>
      <c r="BE51" s="8"/>
      <c r="BF51" s="8"/>
      <c r="BG51" s="8"/>
      <c r="BH51" s="8"/>
      <c r="BI51" s="8"/>
      <c r="BJ51" s="8"/>
      <c r="BK51" s="8"/>
      <c r="BL51" s="8"/>
      <c r="BM51" s="8"/>
      <c r="BN51" s="8"/>
      <c r="BO51" s="8"/>
      <c r="BP51" s="8"/>
      <c r="BQ51" s="8"/>
      <c r="BR51" s="8"/>
      <c r="BS51" s="8"/>
      <c r="BT51" s="8"/>
      <c r="BU51" s="8"/>
      <c r="BV51" s="8"/>
      <c r="BW51" s="8"/>
      <c r="BX51" s="8"/>
      <c r="BY51" s="8"/>
      <c r="BZ51" s="8"/>
    </row>
    <row r="52" spans="1:78" ht="13" customHeight="1" x14ac:dyDescent="0.15">
      <c r="A52" s="8" t="s">
        <v>6188</v>
      </c>
      <c r="B52" s="8" t="s">
        <v>74</v>
      </c>
      <c r="C52" s="9">
        <v>2019</v>
      </c>
      <c r="D52" s="8" t="s">
        <v>1131</v>
      </c>
      <c r="E52" s="8" t="s">
        <v>1132</v>
      </c>
      <c r="F52" s="8" t="s">
        <v>1133</v>
      </c>
      <c r="G52" s="8" t="str" cm="1">
        <f t="array" ref="G52">LOWER(CleanCode(F52))</f>
        <v>avulnerabilityframeworktoprotectcoastalsocialecologicalsystems</v>
      </c>
      <c r="H52" s="8"/>
      <c r="I52" s="8"/>
      <c r="J52" s="8" t="s">
        <v>1137</v>
      </c>
      <c r="K52" s="8"/>
      <c r="L52" s="8"/>
      <c r="M52" s="8" t="s">
        <v>1134</v>
      </c>
      <c r="N52" s="8" t="str">
        <f t="shared" si="0"/>
        <v>Anthropocene Coasts</v>
      </c>
      <c r="O52" s="8" t="s">
        <v>69</v>
      </c>
      <c r="P52" s="8" t="s">
        <v>1144</v>
      </c>
      <c r="Q52" s="8" t="s">
        <v>69</v>
      </c>
      <c r="R52" s="8"/>
      <c r="S52" s="8">
        <v>2</v>
      </c>
      <c r="T52" s="8">
        <v>1</v>
      </c>
      <c r="U52" s="8">
        <v>279</v>
      </c>
      <c r="V52" s="8">
        <v>292</v>
      </c>
      <c r="W52" s="8">
        <v>14</v>
      </c>
      <c r="X52" s="8"/>
      <c r="Y52" s="8">
        <v>58</v>
      </c>
      <c r="Z52" s="8">
        <v>1</v>
      </c>
      <c r="AA52" s="8">
        <v>1</v>
      </c>
      <c r="AB52" s="8">
        <v>3</v>
      </c>
      <c r="AC52" s="8">
        <v>3</v>
      </c>
      <c r="AD52" s="8" t="s">
        <v>1150</v>
      </c>
      <c r="AE52" s="8" t="s">
        <v>1146</v>
      </c>
      <c r="AF52" s="8" t="s">
        <v>69</v>
      </c>
      <c r="AG52" s="8" t="s">
        <v>1141</v>
      </c>
      <c r="AH52" s="8" t="s">
        <v>1142</v>
      </c>
      <c r="AI52" s="8" t="s">
        <v>1143</v>
      </c>
      <c r="AJ52" s="8" t="s">
        <v>1136</v>
      </c>
      <c r="AK52" s="8" t="s">
        <v>1135</v>
      </c>
      <c r="AL52" s="8"/>
      <c r="AM52" s="8"/>
      <c r="AN52" s="8"/>
      <c r="AO52" s="8"/>
      <c r="AP52" s="8"/>
      <c r="AQ52" s="8"/>
      <c r="AR52" s="8"/>
      <c r="AS52" s="8"/>
      <c r="AT52" s="8"/>
      <c r="AU52" s="8"/>
      <c r="AV52" s="8"/>
      <c r="AW52" s="8"/>
      <c r="AX52" s="8"/>
      <c r="AY52" s="8"/>
      <c r="AZ52" s="8"/>
      <c r="BA52" s="8"/>
      <c r="BB52" s="8"/>
      <c r="BC52" s="8"/>
      <c r="BD52" s="8"/>
      <c r="BE52" s="8"/>
      <c r="BF52" s="8"/>
      <c r="BG52" s="8"/>
      <c r="BH52" s="8"/>
      <c r="BI52" s="8"/>
      <c r="BJ52" s="8"/>
      <c r="BK52" s="8"/>
      <c r="BL52" s="8"/>
      <c r="BM52" s="8"/>
      <c r="BN52" s="8"/>
      <c r="BO52" s="8"/>
      <c r="BP52" s="8"/>
      <c r="BQ52" s="8"/>
      <c r="BR52" s="8"/>
      <c r="BS52" s="8"/>
      <c r="BT52" s="8"/>
      <c r="BU52" s="8"/>
      <c r="BV52" s="8"/>
      <c r="BW52" s="8"/>
      <c r="BX52" s="8"/>
      <c r="BY52" s="8"/>
      <c r="BZ52" s="8"/>
    </row>
    <row r="53" spans="1:78" ht="13" customHeight="1" x14ac:dyDescent="0.15">
      <c r="A53" s="8" t="s">
        <v>6188</v>
      </c>
      <c r="B53" s="8" t="s">
        <v>74</v>
      </c>
      <c r="C53" s="9">
        <v>2019</v>
      </c>
      <c r="D53" s="8" t="s">
        <v>1152</v>
      </c>
      <c r="E53" s="8" t="s">
        <v>1153</v>
      </c>
      <c r="F53" s="8" t="s">
        <v>1154</v>
      </c>
      <c r="G53" s="8" t="str" cm="1">
        <f t="array" ref="G53">LOWER(CleanCode(F53))</f>
        <v>spatialmobilityinsocialtheory</v>
      </c>
      <c r="H53" s="8"/>
      <c r="I53" s="8"/>
      <c r="J53" s="8" t="s">
        <v>1158</v>
      </c>
      <c r="K53" s="8"/>
      <c r="L53" s="8"/>
      <c r="M53" s="8" t="s">
        <v>1155</v>
      </c>
      <c r="N53" s="8" t="str">
        <f t="shared" si="0"/>
        <v>Societamutamentopolitica-Rivista Italiana Di Sociologia</v>
      </c>
      <c r="O53" s="8" t="s">
        <v>1165</v>
      </c>
      <c r="P53" s="8" t="s">
        <v>69</v>
      </c>
      <c r="Q53" s="8" t="s">
        <v>69</v>
      </c>
      <c r="R53" s="8"/>
      <c r="S53" s="8">
        <v>10</v>
      </c>
      <c r="T53" s="8">
        <v>20</v>
      </c>
      <c r="U53" s="8">
        <v>125</v>
      </c>
      <c r="V53" s="8">
        <v>137</v>
      </c>
      <c r="W53" s="8">
        <v>13</v>
      </c>
      <c r="X53" s="8"/>
      <c r="Y53" s="8">
        <v>104</v>
      </c>
      <c r="Z53" s="8">
        <v>0</v>
      </c>
      <c r="AA53" s="8">
        <v>0</v>
      </c>
      <c r="AB53" s="8">
        <v>0</v>
      </c>
      <c r="AC53" s="8">
        <v>3</v>
      </c>
      <c r="AD53" s="8" t="s">
        <v>1170</v>
      </c>
      <c r="AE53" s="8" t="s">
        <v>1168</v>
      </c>
      <c r="AF53" s="8" t="s">
        <v>69</v>
      </c>
      <c r="AG53" s="8" t="s">
        <v>1162</v>
      </c>
      <c r="AH53" s="8" t="s">
        <v>1163</v>
      </c>
      <c r="AI53" s="8" t="s">
        <v>1164</v>
      </c>
      <c r="AJ53" s="8" t="s">
        <v>1157</v>
      </c>
      <c r="AK53" s="8" t="s">
        <v>1156</v>
      </c>
      <c r="AL53" s="8"/>
      <c r="AM53" s="8"/>
      <c r="AN53" s="8"/>
      <c r="AO53" s="8"/>
      <c r="AP53" s="8"/>
      <c r="AQ53" s="8"/>
      <c r="AR53" s="8"/>
      <c r="AS53" s="8"/>
      <c r="AT53" s="8"/>
      <c r="AU53" s="8"/>
      <c r="AV53" s="8"/>
      <c r="AW53" s="8"/>
      <c r="AX53" s="8"/>
      <c r="AY53" s="8"/>
      <c r="AZ53" s="8"/>
      <c r="BA53" s="8"/>
      <c r="BB53" s="8"/>
      <c r="BC53" s="8"/>
      <c r="BD53" s="8"/>
      <c r="BE53" s="8"/>
      <c r="BF53" s="8"/>
      <c r="BG53" s="8"/>
      <c r="BH53" s="8"/>
      <c r="BI53" s="8"/>
      <c r="BJ53" s="8"/>
      <c r="BK53" s="8"/>
      <c r="BL53" s="8"/>
      <c r="BM53" s="8"/>
      <c r="BN53" s="8"/>
      <c r="BO53" s="8"/>
      <c r="BP53" s="8"/>
      <c r="BQ53" s="8"/>
      <c r="BR53" s="8"/>
      <c r="BS53" s="8"/>
      <c r="BT53" s="8"/>
      <c r="BU53" s="8"/>
      <c r="BV53" s="8"/>
      <c r="BW53" s="8"/>
      <c r="BX53" s="8"/>
      <c r="BY53" s="8"/>
      <c r="BZ53" s="8"/>
    </row>
    <row r="54" spans="1:78" ht="13" customHeight="1" x14ac:dyDescent="0.15">
      <c r="A54" s="8" t="s">
        <v>6188</v>
      </c>
      <c r="B54" s="8" t="s">
        <v>74</v>
      </c>
      <c r="C54" s="9">
        <v>2019</v>
      </c>
      <c r="D54" s="8" t="s">
        <v>1171</v>
      </c>
      <c r="E54" s="8" t="s">
        <v>1172</v>
      </c>
      <c r="F54" s="8" t="s">
        <v>1173</v>
      </c>
      <c r="G54" s="8" t="str" cm="1">
        <f t="array" ref="G54">LOWER(CleanCode(F54))</f>
        <v>rethinkingtheacculturationgapdistresstheoryamongasianamericanstestingbidirectionalindirectrelations</v>
      </c>
      <c r="H54" s="8"/>
      <c r="I54" s="8"/>
      <c r="J54" s="8" t="s">
        <v>1177</v>
      </c>
      <c r="K54" s="8"/>
      <c r="L54" s="8"/>
      <c r="M54" s="8" t="s">
        <v>1174</v>
      </c>
      <c r="N54" s="8" t="str">
        <f t="shared" si="0"/>
        <v>American Journal Of Orthopsychiatry</v>
      </c>
      <c r="O54" s="8" t="s">
        <v>1186</v>
      </c>
      <c r="P54" s="8" t="s">
        <v>1187</v>
      </c>
      <c r="Q54" s="8" t="s">
        <v>69</v>
      </c>
      <c r="R54" s="8"/>
      <c r="S54" s="8">
        <v>89</v>
      </c>
      <c r="T54" s="8">
        <v>6</v>
      </c>
      <c r="U54" s="8">
        <v>627</v>
      </c>
      <c r="V54" s="8">
        <v>639</v>
      </c>
      <c r="W54" s="8">
        <v>13</v>
      </c>
      <c r="X54" s="8"/>
      <c r="Y54" s="8">
        <v>75</v>
      </c>
      <c r="Z54" s="8">
        <v>6</v>
      </c>
      <c r="AA54" s="8">
        <v>6</v>
      </c>
      <c r="AB54" s="8">
        <v>1</v>
      </c>
      <c r="AC54" s="8">
        <v>1</v>
      </c>
      <c r="AD54" s="8" t="s">
        <v>1193</v>
      </c>
      <c r="AE54" s="8" t="s">
        <v>1190</v>
      </c>
      <c r="AF54" s="8">
        <v>29461073</v>
      </c>
      <c r="AG54" s="8" t="s">
        <v>1183</v>
      </c>
      <c r="AH54" s="8" t="s">
        <v>1184</v>
      </c>
      <c r="AI54" s="8" t="s">
        <v>1185</v>
      </c>
      <c r="AJ54" s="8" t="s">
        <v>1176</v>
      </c>
      <c r="AK54" s="8" t="s">
        <v>1175</v>
      </c>
      <c r="AL54" s="8"/>
      <c r="AM54" s="8"/>
      <c r="AN54" s="8"/>
      <c r="AO54" s="8"/>
      <c r="AP54" s="8"/>
      <c r="AQ54" s="8"/>
      <c r="AR54" s="8"/>
      <c r="AS54" s="8"/>
      <c r="AT54" s="8"/>
      <c r="AU54" s="8"/>
      <c r="AV54" s="8"/>
      <c r="AW54" s="8"/>
      <c r="AX54" s="8"/>
      <c r="AY54" s="8"/>
      <c r="AZ54" s="8"/>
      <c r="BA54" s="8"/>
      <c r="BB54" s="8"/>
      <c r="BC54" s="8"/>
      <c r="BD54" s="8"/>
      <c r="BE54" s="8"/>
      <c r="BF54" s="8"/>
      <c r="BG54" s="8"/>
      <c r="BH54" s="8"/>
      <c r="BI54" s="8"/>
      <c r="BJ54" s="8"/>
      <c r="BK54" s="8"/>
      <c r="BL54" s="8"/>
      <c r="BM54" s="8"/>
      <c r="BN54" s="8"/>
      <c r="BO54" s="8"/>
      <c r="BP54" s="8"/>
      <c r="BQ54" s="8"/>
      <c r="BR54" s="8"/>
      <c r="BS54" s="8"/>
      <c r="BT54" s="8"/>
      <c r="BU54" s="8"/>
      <c r="BV54" s="8"/>
      <c r="BW54" s="8"/>
      <c r="BX54" s="8"/>
      <c r="BY54" s="8"/>
      <c r="BZ54" s="8"/>
    </row>
    <row r="55" spans="1:78" ht="13" customHeight="1" x14ac:dyDescent="0.15">
      <c r="A55" s="8" t="s">
        <v>6188</v>
      </c>
      <c r="B55" s="8" t="s">
        <v>74</v>
      </c>
      <c r="C55" s="9">
        <v>2019</v>
      </c>
      <c r="D55" s="8" t="s">
        <v>1194</v>
      </c>
      <c r="E55" s="8" t="s">
        <v>1195</v>
      </c>
      <c r="F55" s="8" t="s">
        <v>1196</v>
      </c>
      <c r="G55" s="8" t="str" cm="1">
        <f t="array" ref="G55">LOWER(CleanCode(F55))</f>
        <v>riskfactorsofsuicidewithreferencetothetheoryofsocialintegrationbyemiledurkheim</v>
      </c>
      <c r="H55" s="8"/>
      <c r="I55" s="8"/>
      <c r="J55" s="8" t="s">
        <v>1201</v>
      </c>
      <c r="K55" s="8"/>
      <c r="L55" s="8"/>
      <c r="M55" s="8" t="s">
        <v>1197</v>
      </c>
      <c r="N55" s="8" t="str">
        <f t="shared" si="0"/>
        <v>Psychiatria Polska</v>
      </c>
      <c r="O55" s="8" t="s">
        <v>1209</v>
      </c>
      <c r="P55" s="8" t="s">
        <v>69</v>
      </c>
      <c r="Q55" s="8" t="s">
        <v>69</v>
      </c>
      <c r="R55" s="8"/>
      <c r="S55" s="8">
        <v>53</v>
      </c>
      <c r="T55" s="8">
        <v>4</v>
      </c>
      <c r="U55" s="8">
        <v>865</v>
      </c>
      <c r="V55" s="8">
        <v>881</v>
      </c>
      <c r="W55" s="8">
        <v>17</v>
      </c>
      <c r="X55" s="8"/>
      <c r="Y55" s="8">
        <v>74</v>
      </c>
      <c r="Z55" s="8">
        <v>0</v>
      </c>
      <c r="AA55" s="8">
        <v>1</v>
      </c>
      <c r="AB55" s="8">
        <v>0</v>
      </c>
      <c r="AC55" s="8">
        <v>4</v>
      </c>
      <c r="AD55" s="8" t="s">
        <v>1215</v>
      </c>
      <c r="AE55" s="8" t="s">
        <v>1212</v>
      </c>
      <c r="AF55" s="8">
        <v>31760414</v>
      </c>
      <c r="AG55" s="8" t="s">
        <v>1206</v>
      </c>
      <c r="AH55" s="8" t="s">
        <v>1207</v>
      </c>
      <c r="AI55" s="8" t="s">
        <v>1208</v>
      </c>
      <c r="AJ55" s="8" t="s">
        <v>1200</v>
      </c>
      <c r="AK55" s="8" t="s">
        <v>1199</v>
      </c>
      <c r="AL55" s="8"/>
      <c r="AM55" s="8"/>
      <c r="AN55" s="8"/>
      <c r="AO55" s="8"/>
      <c r="AP55" s="8"/>
      <c r="AQ55" s="8"/>
      <c r="AR55" s="8"/>
      <c r="AS55" s="8"/>
      <c r="AT55" s="8"/>
      <c r="AU55" s="8"/>
      <c r="AV55" s="8"/>
      <c r="AW55" s="8"/>
      <c r="AX55" s="8"/>
      <c r="AY55" s="8"/>
      <c r="AZ55" s="8"/>
      <c r="BA55" s="8"/>
      <c r="BB55" s="8"/>
      <c r="BC55" s="8"/>
      <c r="BD55" s="8"/>
      <c r="BE55" s="8"/>
      <c r="BF55" s="8"/>
      <c r="BG55" s="8"/>
      <c r="BH55" s="8"/>
      <c r="BI55" s="8"/>
      <c r="BJ55" s="8"/>
      <c r="BK55" s="8"/>
      <c r="BL55" s="8"/>
      <c r="BM55" s="8"/>
      <c r="BN55" s="8"/>
      <c r="BO55" s="8"/>
      <c r="BP55" s="8"/>
      <c r="BQ55" s="8"/>
      <c r="BR55" s="8"/>
      <c r="BS55" s="8"/>
      <c r="BT55" s="8"/>
      <c r="BU55" s="8"/>
      <c r="BV55" s="8"/>
      <c r="BW55" s="8"/>
      <c r="BX55" s="8"/>
      <c r="BY55" s="8"/>
      <c r="BZ55" s="8"/>
    </row>
    <row r="56" spans="1:78" ht="13" customHeight="1" x14ac:dyDescent="0.15">
      <c r="A56" s="8" t="s">
        <v>6188</v>
      </c>
      <c r="B56" s="8" t="s">
        <v>74</v>
      </c>
      <c r="C56" s="9">
        <v>2019</v>
      </c>
      <c r="D56" s="8" t="s">
        <v>1216</v>
      </c>
      <c r="E56" s="8" t="s">
        <v>1217</v>
      </c>
      <c r="F56" s="8" t="s">
        <v>1218</v>
      </c>
      <c r="G56" s="8" t="str" cm="1">
        <f t="array" ref="G56">LOWER(CleanCode(F56))</f>
        <v>socialsufferingandreturnmigrationsaconceptualproposal</v>
      </c>
      <c r="H56" s="8"/>
      <c r="I56" s="8"/>
      <c r="J56" s="8" t="s">
        <v>1222</v>
      </c>
      <c r="K56" s="8"/>
      <c r="L56" s="8"/>
      <c r="M56" s="8" t="s">
        <v>1219</v>
      </c>
      <c r="N56" s="8" t="str">
        <f t="shared" si="0"/>
        <v>Apuntes-Revista De Ciencias Sociales</v>
      </c>
      <c r="O56" s="8" t="s">
        <v>1230</v>
      </c>
      <c r="P56" s="8" t="s">
        <v>1231</v>
      </c>
      <c r="Q56" s="8" t="s">
        <v>69</v>
      </c>
      <c r="R56" s="8"/>
      <c r="S56" s="8">
        <v>46</v>
      </c>
      <c r="T56" s="8">
        <v>84</v>
      </c>
      <c r="U56" s="8">
        <v>37</v>
      </c>
      <c r="V56" s="8">
        <v>63</v>
      </c>
      <c r="W56" s="8">
        <v>27</v>
      </c>
      <c r="X56" s="8"/>
      <c r="Y56" s="8">
        <v>94</v>
      </c>
      <c r="Z56" s="8">
        <v>0</v>
      </c>
      <c r="AA56" s="8">
        <v>0</v>
      </c>
      <c r="AB56" s="8">
        <v>1</v>
      </c>
      <c r="AC56" s="8">
        <v>4</v>
      </c>
      <c r="AD56" s="8" t="s">
        <v>1236</v>
      </c>
      <c r="AE56" s="8" t="s">
        <v>1234</v>
      </c>
      <c r="AF56" s="8" t="s">
        <v>69</v>
      </c>
      <c r="AG56" s="8" t="s">
        <v>1227</v>
      </c>
      <c r="AH56" s="8" t="s">
        <v>1228</v>
      </c>
      <c r="AI56" s="8" t="s">
        <v>1229</v>
      </c>
      <c r="AJ56" s="8" t="s">
        <v>1221</v>
      </c>
      <c r="AK56" s="8" t="s">
        <v>1220</v>
      </c>
      <c r="AL56" s="8"/>
      <c r="AM56" s="8"/>
      <c r="AN56" s="8"/>
      <c r="AO56" s="8"/>
      <c r="AP56" s="8"/>
      <c r="AQ56" s="8"/>
      <c r="AR56" s="8"/>
      <c r="AS56" s="8"/>
      <c r="AT56" s="8"/>
      <c r="AU56" s="8"/>
      <c r="AV56" s="8"/>
      <c r="AW56" s="8"/>
      <c r="AX56" s="8"/>
      <c r="AY56" s="8"/>
      <c r="AZ56" s="8"/>
      <c r="BA56" s="8"/>
      <c r="BB56" s="8"/>
      <c r="BC56" s="8"/>
      <c r="BD56" s="8"/>
      <c r="BE56" s="8"/>
      <c r="BF56" s="8"/>
      <c r="BG56" s="8"/>
      <c r="BH56" s="8"/>
      <c r="BI56" s="8"/>
      <c r="BJ56" s="8"/>
      <c r="BK56" s="8"/>
      <c r="BL56" s="8"/>
      <c r="BM56" s="8"/>
      <c r="BN56" s="8"/>
      <c r="BO56" s="8"/>
      <c r="BP56" s="8"/>
      <c r="BQ56" s="8"/>
      <c r="BR56" s="8"/>
      <c r="BS56" s="8"/>
      <c r="BT56" s="8"/>
      <c r="BU56" s="8"/>
      <c r="BV56" s="8"/>
      <c r="BW56" s="8"/>
      <c r="BX56" s="8"/>
      <c r="BY56" s="8"/>
      <c r="BZ56" s="8"/>
    </row>
    <row r="57" spans="1:78" ht="13" customHeight="1" x14ac:dyDescent="0.15">
      <c r="A57" s="8" t="s">
        <v>6188</v>
      </c>
      <c r="B57" s="8" t="s">
        <v>74</v>
      </c>
      <c r="C57" s="9">
        <v>2019</v>
      </c>
      <c r="D57" s="8" t="s">
        <v>1237</v>
      </c>
      <c r="E57" s="8" t="s">
        <v>1238</v>
      </c>
      <c r="F57" s="8" t="s">
        <v>1239</v>
      </c>
      <c r="G57" s="8" t="str" cm="1">
        <f t="array" ref="G57">LOWER(CleanCode(F57))</f>
        <v>structuralframeworkconditionsandindividualmotivationsforyouthmobilityamacromicrolevelapproachfordifferenteuropeancountrytypes</v>
      </c>
      <c r="H57" s="8"/>
      <c r="I57" s="8"/>
      <c r="J57" s="8" t="s">
        <v>1243</v>
      </c>
      <c r="K57" s="8"/>
      <c r="L57" s="8"/>
      <c r="M57" s="8" t="s">
        <v>1240</v>
      </c>
      <c r="N57" s="8" t="str">
        <f t="shared" si="0"/>
        <v>Migration Letters</v>
      </c>
      <c r="O57" s="8" t="s">
        <v>1253</v>
      </c>
      <c r="P57" s="8" t="s">
        <v>1254</v>
      </c>
      <c r="Q57" s="8" t="s">
        <v>69</v>
      </c>
      <c r="R57" s="8"/>
      <c r="S57" s="8">
        <v>16</v>
      </c>
      <c r="T57" s="8">
        <v>1</v>
      </c>
      <c r="U57" s="8">
        <v>45</v>
      </c>
      <c r="V57" s="8">
        <v>59</v>
      </c>
      <c r="W57" s="8">
        <v>15</v>
      </c>
      <c r="X57" s="8"/>
      <c r="Y57" s="8">
        <v>52</v>
      </c>
      <c r="Z57" s="8">
        <v>6</v>
      </c>
      <c r="AA57" s="8">
        <v>6</v>
      </c>
      <c r="AB57" s="8">
        <v>0</v>
      </c>
      <c r="AC57" s="8">
        <v>1</v>
      </c>
      <c r="AD57" s="8" t="s">
        <v>1259</v>
      </c>
      <c r="AE57" s="8" t="s">
        <v>1257</v>
      </c>
      <c r="AF57" s="8" t="s">
        <v>69</v>
      </c>
      <c r="AG57" s="8" t="s">
        <v>1251</v>
      </c>
      <c r="AH57" s="8" t="s">
        <v>156</v>
      </c>
      <c r="AI57" s="8" t="s">
        <v>1252</v>
      </c>
      <c r="AJ57" s="8" t="s">
        <v>1242</v>
      </c>
      <c r="AK57" s="8" t="s">
        <v>1241</v>
      </c>
      <c r="AL57" s="8"/>
      <c r="AM57" s="8"/>
      <c r="AN57" s="8"/>
      <c r="AO57" s="8"/>
      <c r="AP57" s="8"/>
      <c r="AQ57" s="8"/>
      <c r="AR57" s="8"/>
      <c r="AS57" s="8"/>
      <c r="AT57" s="8"/>
      <c r="AU57" s="8"/>
      <c r="AV57" s="8"/>
      <c r="AW57" s="8"/>
      <c r="AX57" s="8"/>
      <c r="AY57" s="8"/>
      <c r="AZ57" s="8"/>
      <c r="BA57" s="8"/>
      <c r="BB57" s="8"/>
      <c r="BC57" s="8"/>
      <c r="BD57" s="8"/>
      <c r="BE57" s="8"/>
      <c r="BF57" s="8"/>
      <c r="BG57" s="8"/>
      <c r="BH57" s="8"/>
      <c r="BI57" s="8"/>
      <c r="BJ57" s="8"/>
      <c r="BK57" s="8"/>
      <c r="BL57" s="8"/>
      <c r="BM57" s="8"/>
      <c r="BN57" s="8"/>
      <c r="BO57" s="8"/>
      <c r="BP57" s="8"/>
      <c r="BQ57" s="8"/>
      <c r="BR57" s="8"/>
      <c r="BS57" s="8"/>
      <c r="BT57" s="8"/>
      <c r="BU57" s="8"/>
      <c r="BV57" s="8"/>
      <c r="BW57" s="8"/>
      <c r="BX57" s="8"/>
      <c r="BY57" s="8"/>
      <c r="BZ57" s="8"/>
    </row>
    <row r="58" spans="1:78" ht="13" customHeight="1" x14ac:dyDescent="0.15">
      <c r="A58" s="8" t="s">
        <v>6188</v>
      </c>
      <c r="B58" s="8" t="s">
        <v>74</v>
      </c>
      <c r="C58" s="9">
        <v>2019</v>
      </c>
      <c r="D58" s="8" t="s">
        <v>1261</v>
      </c>
      <c r="E58" s="8" t="s">
        <v>1262</v>
      </c>
      <c r="F58" s="8" t="s">
        <v>1263</v>
      </c>
      <c r="G58" s="8" t="str" cm="1">
        <f t="array" ref="G58">LOWER(CleanCode(F58))</f>
        <v>immigrationrestrictionsandsecondgenerationculturalassimilationtheoryandquasiexperimentalevidence</v>
      </c>
      <c r="H58" s="8"/>
      <c r="I58" s="8"/>
      <c r="J58" s="8" t="s">
        <v>1267</v>
      </c>
      <c r="K58" s="8"/>
      <c r="L58" s="8"/>
      <c r="M58" s="8" t="s">
        <v>1264</v>
      </c>
      <c r="N58" s="8" t="str">
        <f t="shared" si="0"/>
        <v>Journal Of Population Economics</v>
      </c>
      <c r="O58" s="8" t="s">
        <v>1273</v>
      </c>
      <c r="P58" s="8" t="s">
        <v>1274</v>
      </c>
      <c r="Q58" s="8" t="s">
        <v>69</v>
      </c>
      <c r="R58" s="8"/>
      <c r="S58" s="8">
        <v>32</v>
      </c>
      <c r="T58" s="8">
        <v>1</v>
      </c>
      <c r="U58" s="8">
        <v>23</v>
      </c>
      <c r="V58" s="8">
        <v>51</v>
      </c>
      <c r="W58" s="8">
        <v>29</v>
      </c>
      <c r="X58" s="8"/>
      <c r="Y58" s="8">
        <v>72</v>
      </c>
      <c r="Z58" s="8">
        <v>2</v>
      </c>
      <c r="AA58" s="8">
        <v>2</v>
      </c>
      <c r="AB58" s="8">
        <v>1</v>
      </c>
      <c r="AC58" s="8">
        <v>19</v>
      </c>
      <c r="AD58" s="8" t="s">
        <v>1281</v>
      </c>
      <c r="AE58" s="8" t="s">
        <v>1277</v>
      </c>
      <c r="AF58" s="8" t="s">
        <v>69</v>
      </c>
      <c r="AG58" s="8" t="s">
        <v>572</v>
      </c>
      <c r="AH58" s="8" t="s">
        <v>573</v>
      </c>
      <c r="AI58" s="8" t="s">
        <v>636</v>
      </c>
      <c r="AJ58" s="8" t="s">
        <v>1266</v>
      </c>
      <c r="AK58" s="8" t="s">
        <v>1265</v>
      </c>
      <c r="AL58" s="8"/>
      <c r="AM58" s="8"/>
      <c r="AN58" s="8"/>
      <c r="AO58" s="8"/>
      <c r="AP58" s="8"/>
      <c r="AQ58" s="8"/>
      <c r="AR58" s="8"/>
      <c r="AS58" s="8"/>
      <c r="AT58" s="8"/>
      <c r="AU58" s="8"/>
      <c r="AV58" s="8"/>
      <c r="AW58" s="8"/>
      <c r="AX58" s="8"/>
      <c r="AY58" s="8"/>
      <c r="AZ58" s="8"/>
      <c r="BA58" s="8"/>
      <c r="BB58" s="8"/>
      <c r="BC58" s="8"/>
      <c r="BD58" s="8"/>
      <c r="BE58" s="8"/>
      <c r="BF58" s="8"/>
      <c r="BG58" s="8"/>
      <c r="BH58" s="8"/>
      <c r="BI58" s="8"/>
      <c r="BJ58" s="8"/>
      <c r="BK58" s="8"/>
      <c r="BL58" s="8"/>
      <c r="BM58" s="8"/>
      <c r="BN58" s="8"/>
      <c r="BO58" s="8"/>
      <c r="BP58" s="8"/>
      <c r="BQ58" s="8"/>
      <c r="BR58" s="8"/>
      <c r="BS58" s="8"/>
      <c r="BT58" s="8"/>
      <c r="BU58" s="8"/>
      <c r="BV58" s="8"/>
      <c r="BW58" s="8"/>
      <c r="BX58" s="8"/>
      <c r="BY58" s="8"/>
      <c r="BZ58" s="8"/>
    </row>
    <row r="59" spans="1:78" ht="13" customHeight="1" x14ac:dyDescent="0.15">
      <c r="A59" s="8" t="s">
        <v>6188</v>
      </c>
      <c r="B59" s="8" t="s">
        <v>74</v>
      </c>
      <c r="C59" s="9">
        <v>2018</v>
      </c>
      <c r="D59" s="8" t="s">
        <v>1282</v>
      </c>
      <c r="E59" s="8" t="s">
        <v>1283</v>
      </c>
      <c r="F59" s="8" t="s">
        <v>1284</v>
      </c>
      <c r="G59" s="8" t="str" cm="1">
        <f t="array" ref="G59">LOWER(CleanCode(F59))</f>
        <v>immigrationandmulticulturalismincontextaframeworkforpsychologicalresearch</v>
      </c>
      <c r="H59" s="8"/>
      <c r="I59" s="8"/>
      <c r="J59" s="8" t="s">
        <v>1287</v>
      </c>
      <c r="K59" s="8"/>
      <c r="L59" s="8"/>
      <c r="M59" s="8" t="s">
        <v>1285</v>
      </c>
      <c r="N59" s="8" t="str">
        <f t="shared" si="0"/>
        <v>Journal Of Social Issues</v>
      </c>
      <c r="O59" s="8" t="s">
        <v>1293</v>
      </c>
      <c r="P59" s="8" t="s">
        <v>1294</v>
      </c>
      <c r="Q59" s="8" t="s">
        <v>69</v>
      </c>
      <c r="R59" s="8"/>
      <c r="S59" s="8">
        <v>74</v>
      </c>
      <c r="T59" s="8">
        <v>4</v>
      </c>
      <c r="U59" s="8">
        <v>833</v>
      </c>
      <c r="V59" s="8">
        <v>855</v>
      </c>
      <c r="W59" s="8">
        <v>23</v>
      </c>
      <c r="X59" s="8"/>
      <c r="Y59" s="8">
        <v>95</v>
      </c>
      <c r="Z59" s="8">
        <v>16</v>
      </c>
      <c r="AA59" s="8">
        <v>16</v>
      </c>
      <c r="AB59" s="8">
        <v>0</v>
      </c>
      <c r="AC59" s="8">
        <v>14</v>
      </c>
      <c r="AD59" s="8" t="s">
        <v>1301</v>
      </c>
      <c r="AE59" s="8" t="s">
        <v>1297</v>
      </c>
      <c r="AF59" s="8" t="s">
        <v>69</v>
      </c>
      <c r="AG59" s="8" t="s">
        <v>223</v>
      </c>
      <c r="AH59" s="8" t="s">
        <v>224</v>
      </c>
      <c r="AI59" s="8" t="s">
        <v>225</v>
      </c>
      <c r="AJ59" s="8" t="s">
        <v>1286</v>
      </c>
      <c r="AK59" s="8" t="s">
        <v>69</v>
      </c>
      <c r="AL59" s="8"/>
      <c r="AM59" s="8"/>
      <c r="AN59" s="8"/>
      <c r="AO59" s="8"/>
      <c r="AP59" s="8"/>
      <c r="AQ59" s="8"/>
      <c r="AR59" s="8"/>
      <c r="AS59" s="8"/>
      <c r="AT59" s="8"/>
      <c r="AU59" s="8"/>
      <c r="AV59" s="8"/>
      <c r="AW59" s="8"/>
      <c r="AX59" s="8"/>
      <c r="AY59" s="8"/>
      <c r="AZ59" s="8"/>
      <c r="BA59" s="8"/>
      <c r="BB59" s="8"/>
      <c r="BC59" s="8"/>
      <c r="BD59" s="8"/>
      <c r="BE59" s="8"/>
      <c r="BF59" s="8"/>
      <c r="BG59" s="8"/>
      <c r="BH59" s="8"/>
      <c r="BI59" s="8"/>
      <c r="BJ59" s="8"/>
      <c r="BK59" s="8"/>
      <c r="BL59" s="8"/>
      <c r="BM59" s="8"/>
      <c r="BN59" s="8"/>
      <c r="BO59" s="8"/>
      <c r="BP59" s="8"/>
      <c r="BQ59" s="8"/>
      <c r="BR59" s="8"/>
      <c r="BS59" s="8"/>
      <c r="BT59" s="8"/>
      <c r="BU59" s="8"/>
      <c r="BV59" s="8"/>
      <c r="BW59" s="8"/>
      <c r="BX59" s="8"/>
      <c r="BY59" s="8"/>
      <c r="BZ59" s="8"/>
    </row>
    <row r="60" spans="1:78" ht="13" customHeight="1" x14ac:dyDescent="0.15">
      <c r="A60" s="8" t="s">
        <v>6188</v>
      </c>
      <c r="B60" s="8" t="s">
        <v>74</v>
      </c>
      <c r="C60" s="9">
        <v>2018</v>
      </c>
      <c r="D60" s="8" t="s">
        <v>1302</v>
      </c>
      <c r="E60" s="8" t="s">
        <v>1303</v>
      </c>
      <c r="F60" s="8" t="s">
        <v>1304</v>
      </c>
      <c r="G60" s="8" t="str" cm="1">
        <f t="array" ref="G60">LOWER(CleanCode(F60))</f>
        <v>determinantsofmuslimconsumershalalmeatconsumptionapplyingandextendingthetheoryofplannedbehavior</v>
      </c>
      <c r="H60" s="8"/>
      <c r="I60" s="8"/>
      <c r="J60" s="8" t="s">
        <v>1308</v>
      </c>
      <c r="K60" s="8"/>
      <c r="L60" s="8"/>
      <c r="M60" s="8" t="s">
        <v>1305</v>
      </c>
      <c r="N60" s="8" t="str">
        <f t="shared" si="0"/>
        <v>Journal Of Food Products Marketing</v>
      </c>
      <c r="O60" s="8" t="s">
        <v>1313</v>
      </c>
      <c r="P60" s="8" t="s">
        <v>1314</v>
      </c>
      <c r="Q60" s="8" t="s">
        <v>69</v>
      </c>
      <c r="R60" s="8"/>
      <c r="S60" s="8">
        <v>24</v>
      </c>
      <c r="T60" s="8">
        <v>8</v>
      </c>
      <c r="U60" s="8">
        <v>960</v>
      </c>
      <c r="V60" s="8">
        <v>981</v>
      </c>
      <c r="W60" s="8">
        <v>22</v>
      </c>
      <c r="X60" s="8"/>
      <c r="Y60" s="8">
        <v>66</v>
      </c>
      <c r="Z60" s="8">
        <v>10</v>
      </c>
      <c r="AA60" s="8">
        <v>10</v>
      </c>
      <c r="AB60" s="8">
        <v>1</v>
      </c>
      <c r="AC60" s="8">
        <v>16</v>
      </c>
      <c r="AD60" s="8" t="s">
        <v>1320</v>
      </c>
      <c r="AE60" s="8" t="s">
        <v>1318</v>
      </c>
      <c r="AF60" s="8" t="s">
        <v>69</v>
      </c>
      <c r="AG60" s="8" t="s">
        <v>108</v>
      </c>
      <c r="AH60" s="8" t="s">
        <v>109</v>
      </c>
      <c r="AI60" s="8" t="s">
        <v>110</v>
      </c>
      <c r="AJ60" s="8" t="s">
        <v>1307</v>
      </c>
      <c r="AK60" s="8" t="s">
        <v>1306</v>
      </c>
      <c r="AL60" s="8"/>
      <c r="AM60" s="8"/>
      <c r="AN60" s="8"/>
      <c r="AO60" s="8"/>
      <c r="AP60" s="8"/>
      <c r="AQ60" s="8"/>
      <c r="AR60" s="8"/>
      <c r="AS60" s="8"/>
      <c r="AT60" s="8"/>
      <c r="AU60" s="8"/>
      <c r="AV60" s="8"/>
      <c r="AW60" s="8"/>
      <c r="AX60" s="8"/>
      <c r="AY60" s="8"/>
      <c r="AZ60" s="8"/>
      <c r="BA60" s="8"/>
      <c r="BB60" s="8"/>
      <c r="BC60" s="8"/>
      <c r="BD60" s="8"/>
      <c r="BE60" s="8"/>
      <c r="BF60" s="8"/>
      <c r="BG60" s="8"/>
      <c r="BH60" s="8"/>
      <c r="BI60" s="8"/>
      <c r="BJ60" s="8"/>
      <c r="BK60" s="8"/>
      <c r="BL60" s="8"/>
      <c r="BM60" s="8"/>
      <c r="BN60" s="8"/>
      <c r="BO60" s="8"/>
      <c r="BP60" s="8"/>
      <c r="BQ60" s="8"/>
      <c r="BR60" s="8"/>
      <c r="BS60" s="8"/>
      <c r="BT60" s="8"/>
      <c r="BU60" s="8"/>
      <c r="BV60" s="8"/>
      <c r="BW60" s="8"/>
      <c r="BX60" s="8"/>
      <c r="BY60" s="8"/>
      <c r="BZ60" s="8"/>
    </row>
    <row r="61" spans="1:78" ht="13" customHeight="1" x14ac:dyDescent="0.15">
      <c r="A61" s="8" t="s">
        <v>6188</v>
      </c>
      <c r="B61" s="8" t="s">
        <v>318</v>
      </c>
      <c r="C61" s="9">
        <v>2018</v>
      </c>
      <c r="D61" s="8" t="s">
        <v>1321</v>
      </c>
      <c r="E61" s="8" t="s">
        <v>1322</v>
      </c>
      <c r="F61" s="8" t="s">
        <v>1323</v>
      </c>
      <c r="G61" s="8" t="str" cm="1">
        <f t="array" ref="G61">LOWER(CleanCode(F61))</f>
        <v>developingaculturalcontextforconductinganeuropsychologicalevaluationwithaculturallydiverseclienttheeclecticframework</v>
      </c>
      <c r="H61" s="8"/>
      <c r="I61" s="8"/>
      <c r="J61" s="8" t="s">
        <v>1327</v>
      </c>
      <c r="K61" s="8"/>
      <c r="L61" s="8"/>
      <c r="M61" s="8" t="s">
        <v>1324</v>
      </c>
      <c r="N61" s="8" t="str">
        <f t="shared" si="0"/>
        <v>Clinical Neuropsychologist</v>
      </c>
      <c r="O61" s="8" t="s">
        <v>1331</v>
      </c>
      <c r="P61" s="8" t="s">
        <v>1332</v>
      </c>
      <c r="Q61" s="8" t="s">
        <v>69</v>
      </c>
      <c r="R61" s="8"/>
      <c r="S61" s="8">
        <v>32</v>
      </c>
      <c r="T61" s="8">
        <v>8</v>
      </c>
      <c r="U61" s="8">
        <v>1356</v>
      </c>
      <c r="V61" s="8">
        <v>1392</v>
      </c>
      <c r="W61" s="8">
        <v>37</v>
      </c>
      <c r="X61" s="8"/>
      <c r="Y61" s="8">
        <v>144</v>
      </c>
      <c r="Z61" s="8">
        <v>11</v>
      </c>
      <c r="AA61" s="8">
        <v>11</v>
      </c>
      <c r="AB61" s="8">
        <v>0</v>
      </c>
      <c r="AC61" s="8">
        <v>7</v>
      </c>
      <c r="AD61" s="8" t="s">
        <v>1339</v>
      </c>
      <c r="AE61" s="8" t="s">
        <v>1335</v>
      </c>
      <c r="AF61" s="8">
        <v>29463175</v>
      </c>
      <c r="AG61" s="8" t="s">
        <v>701</v>
      </c>
      <c r="AH61" s="8" t="s">
        <v>702</v>
      </c>
      <c r="AI61" s="8" t="s">
        <v>703</v>
      </c>
      <c r="AJ61" s="8" t="s">
        <v>1326</v>
      </c>
      <c r="AK61" s="8" t="s">
        <v>1325</v>
      </c>
      <c r="AL61" s="8"/>
      <c r="AM61" s="8"/>
      <c r="AN61" s="8"/>
      <c r="AO61" s="8"/>
      <c r="AP61" s="8"/>
      <c r="AQ61" s="8"/>
      <c r="AR61" s="8"/>
      <c r="AS61" s="8"/>
      <c r="AT61" s="8"/>
      <c r="AU61" s="8"/>
      <c r="AV61" s="8"/>
      <c r="AW61" s="8"/>
      <c r="AX61" s="8"/>
      <c r="AY61" s="8"/>
      <c r="AZ61" s="8"/>
      <c r="BA61" s="8"/>
      <c r="BB61" s="8"/>
      <c r="BC61" s="8"/>
      <c r="BD61" s="8"/>
      <c r="BE61" s="8"/>
      <c r="BF61" s="8"/>
      <c r="BG61" s="8"/>
      <c r="BH61" s="8"/>
      <c r="BI61" s="8"/>
      <c r="BJ61" s="8"/>
      <c r="BK61" s="8"/>
      <c r="BL61" s="8"/>
      <c r="BM61" s="8"/>
      <c r="BN61" s="8"/>
      <c r="BO61" s="8"/>
      <c r="BP61" s="8"/>
      <c r="BQ61" s="8"/>
      <c r="BR61" s="8"/>
      <c r="BS61" s="8"/>
      <c r="BT61" s="8"/>
      <c r="BU61" s="8"/>
      <c r="BV61" s="8"/>
      <c r="BW61" s="8"/>
      <c r="BX61" s="8"/>
      <c r="BY61" s="8"/>
      <c r="BZ61" s="8"/>
    </row>
    <row r="62" spans="1:78" ht="13" customHeight="1" x14ac:dyDescent="0.15">
      <c r="A62" s="8" t="s">
        <v>6188</v>
      </c>
      <c r="B62" s="8" t="s">
        <v>74</v>
      </c>
      <c r="C62" s="9">
        <v>2018</v>
      </c>
      <c r="D62" s="8" t="s">
        <v>1340</v>
      </c>
      <c r="E62" s="8" t="s">
        <v>1341</v>
      </c>
      <c r="F62" s="8" t="s">
        <v>1342</v>
      </c>
      <c r="G62" s="8" t="str" cm="1">
        <f t="array" ref="G62">LOWER(CleanCode(F62))</f>
        <v>understandingthedynamicsamongacculturativestresscopingandgrowthagroundedtheoryofthekoreanimmigrantadolescentexperience</v>
      </c>
      <c r="H62" s="8"/>
      <c r="I62" s="8"/>
      <c r="J62" s="8" t="s">
        <v>1346</v>
      </c>
      <c r="K62" s="8"/>
      <c r="L62" s="8"/>
      <c r="M62" s="8" t="s">
        <v>1343</v>
      </c>
      <c r="N62" s="8" t="str">
        <f t="shared" si="0"/>
        <v>Children And Youth Services Review</v>
      </c>
      <c r="O62" s="8" t="s">
        <v>1352</v>
      </c>
      <c r="P62" s="8" t="s">
        <v>1353</v>
      </c>
      <c r="Q62" s="8" t="s">
        <v>69</v>
      </c>
      <c r="R62" s="8"/>
      <c r="S62" s="8">
        <v>94</v>
      </c>
      <c r="T62" s="8" t="s">
        <v>69</v>
      </c>
      <c r="U62" s="8">
        <v>105</v>
      </c>
      <c r="V62" s="8">
        <v>114</v>
      </c>
      <c r="W62" s="8">
        <v>10</v>
      </c>
      <c r="X62" s="8"/>
      <c r="Y62" s="8">
        <v>56</v>
      </c>
      <c r="Z62" s="8">
        <v>1</v>
      </c>
      <c r="AA62" s="8">
        <v>1</v>
      </c>
      <c r="AB62" s="8">
        <v>2</v>
      </c>
      <c r="AC62" s="8">
        <v>28</v>
      </c>
      <c r="AD62" s="8" t="s">
        <v>1359</v>
      </c>
      <c r="AE62" s="8" t="s">
        <v>1356</v>
      </c>
      <c r="AF62" s="8" t="s">
        <v>69</v>
      </c>
      <c r="AG62" s="8" t="s">
        <v>771</v>
      </c>
      <c r="AH62" s="8" t="s">
        <v>772</v>
      </c>
      <c r="AI62" s="8" t="s">
        <v>773</v>
      </c>
      <c r="AJ62" s="8" t="s">
        <v>1345</v>
      </c>
      <c r="AK62" s="8" t="s">
        <v>1344</v>
      </c>
      <c r="AL62" s="8"/>
      <c r="AM62" s="8"/>
      <c r="AN62" s="8"/>
      <c r="AO62" s="8"/>
      <c r="AP62" s="8"/>
      <c r="AQ62" s="8"/>
      <c r="AR62" s="8"/>
      <c r="AS62" s="8"/>
      <c r="AT62" s="8"/>
      <c r="AU62" s="8"/>
      <c r="AV62" s="8"/>
      <c r="AW62" s="8"/>
      <c r="AX62" s="8"/>
      <c r="AY62" s="8"/>
      <c r="AZ62" s="8"/>
      <c r="BA62" s="8"/>
      <c r="BB62" s="8"/>
      <c r="BC62" s="8"/>
      <c r="BD62" s="8"/>
      <c r="BE62" s="8"/>
      <c r="BF62" s="8"/>
      <c r="BG62" s="8"/>
      <c r="BH62" s="8"/>
      <c r="BI62" s="8"/>
      <c r="BJ62" s="8"/>
      <c r="BK62" s="8"/>
      <c r="BL62" s="8"/>
      <c r="BM62" s="8"/>
      <c r="BN62" s="8"/>
      <c r="BO62" s="8"/>
      <c r="BP62" s="8"/>
      <c r="BQ62" s="8"/>
      <c r="BR62" s="8"/>
      <c r="BS62" s="8"/>
      <c r="BT62" s="8"/>
      <c r="BU62" s="8"/>
      <c r="BV62" s="8"/>
      <c r="BW62" s="8"/>
      <c r="BX62" s="8"/>
      <c r="BY62" s="8"/>
      <c r="BZ62" s="8"/>
    </row>
    <row r="63" spans="1:78" ht="13" customHeight="1" x14ac:dyDescent="0.15">
      <c r="A63" s="8" t="s">
        <v>6188</v>
      </c>
      <c r="B63" s="8" t="s">
        <v>318</v>
      </c>
      <c r="C63" s="9">
        <v>2018</v>
      </c>
      <c r="D63" s="8" t="s">
        <v>1360</v>
      </c>
      <c r="E63" s="8" t="s">
        <v>1361</v>
      </c>
      <c r="F63" s="8" t="s">
        <v>1362</v>
      </c>
      <c r="G63" s="8" t="str" cm="1">
        <f t="array" ref="G63">LOWER(CleanCode(F63))</f>
        <v>hispanicethnicitystresspsychophysiologyandparadoxicalhealthoutcomesareviewwithconceptualconsiderationsandacallforresearch</v>
      </c>
      <c r="H63" s="8"/>
      <c r="I63" s="8"/>
      <c r="J63" s="8" t="s">
        <v>1366</v>
      </c>
      <c r="K63" s="8"/>
      <c r="L63" s="8"/>
      <c r="M63" s="8" t="s">
        <v>1363</v>
      </c>
      <c r="N63" s="8" t="str">
        <f t="shared" si="0"/>
        <v>International Journal Of Psychophysiology</v>
      </c>
      <c r="O63" s="8" t="s">
        <v>1370</v>
      </c>
      <c r="P63" s="8" t="s">
        <v>1371</v>
      </c>
      <c r="Q63" s="8" t="s">
        <v>69</v>
      </c>
      <c r="R63" s="8"/>
      <c r="S63" s="8">
        <v>131</v>
      </c>
      <c r="T63" s="8" t="s">
        <v>69</v>
      </c>
      <c r="U63" s="8">
        <v>24</v>
      </c>
      <c r="V63" s="8">
        <v>29</v>
      </c>
      <c r="W63" s="8">
        <v>6</v>
      </c>
      <c r="X63" s="8"/>
      <c r="Y63" s="8">
        <v>66</v>
      </c>
      <c r="Z63" s="8">
        <v>6</v>
      </c>
      <c r="AA63" s="8">
        <v>6</v>
      </c>
      <c r="AB63" s="8">
        <v>1</v>
      </c>
      <c r="AC63" s="8">
        <v>14</v>
      </c>
      <c r="AD63" s="8" t="s">
        <v>1379</v>
      </c>
      <c r="AE63" s="8" t="s">
        <v>1375</v>
      </c>
      <c r="AF63" s="8">
        <v>29627583</v>
      </c>
      <c r="AG63" s="8" t="s">
        <v>953</v>
      </c>
      <c r="AH63" s="8" t="s">
        <v>954</v>
      </c>
      <c r="AI63" s="8" t="s">
        <v>955</v>
      </c>
      <c r="AJ63" s="8" t="s">
        <v>1365</v>
      </c>
      <c r="AK63" s="8" t="s">
        <v>1364</v>
      </c>
      <c r="AL63" s="8"/>
      <c r="AM63" s="8"/>
      <c r="AN63" s="8"/>
      <c r="AO63" s="8"/>
      <c r="AP63" s="8"/>
      <c r="AQ63" s="8"/>
      <c r="AR63" s="8"/>
      <c r="AS63" s="8"/>
      <c r="AT63" s="8"/>
      <c r="AU63" s="8"/>
      <c r="AV63" s="8"/>
      <c r="AW63" s="8"/>
      <c r="AX63" s="8"/>
      <c r="AY63" s="8"/>
      <c r="AZ63" s="8"/>
      <c r="BA63" s="8"/>
      <c r="BB63" s="8"/>
      <c r="BC63" s="8"/>
      <c r="BD63" s="8"/>
      <c r="BE63" s="8"/>
      <c r="BF63" s="8"/>
      <c r="BG63" s="8"/>
      <c r="BH63" s="8"/>
      <c r="BI63" s="8"/>
      <c r="BJ63" s="8"/>
      <c r="BK63" s="8"/>
      <c r="BL63" s="8"/>
      <c r="BM63" s="8"/>
      <c r="BN63" s="8"/>
      <c r="BO63" s="8"/>
      <c r="BP63" s="8"/>
      <c r="BQ63" s="8"/>
      <c r="BR63" s="8"/>
      <c r="BS63" s="8"/>
      <c r="BT63" s="8"/>
      <c r="BU63" s="8"/>
      <c r="BV63" s="8"/>
      <c r="BW63" s="8"/>
      <c r="BX63" s="8"/>
      <c r="BY63" s="8"/>
      <c r="BZ63" s="8"/>
    </row>
    <row r="64" spans="1:78" ht="13" customHeight="1" x14ac:dyDescent="0.15">
      <c r="A64" s="8" t="s">
        <v>6188</v>
      </c>
      <c r="B64" s="8" t="s">
        <v>318</v>
      </c>
      <c r="C64" s="9">
        <v>2018</v>
      </c>
      <c r="D64" s="8" t="s">
        <v>1380</v>
      </c>
      <c r="E64" s="8" t="s">
        <v>1381</v>
      </c>
      <c r="F64" s="8" t="s">
        <v>1382</v>
      </c>
      <c r="G64" s="8" t="str" cm="1">
        <f t="array" ref="G64">LOWER(CleanCode(F64))</f>
        <v>dietaryandphysicalactivitybehavioursinafricanmigrantwomenlivinginhighincomecountriesasystematicreviewandframeworksynthesis</v>
      </c>
      <c r="H64" s="8"/>
      <c r="I64" s="8"/>
      <c r="J64" s="8" t="s">
        <v>1386</v>
      </c>
      <c r="K64" s="8"/>
      <c r="L64" s="8"/>
      <c r="M64" s="8" t="s">
        <v>1383</v>
      </c>
      <c r="N64" s="8" t="str">
        <f t="shared" si="0"/>
        <v>Nutrients</v>
      </c>
      <c r="O64" s="8" t="s">
        <v>69</v>
      </c>
      <c r="P64" s="8" t="s">
        <v>1393</v>
      </c>
      <c r="Q64" s="8" t="s">
        <v>69</v>
      </c>
      <c r="R64" s="8"/>
      <c r="S64" s="8">
        <v>10</v>
      </c>
      <c r="T64" s="8">
        <v>8</v>
      </c>
      <c r="U64" s="8" t="s">
        <v>69</v>
      </c>
      <c r="V64" s="8" t="s">
        <v>69</v>
      </c>
      <c r="W64" s="8">
        <v>24</v>
      </c>
      <c r="X64" s="8"/>
      <c r="Y64" s="8">
        <v>63</v>
      </c>
      <c r="Z64" s="8">
        <v>5</v>
      </c>
      <c r="AA64" s="8">
        <v>5</v>
      </c>
      <c r="AB64" s="8">
        <v>2</v>
      </c>
      <c r="AC64" s="8">
        <v>5</v>
      </c>
      <c r="AD64" s="8" t="s">
        <v>1398</v>
      </c>
      <c r="AE64" s="8" t="s">
        <v>1395</v>
      </c>
      <c r="AF64" s="8">
        <v>30081522</v>
      </c>
      <c r="AG64" s="8" t="s">
        <v>82</v>
      </c>
      <c r="AH64" s="8" t="s">
        <v>83</v>
      </c>
      <c r="AI64" s="8" t="s">
        <v>84</v>
      </c>
      <c r="AJ64" s="8" t="s">
        <v>1385</v>
      </c>
      <c r="AK64" s="8" t="s">
        <v>1384</v>
      </c>
      <c r="AL64" s="8"/>
      <c r="AM64" s="8"/>
      <c r="AN64" s="8"/>
      <c r="AO64" s="8"/>
      <c r="AP64" s="8"/>
      <c r="AQ64" s="8"/>
      <c r="AR64" s="8"/>
      <c r="AS64" s="8"/>
      <c r="AT64" s="8"/>
      <c r="AU64" s="8"/>
      <c r="AV64" s="8"/>
      <c r="AW64" s="8"/>
      <c r="AX64" s="8"/>
      <c r="AY64" s="8"/>
      <c r="AZ64" s="8"/>
      <c r="BA64" s="8"/>
      <c r="BB64" s="8"/>
      <c r="BC64" s="8"/>
      <c r="BD64" s="8"/>
      <c r="BE64" s="8"/>
      <c r="BF64" s="8"/>
      <c r="BG64" s="8"/>
      <c r="BH64" s="8"/>
      <c r="BI64" s="8"/>
      <c r="BJ64" s="8"/>
      <c r="BK64" s="8"/>
      <c r="BL64" s="8"/>
      <c r="BM64" s="8"/>
      <c r="BN64" s="8"/>
      <c r="BO64" s="8"/>
      <c r="BP64" s="8"/>
      <c r="BQ64" s="8"/>
      <c r="BR64" s="8"/>
      <c r="BS64" s="8"/>
      <c r="BT64" s="8"/>
      <c r="BU64" s="8"/>
      <c r="BV64" s="8"/>
      <c r="BW64" s="8"/>
      <c r="BX64" s="8"/>
      <c r="BY64" s="8"/>
      <c r="BZ64" s="8"/>
    </row>
    <row r="65" spans="1:78" ht="13" customHeight="1" x14ac:dyDescent="0.15">
      <c r="A65" s="8" t="s">
        <v>6188</v>
      </c>
      <c r="B65" s="8" t="s">
        <v>318</v>
      </c>
      <c r="C65" s="9">
        <v>2018</v>
      </c>
      <c r="D65" s="8" t="s">
        <v>1400</v>
      </c>
      <c r="E65" s="8" t="s">
        <v>1401</v>
      </c>
      <c r="F65" s="8" t="s">
        <v>1402</v>
      </c>
      <c r="G65" s="8" t="str" cm="1">
        <f t="array" ref="G65">LOWER(CleanCode(F65))</f>
        <v>migrationmotivesandintegrationofinternationalhumanresourcesofhealthintheunitedkingdomsystematicreviewandmetasynthesisofqualitativestudiesusingframeworkanalysis</v>
      </c>
      <c r="H65" s="8"/>
      <c r="I65" s="8"/>
      <c r="J65" s="8" t="s">
        <v>1406</v>
      </c>
      <c r="K65" s="8"/>
      <c r="L65" s="8"/>
      <c r="M65" s="8" t="s">
        <v>1403</v>
      </c>
      <c r="N65" s="8" t="str">
        <f t="shared" si="0"/>
        <v>Human Resources For Health</v>
      </c>
      <c r="O65" s="8" t="s">
        <v>1416</v>
      </c>
      <c r="P65" s="8" t="s">
        <v>69</v>
      </c>
      <c r="Q65" s="8" t="s">
        <v>69</v>
      </c>
      <c r="R65" s="8"/>
      <c r="S65" s="8">
        <v>16</v>
      </c>
      <c r="T65" s="8" t="s">
        <v>69</v>
      </c>
      <c r="U65" s="8" t="s">
        <v>69</v>
      </c>
      <c r="V65" s="8" t="s">
        <v>69</v>
      </c>
      <c r="W65" s="8">
        <v>13</v>
      </c>
      <c r="X65" s="8"/>
      <c r="Y65" s="8">
        <v>60</v>
      </c>
      <c r="Z65" s="8">
        <v>8</v>
      </c>
      <c r="AA65" s="8">
        <v>8</v>
      </c>
      <c r="AB65" s="8">
        <v>0</v>
      </c>
      <c r="AC65" s="8">
        <v>17</v>
      </c>
      <c r="AD65" s="8" t="s">
        <v>1424</v>
      </c>
      <c r="AE65" s="8" t="s">
        <v>1420</v>
      </c>
      <c r="AF65" s="8">
        <v>29945616</v>
      </c>
      <c r="AG65" s="8" t="s">
        <v>1414</v>
      </c>
      <c r="AH65" s="8" t="s">
        <v>156</v>
      </c>
      <c r="AI65" s="8" t="s">
        <v>1415</v>
      </c>
      <c r="AJ65" s="8" t="s">
        <v>1405</v>
      </c>
      <c r="AK65" s="8" t="s">
        <v>1404</v>
      </c>
      <c r="AL65" s="8"/>
      <c r="AM65" s="8"/>
      <c r="AN65" s="8"/>
      <c r="AO65" s="8"/>
      <c r="AP65" s="8"/>
      <c r="AQ65" s="8"/>
      <c r="AR65" s="8"/>
      <c r="AS65" s="8"/>
      <c r="AT65" s="8"/>
      <c r="AU65" s="8"/>
      <c r="AV65" s="8"/>
      <c r="AW65" s="8"/>
      <c r="AX65" s="8"/>
      <c r="AY65" s="8"/>
      <c r="AZ65" s="8"/>
      <c r="BA65" s="8"/>
      <c r="BB65" s="8"/>
      <c r="BC65" s="8"/>
      <c r="BD65" s="8"/>
      <c r="BE65" s="8"/>
      <c r="BF65" s="8"/>
      <c r="BG65" s="8"/>
      <c r="BH65" s="8"/>
      <c r="BI65" s="8"/>
      <c r="BJ65" s="8"/>
      <c r="BK65" s="8"/>
      <c r="BL65" s="8"/>
      <c r="BM65" s="8"/>
      <c r="BN65" s="8"/>
      <c r="BO65" s="8"/>
      <c r="BP65" s="8"/>
      <c r="BQ65" s="8"/>
      <c r="BR65" s="8"/>
      <c r="BS65" s="8"/>
      <c r="BT65" s="8"/>
      <c r="BU65" s="8"/>
      <c r="BV65" s="8"/>
      <c r="BW65" s="8"/>
      <c r="BX65" s="8"/>
      <c r="BY65" s="8"/>
      <c r="BZ65" s="8"/>
    </row>
    <row r="66" spans="1:78" ht="13" customHeight="1" x14ac:dyDescent="0.15">
      <c r="A66" s="8" t="s">
        <v>6188</v>
      </c>
      <c r="B66" s="8" t="s">
        <v>74</v>
      </c>
      <c r="C66" s="9">
        <v>2018</v>
      </c>
      <c r="D66" s="8" t="s">
        <v>1425</v>
      </c>
      <c r="E66" s="8" t="s">
        <v>1426</v>
      </c>
      <c r="F66" s="8" t="s">
        <v>1427</v>
      </c>
      <c r="G66" s="8" t="str" cm="1">
        <f t="array" ref="G66">LOWER(CleanCode(F66))</f>
        <v>internationalmigrationanddietarychangeinmexicanwomenfromasocialpracticeframework</v>
      </c>
      <c r="H66" s="8"/>
      <c r="I66" s="8"/>
      <c r="J66" s="8" t="s">
        <v>1431</v>
      </c>
      <c r="K66" s="8"/>
      <c r="L66" s="8"/>
      <c r="M66" s="8" t="s">
        <v>1428</v>
      </c>
      <c r="N66" s="8" t="str">
        <f t="shared" si="0"/>
        <v>Appetite</v>
      </c>
      <c r="O66" s="8" t="s">
        <v>1440</v>
      </c>
      <c r="P66" s="8" t="s">
        <v>1441</v>
      </c>
      <c r="Q66" s="8" t="s">
        <v>69</v>
      </c>
      <c r="R66" s="8"/>
      <c r="S66" s="8">
        <v>125</v>
      </c>
      <c r="T66" s="8" t="s">
        <v>69</v>
      </c>
      <c r="U66" s="8">
        <v>72</v>
      </c>
      <c r="V66" s="8">
        <v>80</v>
      </c>
      <c r="W66" s="8">
        <v>9</v>
      </c>
      <c r="X66" s="8"/>
      <c r="Y66" s="8">
        <v>66</v>
      </c>
      <c r="Z66" s="8">
        <v>4</v>
      </c>
      <c r="AA66" s="8">
        <v>4</v>
      </c>
      <c r="AB66" s="8">
        <v>1</v>
      </c>
      <c r="AC66" s="8">
        <v>15</v>
      </c>
      <c r="AD66" s="8" t="s">
        <v>1447</v>
      </c>
      <c r="AE66" s="8" t="s">
        <v>1444</v>
      </c>
      <c r="AF66" s="8">
        <v>29409770</v>
      </c>
      <c r="AG66" s="8" t="s">
        <v>1438</v>
      </c>
      <c r="AH66" s="8" t="s">
        <v>156</v>
      </c>
      <c r="AI66" s="8" t="s">
        <v>1439</v>
      </c>
      <c r="AJ66" s="8" t="s">
        <v>1430</v>
      </c>
      <c r="AK66" s="8" t="s">
        <v>1429</v>
      </c>
      <c r="AL66" s="8"/>
      <c r="AM66" s="8"/>
      <c r="AN66" s="8"/>
      <c r="AO66" s="8"/>
      <c r="AP66" s="8"/>
      <c r="AQ66" s="8"/>
      <c r="AR66" s="8"/>
      <c r="AS66" s="8"/>
      <c r="AT66" s="8"/>
      <c r="AU66" s="8"/>
      <c r="AV66" s="8"/>
      <c r="AW66" s="8"/>
      <c r="AX66" s="8"/>
      <c r="AY66" s="8"/>
      <c r="AZ66" s="8"/>
      <c r="BA66" s="8"/>
      <c r="BB66" s="8"/>
      <c r="BC66" s="8"/>
      <c r="BD66" s="8"/>
      <c r="BE66" s="8"/>
      <c r="BF66" s="8"/>
      <c r="BG66" s="8"/>
      <c r="BH66" s="8"/>
      <c r="BI66" s="8"/>
      <c r="BJ66" s="8"/>
      <c r="BK66" s="8"/>
      <c r="BL66" s="8"/>
      <c r="BM66" s="8"/>
      <c r="BN66" s="8"/>
      <c r="BO66" s="8"/>
      <c r="BP66" s="8"/>
      <c r="BQ66" s="8"/>
      <c r="BR66" s="8"/>
      <c r="BS66" s="8"/>
      <c r="BT66" s="8"/>
      <c r="BU66" s="8"/>
      <c r="BV66" s="8"/>
      <c r="BW66" s="8"/>
      <c r="BX66" s="8"/>
      <c r="BY66" s="8"/>
      <c r="BZ66" s="8"/>
    </row>
    <row r="67" spans="1:78" ht="13" customHeight="1" x14ac:dyDescent="0.15">
      <c r="A67" s="8" t="s">
        <v>6188</v>
      </c>
      <c r="B67" s="8" t="s">
        <v>74</v>
      </c>
      <c r="C67" s="9">
        <v>2018</v>
      </c>
      <c r="D67" s="8" t="s">
        <v>1448</v>
      </c>
      <c r="E67" s="8" t="s">
        <v>1449</v>
      </c>
      <c r="F67" s="8" t="s">
        <v>1450</v>
      </c>
      <c r="G67" s="8" t="str" cm="1">
        <f t="array" ref="G67">LOWER(CleanCode(F67))</f>
        <v>aconceptualframeworkforunderstandinglatinoimmigrantsambiguouslossofhomeland</v>
      </c>
      <c r="H67" s="8"/>
      <c r="I67" s="8"/>
      <c r="J67" s="8" t="s">
        <v>1454</v>
      </c>
      <c r="K67" s="8"/>
      <c r="L67" s="8"/>
      <c r="M67" s="8" t="s">
        <v>1451</v>
      </c>
      <c r="N67" s="8" t="str">
        <f t="shared" ref="N67:N130" si="1">PROPER(M67)</f>
        <v>Hispanic Journal Of Behavioral Sciences</v>
      </c>
      <c r="O67" s="8" t="s">
        <v>1461</v>
      </c>
      <c r="P67" s="8" t="s">
        <v>1462</v>
      </c>
      <c r="Q67" s="8" t="s">
        <v>69</v>
      </c>
      <c r="R67" s="8"/>
      <c r="S67" s="8">
        <v>40</v>
      </c>
      <c r="T67" s="8">
        <v>2</v>
      </c>
      <c r="U67" s="8">
        <v>91</v>
      </c>
      <c r="V67" s="8">
        <v>114</v>
      </c>
      <c r="W67" s="8">
        <v>24</v>
      </c>
      <c r="X67" s="8"/>
      <c r="Y67" s="8">
        <v>70</v>
      </c>
      <c r="Z67" s="8">
        <v>2</v>
      </c>
      <c r="AA67" s="8">
        <v>2</v>
      </c>
      <c r="AB67" s="8">
        <v>1</v>
      </c>
      <c r="AC67" s="8">
        <v>10</v>
      </c>
      <c r="AD67" s="8" t="s">
        <v>1467</v>
      </c>
      <c r="AE67" s="8" t="s">
        <v>1465</v>
      </c>
      <c r="AF67" s="8" t="s">
        <v>69</v>
      </c>
      <c r="AG67" s="8" t="s">
        <v>180</v>
      </c>
      <c r="AH67" s="8" t="s">
        <v>181</v>
      </c>
      <c r="AI67" s="8" t="s">
        <v>182</v>
      </c>
      <c r="AJ67" s="8" t="s">
        <v>1453</v>
      </c>
      <c r="AK67" s="8" t="s">
        <v>1452</v>
      </c>
      <c r="AL67" s="8"/>
      <c r="AM67" s="8"/>
      <c r="AN67" s="8"/>
      <c r="AO67" s="8"/>
      <c r="AP67" s="8"/>
      <c r="AQ67" s="8"/>
      <c r="AR67" s="8"/>
      <c r="AS67" s="8"/>
      <c r="AT67" s="8"/>
      <c r="AU67" s="8"/>
      <c r="AV67" s="8"/>
      <c r="AW67" s="8"/>
      <c r="AX67" s="8"/>
      <c r="AY67" s="8"/>
      <c r="AZ67" s="8"/>
      <c r="BA67" s="8"/>
      <c r="BB67" s="8"/>
      <c r="BC67" s="8"/>
      <c r="BD67" s="8"/>
      <c r="BE67" s="8"/>
      <c r="BF67" s="8"/>
      <c r="BG67" s="8"/>
      <c r="BH67" s="8"/>
      <c r="BI67" s="8"/>
      <c r="BJ67" s="8"/>
      <c r="BK67" s="8"/>
      <c r="BL67" s="8"/>
      <c r="BM67" s="8"/>
      <c r="BN67" s="8"/>
      <c r="BO67" s="8"/>
      <c r="BP67" s="8"/>
      <c r="BQ67" s="8"/>
      <c r="BR67" s="8"/>
      <c r="BS67" s="8"/>
      <c r="BT67" s="8"/>
      <c r="BU67" s="8"/>
      <c r="BV67" s="8"/>
      <c r="BW67" s="8"/>
      <c r="BX67" s="8"/>
      <c r="BY67" s="8"/>
      <c r="BZ67" s="8"/>
    </row>
    <row r="68" spans="1:78" ht="13" customHeight="1" x14ac:dyDescent="0.15">
      <c r="A68" s="8" t="s">
        <v>6188</v>
      </c>
      <c r="B68" s="8" t="s">
        <v>74</v>
      </c>
      <c r="C68" s="9">
        <v>2018</v>
      </c>
      <c r="D68" s="8" t="s">
        <v>1468</v>
      </c>
      <c r="E68" s="8" t="s">
        <v>1469</v>
      </c>
      <c r="F68" s="8" t="s">
        <v>1470</v>
      </c>
      <c r="G68" s="8" t="str" cm="1">
        <f t="array" ref="G68">LOWER(CleanCode(F68))</f>
        <v>measuringcommunityintegrationoflusophonewestafricanimmigrantpopulationsthroughneedsassessmenthumansecurityandrealisticconflicttheory</v>
      </c>
      <c r="H68" s="8"/>
      <c r="I68" s="8"/>
      <c r="J68" s="8" t="s">
        <v>1474</v>
      </c>
      <c r="K68" s="8"/>
      <c r="L68" s="8"/>
      <c r="M68" s="8" t="s">
        <v>1471</v>
      </c>
      <c r="N68" s="8" t="str">
        <f t="shared" si="1"/>
        <v>Journal Of International Migration And Integration</v>
      </c>
      <c r="O68" s="8" t="s">
        <v>1483</v>
      </c>
      <c r="P68" s="8" t="s">
        <v>1484</v>
      </c>
      <c r="Q68" s="8" t="s">
        <v>69</v>
      </c>
      <c r="R68" s="8"/>
      <c r="S68" s="8">
        <v>19</v>
      </c>
      <c r="T68" s="8">
        <v>2</v>
      </c>
      <c r="U68" s="8">
        <v>513</v>
      </c>
      <c r="V68" s="8">
        <v>526</v>
      </c>
      <c r="W68" s="8">
        <v>14</v>
      </c>
      <c r="X68" s="8"/>
      <c r="Y68" s="8">
        <v>83</v>
      </c>
      <c r="Z68" s="8">
        <v>1</v>
      </c>
      <c r="AA68" s="8">
        <v>1</v>
      </c>
      <c r="AB68" s="8">
        <v>1</v>
      </c>
      <c r="AC68" s="8">
        <v>4</v>
      </c>
      <c r="AD68" s="8" t="s">
        <v>1489</v>
      </c>
      <c r="AE68" s="8" t="s">
        <v>1487</v>
      </c>
      <c r="AF68" s="8" t="s">
        <v>69</v>
      </c>
      <c r="AG68" s="8" t="s">
        <v>1480</v>
      </c>
      <c r="AH68" s="8" t="s">
        <v>1481</v>
      </c>
      <c r="AI68" s="8" t="s">
        <v>1482</v>
      </c>
      <c r="AJ68" s="8" t="s">
        <v>1473</v>
      </c>
      <c r="AK68" s="8" t="s">
        <v>1472</v>
      </c>
      <c r="AL68" s="8"/>
      <c r="AM68" s="8"/>
      <c r="AN68" s="8"/>
      <c r="AO68" s="8"/>
      <c r="AP68" s="8"/>
      <c r="AQ68" s="8"/>
      <c r="AR68" s="8"/>
      <c r="AS68" s="8"/>
      <c r="AT68" s="8"/>
      <c r="AU68" s="8"/>
      <c r="AV68" s="8"/>
      <c r="AW68" s="8"/>
      <c r="AX68" s="8"/>
      <c r="AY68" s="8"/>
      <c r="AZ68" s="8"/>
      <c r="BA68" s="8"/>
      <c r="BB68" s="8"/>
      <c r="BC68" s="8"/>
      <c r="BD68" s="8"/>
      <c r="BE68" s="8"/>
      <c r="BF68" s="8"/>
      <c r="BG68" s="8"/>
      <c r="BH68" s="8"/>
      <c r="BI68" s="8"/>
      <c r="BJ68" s="8"/>
      <c r="BK68" s="8"/>
      <c r="BL68" s="8"/>
      <c r="BM68" s="8"/>
      <c r="BN68" s="8"/>
      <c r="BO68" s="8"/>
      <c r="BP68" s="8"/>
      <c r="BQ68" s="8"/>
      <c r="BR68" s="8"/>
      <c r="BS68" s="8"/>
      <c r="BT68" s="8"/>
      <c r="BU68" s="8"/>
      <c r="BV68" s="8"/>
      <c r="BW68" s="8"/>
      <c r="BX68" s="8"/>
      <c r="BY68" s="8"/>
      <c r="BZ68" s="8"/>
    </row>
    <row r="69" spans="1:78" ht="13" customHeight="1" x14ac:dyDescent="0.15">
      <c r="A69" s="8" t="s">
        <v>6188</v>
      </c>
      <c r="B69" s="8" t="s">
        <v>74</v>
      </c>
      <c r="C69" s="9">
        <v>2018</v>
      </c>
      <c r="D69" s="8" t="s">
        <v>1490</v>
      </c>
      <c r="E69" s="8" t="s">
        <v>1491</v>
      </c>
      <c r="F69" s="8" t="s">
        <v>1492</v>
      </c>
      <c r="G69" s="8" t="str" cm="1">
        <f t="array" ref="G69">LOWER(CleanCode(F69))</f>
        <v>fosteringinsightsastrengthsbasedtheoryofparentaltransformation</v>
      </c>
      <c r="H69" s="8"/>
      <c r="I69" s="8"/>
      <c r="J69" s="8" t="s">
        <v>1496</v>
      </c>
      <c r="K69" s="8"/>
      <c r="L69" s="8"/>
      <c r="M69" s="8" t="s">
        <v>1493</v>
      </c>
      <c r="N69" s="8" t="str">
        <f t="shared" si="1"/>
        <v>Journal Of Child And Family Studies</v>
      </c>
      <c r="O69" s="8" t="s">
        <v>1500</v>
      </c>
      <c r="P69" s="8" t="s">
        <v>1501</v>
      </c>
      <c r="Q69" s="8" t="s">
        <v>69</v>
      </c>
      <c r="R69" s="8"/>
      <c r="S69" s="8">
        <v>27</v>
      </c>
      <c r="T69" s="8">
        <v>4</v>
      </c>
      <c r="U69" s="8">
        <v>1275</v>
      </c>
      <c r="V69" s="8">
        <v>1286</v>
      </c>
      <c r="W69" s="8">
        <v>12</v>
      </c>
      <c r="X69" s="8"/>
      <c r="Y69" s="8">
        <v>89</v>
      </c>
      <c r="Z69" s="8">
        <v>2</v>
      </c>
      <c r="AA69" s="8">
        <v>2</v>
      </c>
      <c r="AB69" s="8">
        <v>0</v>
      </c>
      <c r="AC69" s="8">
        <v>8</v>
      </c>
      <c r="AD69" s="8" t="s">
        <v>1508</v>
      </c>
      <c r="AE69" s="8" t="s">
        <v>1504</v>
      </c>
      <c r="AF69" s="8" t="s">
        <v>69</v>
      </c>
      <c r="AG69" s="8" t="s">
        <v>572</v>
      </c>
      <c r="AH69" s="8" t="s">
        <v>573</v>
      </c>
      <c r="AI69" s="8" t="s">
        <v>636</v>
      </c>
      <c r="AJ69" s="8" t="s">
        <v>1495</v>
      </c>
      <c r="AK69" s="8" t="s">
        <v>1494</v>
      </c>
      <c r="AL69" s="8"/>
      <c r="AM69" s="8"/>
      <c r="AN69" s="8"/>
      <c r="AO69" s="8"/>
      <c r="AP69" s="8"/>
      <c r="AQ69" s="8"/>
      <c r="AR69" s="8"/>
      <c r="AS69" s="8"/>
      <c r="AT69" s="8"/>
      <c r="AU69" s="8"/>
      <c r="AV69" s="8"/>
      <c r="AW69" s="8"/>
      <c r="AX69" s="8"/>
      <c r="AY69" s="8"/>
      <c r="AZ69" s="8"/>
      <c r="BA69" s="8"/>
      <c r="BB69" s="8"/>
      <c r="BC69" s="8"/>
      <c r="BD69" s="8"/>
      <c r="BE69" s="8"/>
      <c r="BF69" s="8"/>
      <c r="BG69" s="8"/>
      <c r="BH69" s="8"/>
      <c r="BI69" s="8"/>
      <c r="BJ69" s="8"/>
      <c r="BK69" s="8"/>
      <c r="BL69" s="8"/>
      <c r="BM69" s="8"/>
      <c r="BN69" s="8"/>
      <c r="BO69" s="8"/>
      <c r="BP69" s="8"/>
      <c r="BQ69" s="8"/>
      <c r="BR69" s="8"/>
      <c r="BS69" s="8"/>
      <c r="BT69" s="8"/>
      <c r="BU69" s="8"/>
      <c r="BV69" s="8"/>
      <c r="BW69" s="8"/>
      <c r="BX69" s="8"/>
      <c r="BY69" s="8"/>
      <c r="BZ69" s="8"/>
    </row>
    <row r="70" spans="1:78" ht="13" customHeight="1" x14ac:dyDescent="0.15">
      <c r="A70" s="8" t="s">
        <v>6188</v>
      </c>
      <c r="B70" s="8" t="s">
        <v>74</v>
      </c>
      <c r="C70" s="9">
        <v>2018</v>
      </c>
      <c r="D70" s="8" t="s">
        <v>1509</v>
      </c>
      <c r="E70" s="8" t="s">
        <v>1510</v>
      </c>
      <c r="F70" s="8" t="s">
        <v>1511</v>
      </c>
      <c r="G70" s="8" t="str" cm="1">
        <f t="array" ref="G70">LOWER(CleanCode(F70))</f>
        <v>culturalidentityamongafghanandiraqitraumatizedrefugeestowardsaconceptualframeworkformentalhealthcareprofessionals</v>
      </c>
      <c r="H70" s="8"/>
      <c r="I70" s="8"/>
      <c r="J70" s="8" t="s">
        <v>1515</v>
      </c>
      <c r="K70" s="8"/>
      <c r="L70" s="8"/>
      <c r="M70" s="8" t="s">
        <v>1512</v>
      </c>
      <c r="N70" s="8" t="str">
        <f t="shared" si="1"/>
        <v>Culture Medicine And Psychiatry</v>
      </c>
      <c r="O70" s="8" t="s">
        <v>1523</v>
      </c>
      <c r="P70" s="8" t="s">
        <v>1524</v>
      </c>
      <c r="Q70" s="8" t="s">
        <v>69</v>
      </c>
      <c r="R70" s="8"/>
      <c r="S70" s="8">
        <v>42</v>
      </c>
      <c r="T70" s="8">
        <v>1</v>
      </c>
      <c r="U70" s="8">
        <v>69</v>
      </c>
      <c r="V70" s="8">
        <v>91</v>
      </c>
      <c r="W70" s="8">
        <v>23</v>
      </c>
      <c r="X70" s="8"/>
      <c r="Y70" s="8">
        <v>42</v>
      </c>
      <c r="Z70" s="8">
        <v>10</v>
      </c>
      <c r="AA70" s="8">
        <v>10</v>
      </c>
      <c r="AB70" s="8">
        <v>1</v>
      </c>
      <c r="AC70" s="8">
        <v>9</v>
      </c>
      <c r="AD70" s="8" t="s">
        <v>1531</v>
      </c>
      <c r="AE70" s="8" t="s">
        <v>1527</v>
      </c>
      <c r="AF70" s="8">
        <v>28108844</v>
      </c>
      <c r="AG70" s="8" t="s">
        <v>572</v>
      </c>
      <c r="AH70" s="8" t="s">
        <v>1521</v>
      </c>
      <c r="AI70" s="8" t="s">
        <v>1522</v>
      </c>
      <c r="AJ70" s="8" t="s">
        <v>1514</v>
      </c>
      <c r="AK70" s="8" t="s">
        <v>1513</v>
      </c>
      <c r="AL70" s="8"/>
      <c r="AM70" s="8"/>
      <c r="AN70" s="8"/>
      <c r="AO70" s="8"/>
      <c r="AP70" s="8"/>
      <c r="AQ70" s="8"/>
      <c r="AR70" s="8"/>
      <c r="AS70" s="8"/>
      <c r="AT70" s="8"/>
      <c r="AU70" s="8"/>
      <c r="AV70" s="8"/>
      <c r="AW70" s="8"/>
      <c r="AX70" s="8"/>
      <c r="AY70" s="8"/>
      <c r="AZ70" s="8"/>
      <c r="BA70" s="8"/>
      <c r="BB70" s="8"/>
      <c r="BC70" s="8"/>
      <c r="BD70" s="8"/>
      <c r="BE70" s="8"/>
      <c r="BF70" s="8"/>
      <c r="BG70" s="8"/>
      <c r="BH70" s="8"/>
      <c r="BI70" s="8"/>
      <c r="BJ70" s="8"/>
      <c r="BK70" s="8"/>
      <c r="BL70" s="8"/>
      <c r="BM70" s="8"/>
      <c r="BN70" s="8"/>
      <c r="BO70" s="8"/>
      <c r="BP70" s="8"/>
      <c r="BQ70" s="8"/>
      <c r="BR70" s="8"/>
      <c r="BS70" s="8"/>
      <c r="BT70" s="8"/>
      <c r="BU70" s="8"/>
      <c r="BV70" s="8"/>
      <c r="BW70" s="8"/>
      <c r="BX70" s="8"/>
      <c r="BY70" s="8"/>
      <c r="BZ70" s="8"/>
    </row>
    <row r="71" spans="1:78" ht="13" customHeight="1" x14ac:dyDescent="0.15">
      <c r="A71" s="8" t="s">
        <v>6188</v>
      </c>
      <c r="B71" s="8" t="s">
        <v>74</v>
      </c>
      <c r="C71" s="9">
        <v>2018</v>
      </c>
      <c r="D71" s="8" t="s">
        <v>1533</v>
      </c>
      <c r="E71" s="8" t="s">
        <v>1534</v>
      </c>
      <c r="F71" s="8" t="s">
        <v>1535</v>
      </c>
      <c r="G71" s="8" t="str" cm="1">
        <f t="array" ref="G71">LOWER(CleanCode(F71))</f>
        <v>culturalinfluenceondiseasesymptomsandsubjectivediseasetheory</v>
      </c>
      <c r="H71" s="8"/>
      <c r="I71" s="8"/>
      <c r="J71" s="8" t="s">
        <v>1539</v>
      </c>
      <c r="K71" s="8"/>
      <c r="L71" s="8"/>
      <c r="M71" s="8" t="s">
        <v>1536</v>
      </c>
      <c r="N71" s="8" t="str">
        <f t="shared" si="1"/>
        <v>Gynakologische Endokrinologie</v>
      </c>
      <c r="O71" s="8" t="s">
        <v>1543</v>
      </c>
      <c r="P71" s="8" t="s">
        <v>1544</v>
      </c>
      <c r="Q71" s="8" t="s">
        <v>69</v>
      </c>
      <c r="R71" s="8"/>
      <c r="S71" s="8">
        <v>16</v>
      </c>
      <c r="T71" s="8">
        <v>1</v>
      </c>
      <c r="U71" s="8">
        <v>10</v>
      </c>
      <c r="V71" s="8">
        <v>15</v>
      </c>
      <c r="W71" s="8">
        <v>6</v>
      </c>
      <c r="X71" s="8"/>
      <c r="Y71" s="8">
        <v>32</v>
      </c>
      <c r="Z71" s="8">
        <v>0</v>
      </c>
      <c r="AA71" s="8">
        <v>0</v>
      </c>
      <c r="AB71" s="8">
        <v>0</v>
      </c>
      <c r="AC71" s="8">
        <v>2</v>
      </c>
      <c r="AD71" s="8" t="s">
        <v>1550</v>
      </c>
      <c r="AE71" s="8" t="s">
        <v>1547</v>
      </c>
      <c r="AF71" s="8" t="s">
        <v>69</v>
      </c>
      <c r="AG71" s="8" t="s">
        <v>1480</v>
      </c>
      <c r="AH71" s="8" t="s">
        <v>1481</v>
      </c>
      <c r="AI71" s="8" t="s">
        <v>1482</v>
      </c>
      <c r="AJ71" s="8" t="s">
        <v>1538</v>
      </c>
      <c r="AK71" s="8" t="s">
        <v>1537</v>
      </c>
      <c r="AL71" s="8"/>
      <c r="AM71" s="8"/>
      <c r="AN71" s="8"/>
      <c r="AO71" s="8"/>
      <c r="AP71" s="8"/>
      <c r="AQ71" s="8"/>
      <c r="AR71" s="8"/>
      <c r="AS71" s="8"/>
      <c r="AT71" s="8"/>
      <c r="AU71" s="8"/>
      <c r="AV71" s="8"/>
      <c r="AW71" s="8"/>
      <c r="AX71" s="8"/>
      <c r="AY71" s="8"/>
      <c r="AZ71" s="8"/>
      <c r="BA71" s="8"/>
      <c r="BB71" s="8"/>
      <c r="BC71" s="8"/>
      <c r="BD71" s="8"/>
      <c r="BE71" s="8"/>
      <c r="BF71" s="8"/>
      <c r="BG71" s="8"/>
      <c r="BH71" s="8"/>
      <c r="BI71" s="8"/>
      <c r="BJ71" s="8"/>
      <c r="BK71" s="8"/>
      <c r="BL71" s="8"/>
      <c r="BM71" s="8"/>
      <c r="BN71" s="8"/>
      <c r="BO71" s="8"/>
      <c r="BP71" s="8"/>
      <c r="BQ71" s="8"/>
      <c r="BR71" s="8"/>
      <c r="BS71" s="8"/>
      <c r="BT71" s="8"/>
      <c r="BU71" s="8"/>
      <c r="BV71" s="8"/>
      <c r="BW71" s="8"/>
      <c r="BX71" s="8"/>
      <c r="BY71" s="8"/>
      <c r="BZ71" s="8"/>
    </row>
    <row r="72" spans="1:78" ht="13" customHeight="1" x14ac:dyDescent="0.15">
      <c r="A72" s="8" t="s">
        <v>6188</v>
      </c>
      <c r="B72" s="8" t="s">
        <v>318</v>
      </c>
      <c r="C72" s="9">
        <v>2018</v>
      </c>
      <c r="D72" s="8" t="s">
        <v>1551</v>
      </c>
      <c r="E72" s="8" t="s">
        <v>1552</v>
      </c>
      <c r="F72" s="8" t="s">
        <v>1553</v>
      </c>
      <c r="G72" s="8" t="str" cm="1">
        <f t="array" ref="G72">LOWER(CleanCode(F72))</f>
        <v>shouldistayorshouldigoasystematicliteraturereviewabouttheconceptualizationandmeasurementofinternationalrelocationmobilityreadiness</v>
      </c>
      <c r="H72" s="8"/>
      <c r="I72" s="8"/>
      <c r="J72" s="8" t="s">
        <v>1557</v>
      </c>
      <c r="K72" s="8"/>
      <c r="L72" s="8"/>
      <c r="M72" s="8" t="s">
        <v>1554</v>
      </c>
      <c r="N72" s="8" t="str">
        <f t="shared" si="1"/>
        <v>Journal Of Global Mobility-The Home Of Expatriate Management Research</v>
      </c>
      <c r="O72" s="8" t="s">
        <v>1561</v>
      </c>
      <c r="P72" s="8" t="s">
        <v>1562</v>
      </c>
      <c r="Q72" s="8" t="s">
        <v>69</v>
      </c>
      <c r="R72" s="8"/>
      <c r="S72" s="8">
        <v>6</v>
      </c>
      <c r="T72" s="8">
        <v>2</v>
      </c>
      <c r="U72" s="8">
        <v>129</v>
      </c>
      <c r="V72" s="8">
        <v>157</v>
      </c>
      <c r="W72" s="8">
        <v>29</v>
      </c>
      <c r="X72" s="8"/>
      <c r="Y72" s="8">
        <v>148</v>
      </c>
      <c r="Z72" s="8">
        <v>2</v>
      </c>
      <c r="AA72" s="8">
        <v>2</v>
      </c>
      <c r="AB72" s="8">
        <v>0</v>
      </c>
      <c r="AC72" s="8">
        <v>15</v>
      </c>
      <c r="AD72" s="8" t="s">
        <v>1567</v>
      </c>
      <c r="AE72" s="8" t="s">
        <v>1565</v>
      </c>
      <c r="AF72" s="8" t="s">
        <v>69</v>
      </c>
      <c r="AG72" s="8" t="s">
        <v>131</v>
      </c>
      <c r="AH72" s="8" t="s">
        <v>132</v>
      </c>
      <c r="AI72" s="8" t="s">
        <v>133</v>
      </c>
      <c r="AJ72" s="8" t="s">
        <v>1556</v>
      </c>
      <c r="AK72" s="8" t="s">
        <v>1555</v>
      </c>
      <c r="AL72" s="8"/>
      <c r="AM72" s="8"/>
      <c r="AN72" s="8"/>
      <c r="AO72" s="8"/>
      <c r="AP72" s="8"/>
      <c r="AQ72" s="8"/>
      <c r="AR72" s="8"/>
      <c r="AS72" s="8"/>
      <c r="AT72" s="8"/>
      <c r="AU72" s="8"/>
      <c r="AV72" s="8"/>
      <c r="AW72" s="8"/>
      <c r="AX72" s="8"/>
      <c r="AY72" s="8"/>
      <c r="AZ72" s="8"/>
      <c r="BA72" s="8"/>
      <c r="BB72" s="8"/>
      <c r="BC72" s="8"/>
      <c r="BD72" s="8"/>
      <c r="BE72" s="8"/>
      <c r="BF72" s="8"/>
      <c r="BG72" s="8"/>
      <c r="BH72" s="8"/>
      <c r="BI72" s="8"/>
      <c r="BJ72" s="8"/>
      <c r="BK72" s="8"/>
      <c r="BL72" s="8"/>
      <c r="BM72" s="8"/>
      <c r="BN72" s="8"/>
      <c r="BO72" s="8"/>
      <c r="BP72" s="8"/>
      <c r="BQ72" s="8"/>
      <c r="BR72" s="8"/>
      <c r="BS72" s="8"/>
      <c r="BT72" s="8"/>
      <c r="BU72" s="8"/>
      <c r="BV72" s="8"/>
      <c r="BW72" s="8"/>
      <c r="BX72" s="8"/>
      <c r="BY72" s="8"/>
      <c r="BZ72" s="8"/>
    </row>
    <row r="73" spans="1:78" ht="13" customHeight="1" x14ac:dyDescent="0.15">
      <c r="A73" s="8" t="s">
        <v>6188</v>
      </c>
      <c r="B73" s="8" t="s">
        <v>74</v>
      </c>
      <c r="C73" s="9">
        <v>2018</v>
      </c>
      <c r="D73" s="8" t="s">
        <v>1568</v>
      </c>
      <c r="E73" s="8" t="s">
        <v>1569</v>
      </c>
      <c r="F73" s="8" t="s">
        <v>1570</v>
      </c>
      <c r="G73" s="8" t="str" cm="1">
        <f t="array" ref="G73">LOWER(CleanCode(F73))</f>
        <v>agroundedtheoryofkoreanimmigrantsexperiencesofreestablishingeverydayactivitiesinnewzealand</v>
      </c>
      <c r="H73" s="8"/>
      <c r="I73" s="8"/>
      <c r="J73" s="8" t="s">
        <v>1574</v>
      </c>
      <c r="K73" s="8"/>
      <c r="L73" s="8"/>
      <c r="M73" s="8" t="s">
        <v>1571</v>
      </c>
      <c r="N73" s="8" t="str">
        <f t="shared" si="1"/>
        <v>Journal Of Immigrant &amp; Refugee Studies</v>
      </c>
      <c r="O73" s="8" t="s">
        <v>1580</v>
      </c>
      <c r="P73" s="8" t="s">
        <v>1581</v>
      </c>
      <c r="Q73" s="8" t="s">
        <v>69</v>
      </c>
      <c r="R73" s="8"/>
      <c r="S73" s="8">
        <v>16</v>
      </c>
      <c r="T73" s="8">
        <v>3</v>
      </c>
      <c r="U73" s="8">
        <v>255</v>
      </c>
      <c r="V73" s="8">
        <v>274</v>
      </c>
      <c r="W73" s="8">
        <v>20</v>
      </c>
      <c r="X73" s="8"/>
      <c r="Y73" s="8">
        <v>31</v>
      </c>
      <c r="Z73" s="8">
        <v>1</v>
      </c>
      <c r="AA73" s="8">
        <v>1</v>
      </c>
      <c r="AB73" s="8">
        <v>0</v>
      </c>
      <c r="AC73" s="8">
        <v>0</v>
      </c>
      <c r="AD73" s="8" t="s">
        <v>1587</v>
      </c>
      <c r="AE73" s="8" t="s">
        <v>1584</v>
      </c>
      <c r="AF73" s="8" t="s">
        <v>69</v>
      </c>
      <c r="AG73" s="8" t="s">
        <v>108</v>
      </c>
      <c r="AH73" s="8" t="s">
        <v>109</v>
      </c>
      <c r="AI73" s="8" t="s">
        <v>110</v>
      </c>
      <c r="AJ73" s="8" t="s">
        <v>1573</v>
      </c>
      <c r="AK73" s="8" t="s">
        <v>1572</v>
      </c>
      <c r="AL73" s="8"/>
      <c r="AM73" s="8"/>
      <c r="AN73" s="8"/>
      <c r="AO73" s="8"/>
      <c r="AP73" s="8"/>
      <c r="AQ73" s="8"/>
      <c r="AR73" s="8"/>
      <c r="AS73" s="8"/>
      <c r="AT73" s="8"/>
      <c r="AU73" s="8"/>
      <c r="AV73" s="8"/>
      <c r="AW73" s="8"/>
      <c r="AX73" s="8"/>
      <c r="AY73" s="8"/>
      <c r="AZ73" s="8"/>
      <c r="BA73" s="8"/>
      <c r="BB73" s="8"/>
      <c r="BC73" s="8"/>
      <c r="BD73" s="8"/>
      <c r="BE73" s="8"/>
      <c r="BF73" s="8"/>
      <c r="BG73" s="8"/>
      <c r="BH73" s="8"/>
      <c r="BI73" s="8"/>
      <c r="BJ73" s="8"/>
      <c r="BK73" s="8"/>
      <c r="BL73" s="8"/>
      <c r="BM73" s="8"/>
      <c r="BN73" s="8"/>
      <c r="BO73" s="8"/>
      <c r="BP73" s="8"/>
      <c r="BQ73" s="8"/>
      <c r="BR73" s="8"/>
      <c r="BS73" s="8"/>
      <c r="BT73" s="8"/>
      <c r="BU73" s="8"/>
      <c r="BV73" s="8"/>
      <c r="BW73" s="8"/>
      <c r="BX73" s="8"/>
      <c r="BY73" s="8"/>
      <c r="BZ73" s="8"/>
    </row>
    <row r="74" spans="1:78" ht="13" customHeight="1" x14ac:dyDescent="0.15">
      <c r="A74" s="8" t="s">
        <v>6188</v>
      </c>
      <c r="B74" s="8" t="s">
        <v>74</v>
      </c>
      <c r="C74" s="9">
        <v>2018</v>
      </c>
      <c r="D74" s="8" t="s">
        <v>1588</v>
      </c>
      <c r="E74" s="8" t="s">
        <v>1589</v>
      </c>
      <c r="F74" s="8" t="s">
        <v>1590</v>
      </c>
      <c r="G74" s="8" t="str" cm="1">
        <f t="array" ref="G74">LOWER(CleanCode(F74))</f>
        <v>crisisandthegreekasylumsystemintheframeworkoftheeuturkeyagreementlegalandpoliticalaspects</v>
      </c>
      <c r="H74" s="8"/>
      <c r="I74" s="8"/>
      <c r="J74" s="8" t="s">
        <v>1593</v>
      </c>
      <c r="K74" s="8"/>
      <c r="L74" s="8"/>
      <c r="M74" s="8" t="s">
        <v>1591</v>
      </c>
      <c r="N74" s="8" t="str">
        <f t="shared" si="1"/>
        <v>Uluslararasi Iliskiler-International Relations</v>
      </c>
      <c r="O74" s="8" t="s">
        <v>1600</v>
      </c>
      <c r="P74" s="8" t="s">
        <v>69</v>
      </c>
      <c r="Q74" s="8" t="s">
        <v>69</v>
      </c>
      <c r="R74" s="8"/>
      <c r="S74" s="8">
        <v>15</v>
      </c>
      <c r="T74" s="8">
        <v>58</v>
      </c>
      <c r="U74" s="8">
        <v>81</v>
      </c>
      <c r="V74" s="8">
        <v>91</v>
      </c>
      <c r="W74" s="8">
        <v>11</v>
      </c>
      <c r="X74" s="8"/>
      <c r="Y74" s="8">
        <v>6</v>
      </c>
      <c r="Z74" s="8">
        <v>0</v>
      </c>
      <c r="AA74" s="8">
        <v>0</v>
      </c>
      <c r="AB74" s="8">
        <v>1</v>
      </c>
      <c r="AC74" s="8">
        <v>7</v>
      </c>
      <c r="AD74" s="8" t="s">
        <v>1605</v>
      </c>
      <c r="AE74" s="8" t="s">
        <v>69</v>
      </c>
      <c r="AF74" s="8" t="s">
        <v>69</v>
      </c>
      <c r="AG74" s="8" t="s">
        <v>1597</v>
      </c>
      <c r="AH74" s="8" t="s">
        <v>1598</v>
      </c>
      <c r="AI74" s="8" t="s">
        <v>1599</v>
      </c>
      <c r="AJ74" s="8" t="s">
        <v>69</v>
      </c>
      <c r="AK74" s="8" t="s">
        <v>1592</v>
      </c>
      <c r="AL74" s="8"/>
      <c r="AM74" s="8"/>
      <c r="AN74" s="8"/>
      <c r="AO74" s="8"/>
      <c r="AP74" s="8"/>
      <c r="AQ74" s="8"/>
      <c r="AR74" s="8"/>
      <c r="AS74" s="8"/>
      <c r="AT74" s="8"/>
      <c r="AU74" s="8"/>
      <c r="AV74" s="8"/>
      <c r="AW74" s="8"/>
      <c r="AX74" s="8"/>
      <c r="AY74" s="8"/>
      <c r="AZ74" s="8"/>
      <c r="BA74" s="8"/>
      <c r="BB74" s="8"/>
      <c r="BC74" s="8"/>
      <c r="BD74" s="8"/>
      <c r="BE74" s="8"/>
      <c r="BF74" s="8"/>
      <c r="BG74" s="8"/>
      <c r="BH74" s="8"/>
      <c r="BI74" s="8"/>
      <c r="BJ74" s="8"/>
      <c r="BK74" s="8"/>
      <c r="BL74" s="8"/>
      <c r="BM74" s="8"/>
      <c r="BN74" s="8"/>
      <c r="BO74" s="8"/>
      <c r="BP74" s="8"/>
      <c r="BQ74" s="8"/>
      <c r="BR74" s="8"/>
      <c r="BS74" s="8"/>
      <c r="BT74" s="8"/>
      <c r="BU74" s="8"/>
      <c r="BV74" s="8"/>
      <c r="BW74" s="8"/>
      <c r="BX74" s="8"/>
      <c r="BY74" s="8"/>
      <c r="BZ74" s="8"/>
    </row>
    <row r="75" spans="1:78" ht="13" customHeight="1" x14ac:dyDescent="0.15">
      <c r="A75" s="8" t="s">
        <v>6188</v>
      </c>
      <c r="B75" s="8" t="s">
        <v>74</v>
      </c>
      <c r="C75" s="9">
        <v>2018</v>
      </c>
      <c r="D75" s="8" t="s">
        <v>1606</v>
      </c>
      <c r="E75" s="8" t="s">
        <v>1607</v>
      </c>
      <c r="F75" s="8" t="s">
        <v>1608</v>
      </c>
      <c r="G75" s="8" t="str" cm="1">
        <f t="array" ref="G75">LOWER(CleanCode(F75))</f>
        <v>psychologicalacculturationtheoreticalapproachesandmethodsformeasurement</v>
      </c>
      <c r="H75" s="8"/>
      <c r="I75" s="8"/>
      <c r="J75" s="8" t="s">
        <v>1613</v>
      </c>
      <c r="K75" s="8"/>
      <c r="L75" s="8"/>
      <c r="M75" s="8" t="s">
        <v>1609</v>
      </c>
      <c r="N75" s="8" t="str">
        <f t="shared" si="1"/>
        <v>Ceskoslovenska Psychologie</v>
      </c>
      <c r="O75" s="8" t="s">
        <v>1622</v>
      </c>
      <c r="P75" s="8" t="s">
        <v>1623</v>
      </c>
      <c r="Q75" s="8" t="s">
        <v>69</v>
      </c>
      <c r="R75" s="8"/>
      <c r="S75" s="8">
        <v>62</v>
      </c>
      <c r="T75" s="8">
        <v>2</v>
      </c>
      <c r="U75" s="8">
        <v>153</v>
      </c>
      <c r="V75" s="8">
        <v>172</v>
      </c>
      <c r="W75" s="8">
        <v>20</v>
      </c>
      <c r="X75" s="8"/>
      <c r="Y75" s="8">
        <v>114</v>
      </c>
      <c r="Z75" s="8">
        <v>1</v>
      </c>
      <c r="AA75" s="8">
        <v>1</v>
      </c>
      <c r="AB75" s="8">
        <v>0</v>
      </c>
      <c r="AC75" s="8">
        <v>9</v>
      </c>
      <c r="AD75" s="8" t="s">
        <v>1627</v>
      </c>
      <c r="AE75" s="8" t="s">
        <v>69</v>
      </c>
      <c r="AF75" s="8" t="s">
        <v>69</v>
      </c>
      <c r="AG75" s="8" t="s">
        <v>1619</v>
      </c>
      <c r="AH75" s="8" t="s">
        <v>1620</v>
      </c>
      <c r="AI75" s="8" t="s">
        <v>1621</v>
      </c>
      <c r="AJ75" s="8" t="s">
        <v>1612</v>
      </c>
      <c r="AK75" s="8" t="s">
        <v>1611</v>
      </c>
      <c r="AL75" s="8"/>
      <c r="AM75" s="8"/>
      <c r="AN75" s="8"/>
      <c r="AO75" s="8"/>
      <c r="AP75" s="8"/>
      <c r="AQ75" s="8"/>
      <c r="AR75" s="8"/>
      <c r="AS75" s="8"/>
      <c r="AT75" s="8"/>
      <c r="AU75" s="8"/>
      <c r="AV75" s="8"/>
      <c r="AW75" s="8"/>
      <c r="AX75" s="8"/>
      <c r="AY75" s="8"/>
      <c r="AZ75" s="8"/>
      <c r="BA75" s="8"/>
      <c r="BB75" s="8"/>
      <c r="BC75" s="8"/>
      <c r="BD75" s="8"/>
      <c r="BE75" s="8"/>
      <c r="BF75" s="8"/>
      <c r="BG75" s="8"/>
      <c r="BH75" s="8"/>
      <c r="BI75" s="8"/>
      <c r="BJ75" s="8"/>
      <c r="BK75" s="8"/>
      <c r="BL75" s="8"/>
      <c r="BM75" s="8"/>
      <c r="BN75" s="8"/>
      <c r="BO75" s="8"/>
      <c r="BP75" s="8"/>
      <c r="BQ75" s="8"/>
      <c r="BR75" s="8"/>
      <c r="BS75" s="8"/>
      <c r="BT75" s="8"/>
      <c r="BU75" s="8"/>
      <c r="BV75" s="8"/>
      <c r="BW75" s="8"/>
      <c r="BX75" s="8"/>
      <c r="BY75" s="8"/>
      <c r="BZ75" s="8"/>
    </row>
    <row r="76" spans="1:78" ht="13" customHeight="1" x14ac:dyDescent="0.15">
      <c r="A76" s="8" t="s">
        <v>6188</v>
      </c>
      <c r="B76" s="8" t="s">
        <v>74</v>
      </c>
      <c r="C76" s="9">
        <v>2018</v>
      </c>
      <c r="D76" s="8" t="s">
        <v>1628</v>
      </c>
      <c r="E76" s="8" t="s">
        <v>1629</v>
      </c>
      <c r="F76" s="8" t="s">
        <v>1630</v>
      </c>
      <c r="G76" s="8" t="str" cm="1">
        <f t="array" ref="G76">LOWER(CleanCode(F76))</f>
        <v>differentiatingthedrugnormalizationframeworkaquantitativeassessmentofcannabisusepatternsaccessibilityandacceptabilityattitudesamonguniversityundergraduates</v>
      </c>
      <c r="H76" s="8"/>
      <c r="I76" s="8"/>
      <c r="J76" s="8" t="s">
        <v>1634</v>
      </c>
      <c r="K76" s="8"/>
      <c r="L76" s="8"/>
      <c r="M76" s="8" t="s">
        <v>1631</v>
      </c>
      <c r="N76" s="8" t="str">
        <f t="shared" si="1"/>
        <v>Substance Use &amp; Misuse</v>
      </c>
      <c r="O76" s="8" t="s">
        <v>1641</v>
      </c>
      <c r="P76" s="8" t="s">
        <v>1642</v>
      </c>
      <c r="Q76" s="8" t="s">
        <v>69</v>
      </c>
      <c r="R76" s="8"/>
      <c r="S76" s="8">
        <v>53</v>
      </c>
      <c r="T76" s="8">
        <v>14</v>
      </c>
      <c r="U76" s="8">
        <v>2339</v>
      </c>
      <c r="V76" s="8">
        <v>2349</v>
      </c>
      <c r="W76" s="8">
        <v>11</v>
      </c>
      <c r="X76" s="8"/>
      <c r="Y76" s="8">
        <v>59</v>
      </c>
      <c r="Z76" s="8">
        <v>7</v>
      </c>
      <c r="AA76" s="8">
        <v>8</v>
      </c>
      <c r="AB76" s="8">
        <v>0</v>
      </c>
      <c r="AC76" s="8">
        <v>10</v>
      </c>
      <c r="AD76" s="8" t="s">
        <v>1648</v>
      </c>
      <c r="AE76" s="8" t="s">
        <v>1645</v>
      </c>
      <c r="AF76" s="8">
        <v>29944057</v>
      </c>
      <c r="AG76" s="8" t="s">
        <v>701</v>
      </c>
      <c r="AH76" s="8" t="s">
        <v>702</v>
      </c>
      <c r="AI76" s="8" t="s">
        <v>703</v>
      </c>
      <c r="AJ76" s="8" t="s">
        <v>1633</v>
      </c>
      <c r="AK76" s="8" t="s">
        <v>1632</v>
      </c>
      <c r="AL76" s="8"/>
      <c r="AM76" s="8"/>
      <c r="AN76" s="8"/>
      <c r="AO76" s="8"/>
      <c r="AP76" s="8"/>
      <c r="AQ76" s="8"/>
      <c r="AR76" s="8"/>
      <c r="AS76" s="8"/>
      <c r="AT76" s="8"/>
      <c r="AU76" s="8"/>
      <c r="AV76" s="8"/>
      <c r="AW76" s="8"/>
      <c r="AX76" s="8"/>
      <c r="AY76" s="8"/>
      <c r="AZ76" s="8"/>
      <c r="BA76" s="8"/>
      <c r="BB76" s="8"/>
      <c r="BC76" s="8"/>
      <c r="BD76" s="8"/>
      <c r="BE76" s="8"/>
      <c r="BF76" s="8"/>
      <c r="BG76" s="8"/>
      <c r="BH76" s="8"/>
      <c r="BI76" s="8"/>
      <c r="BJ76" s="8"/>
      <c r="BK76" s="8"/>
      <c r="BL76" s="8"/>
      <c r="BM76" s="8"/>
      <c r="BN76" s="8"/>
      <c r="BO76" s="8"/>
      <c r="BP76" s="8"/>
      <c r="BQ76" s="8"/>
      <c r="BR76" s="8"/>
      <c r="BS76" s="8"/>
      <c r="BT76" s="8"/>
      <c r="BU76" s="8"/>
      <c r="BV76" s="8"/>
      <c r="BW76" s="8"/>
      <c r="BX76" s="8"/>
      <c r="BY76" s="8"/>
      <c r="BZ76" s="8"/>
    </row>
    <row r="77" spans="1:78" ht="13" customHeight="1" x14ac:dyDescent="0.15">
      <c r="A77" s="8" t="s">
        <v>6188</v>
      </c>
      <c r="B77" s="8" t="s">
        <v>74</v>
      </c>
      <c r="C77" s="9">
        <v>2018</v>
      </c>
      <c r="D77" s="8" t="s">
        <v>1649</v>
      </c>
      <c r="E77" s="8" t="s">
        <v>1650</v>
      </c>
      <c r="F77" s="8" t="s">
        <v>1651</v>
      </c>
      <c r="G77" s="8" t="str" cm="1">
        <f t="array" ref="G77">LOWER(CleanCode(F77))</f>
        <v>feministborderlandtheoryandkarenrefugeesfindingplaceinthefamily</v>
      </c>
      <c r="H77" s="8"/>
      <c r="I77" s="8"/>
      <c r="J77" s="8" t="s">
        <v>1655</v>
      </c>
      <c r="K77" s="8"/>
      <c r="L77" s="8"/>
      <c r="M77" s="8" t="s">
        <v>1652</v>
      </c>
      <c r="N77" s="8" t="str">
        <f t="shared" si="1"/>
        <v>Journal Of Feminist Family Therapy</v>
      </c>
      <c r="O77" s="8" t="s">
        <v>1659</v>
      </c>
      <c r="P77" s="8" t="s">
        <v>1660</v>
      </c>
      <c r="Q77" s="8" t="s">
        <v>69</v>
      </c>
      <c r="R77" s="8"/>
      <c r="S77" s="8">
        <v>30</v>
      </c>
      <c r="T77" s="8">
        <v>3</v>
      </c>
      <c r="U77" s="8">
        <v>155</v>
      </c>
      <c r="V77" s="8">
        <v>169</v>
      </c>
      <c r="W77" s="8">
        <v>15</v>
      </c>
      <c r="X77" s="8"/>
      <c r="Y77" s="8">
        <v>43</v>
      </c>
      <c r="Z77" s="8">
        <v>2</v>
      </c>
      <c r="AA77" s="8">
        <v>2</v>
      </c>
      <c r="AB77" s="8">
        <v>0</v>
      </c>
      <c r="AC77" s="8">
        <v>6</v>
      </c>
      <c r="AD77" s="8" t="s">
        <v>1665</v>
      </c>
      <c r="AE77" s="8" t="s">
        <v>1663</v>
      </c>
      <c r="AF77" s="8" t="s">
        <v>69</v>
      </c>
      <c r="AG77" s="8" t="s">
        <v>108</v>
      </c>
      <c r="AH77" s="8" t="s">
        <v>109</v>
      </c>
      <c r="AI77" s="8" t="s">
        <v>110</v>
      </c>
      <c r="AJ77" s="8" t="s">
        <v>1654</v>
      </c>
      <c r="AK77" s="8" t="s">
        <v>1653</v>
      </c>
      <c r="AL77" s="8"/>
      <c r="AM77" s="8"/>
      <c r="AN77" s="8"/>
      <c r="AO77" s="8"/>
      <c r="AP77" s="8"/>
      <c r="AQ77" s="8"/>
      <c r="AR77" s="8"/>
      <c r="AS77" s="8"/>
      <c r="AT77" s="8"/>
      <c r="AU77" s="8"/>
      <c r="AV77" s="8"/>
      <c r="AW77" s="8"/>
      <c r="AX77" s="8"/>
      <c r="AY77" s="8"/>
      <c r="AZ77" s="8"/>
      <c r="BA77" s="8"/>
      <c r="BB77" s="8"/>
      <c r="BC77" s="8"/>
      <c r="BD77" s="8"/>
      <c r="BE77" s="8"/>
      <c r="BF77" s="8"/>
      <c r="BG77" s="8"/>
      <c r="BH77" s="8"/>
      <c r="BI77" s="8"/>
      <c r="BJ77" s="8"/>
      <c r="BK77" s="8"/>
      <c r="BL77" s="8"/>
      <c r="BM77" s="8"/>
      <c r="BN77" s="8"/>
      <c r="BO77" s="8"/>
      <c r="BP77" s="8"/>
      <c r="BQ77" s="8"/>
      <c r="BR77" s="8"/>
      <c r="BS77" s="8"/>
      <c r="BT77" s="8"/>
      <c r="BU77" s="8"/>
      <c r="BV77" s="8"/>
      <c r="BW77" s="8"/>
      <c r="BX77" s="8"/>
      <c r="BY77" s="8"/>
      <c r="BZ77" s="8"/>
    </row>
    <row r="78" spans="1:78" ht="13" customHeight="1" x14ac:dyDescent="0.15">
      <c r="A78" s="8" t="s">
        <v>6188</v>
      </c>
      <c r="B78" s="8" t="s">
        <v>74</v>
      </c>
      <c r="C78" s="9">
        <v>2018</v>
      </c>
      <c r="D78" s="8" t="s">
        <v>1666</v>
      </c>
      <c r="E78" s="8" t="s">
        <v>1667</v>
      </c>
      <c r="F78" s="8" t="s">
        <v>1668</v>
      </c>
      <c r="G78" s="8" t="str" cm="1">
        <f t="array" ref="G78">LOWER(CleanCode(F78))</f>
        <v>usingatheoreticalmodelofcommunalcopingtounderstandchangesinlanguagebrokerscopingpatternsimplicationsforlatinaoearlyadolescentsbrokeringstressandefficacy</v>
      </c>
      <c r="H78" s="8"/>
      <c r="I78" s="8"/>
      <c r="J78" s="8" t="s">
        <v>1672</v>
      </c>
      <c r="K78" s="8"/>
      <c r="L78" s="8"/>
      <c r="M78" s="8" t="s">
        <v>1669</v>
      </c>
      <c r="N78" s="8" t="str">
        <f t="shared" si="1"/>
        <v>Communication Monographs</v>
      </c>
      <c r="O78" s="8" t="s">
        <v>1678</v>
      </c>
      <c r="P78" s="8" t="s">
        <v>1679</v>
      </c>
      <c r="Q78" s="8" t="s">
        <v>69</v>
      </c>
      <c r="R78" s="8"/>
      <c r="S78" s="8">
        <v>85</v>
      </c>
      <c r="T78" s="8">
        <v>2</v>
      </c>
      <c r="U78" s="8">
        <v>263</v>
      </c>
      <c r="V78" s="8">
        <v>283</v>
      </c>
      <c r="W78" s="8">
        <v>21</v>
      </c>
      <c r="X78" s="8"/>
      <c r="Y78" s="8">
        <v>41</v>
      </c>
      <c r="Z78" s="8">
        <v>2</v>
      </c>
      <c r="AA78" s="8">
        <v>2</v>
      </c>
      <c r="AB78" s="8">
        <v>1</v>
      </c>
      <c r="AC78" s="8">
        <v>7</v>
      </c>
      <c r="AD78" s="8" t="s">
        <v>1684</v>
      </c>
      <c r="AE78" s="8" t="s">
        <v>1682</v>
      </c>
      <c r="AF78" s="8" t="s">
        <v>69</v>
      </c>
      <c r="AG78" s="8" t="s">
        <v>108</v>
      </c>
      <c r="AH78" s="8" t="s">
        <v>109</v>
      </c>
      <c r="AI78" s="8" t="s">
        <v>110</v>
      </c>
      <c r="AJ78" s="8" t="s">
        <v>1671</v>
      </c>
      <c r="AK78" s="8" t="s">
        <v>1670</v>
      </c>
      <c r="AL78" s="8"/>
      <c r="AM78" s="8"/>
      <c r="AN78" s="8"/>
      <c r="AO78" s="8"/>
      <c r="AP78" s="8"/>
      <c r="AQ78" s="8"/>
      <c r="AR78" s="8"/>
      <c r="AS78" s="8"/>
      <c r="AT78" s="8"/>
      <c r="AU78" s="8"/>
      <c r="AV78" s="8"/>
      <c r="AW78" s="8"/>
      <c r="AX78" s="8"/>
      <c r="AY78" s="8"/>
      <c r="AZ78" s="8"/>
      <c r="BA78" s="8"/>
      <c r="BB78" s="8"/>
      <c r="BC78" s="8"/>
      <c r="BD78" s="8"/>
      <c r="BE78" s="8"/>
      <c r="BF78" s="8"/>
      <c r="BG78" s="8"/>
      <c r="BH78" s="8"/>
      <c r="BI78" s="8"/>
      <c r="BJ78" s="8"/>
      <c r="BK78" s="8"/>
      <c r="BL78" s="8"/>
      <c r="BM78" s="8"/>
      <c r="BN78" s="8"/>
      <c r="BO78" s="8"/>
      <c r="BP78" s="8"/>
      <c r="BQ78" s="8"/>
      <c r="BR78" s="8"/>
      <c r="BS78" s="8"/>
      <c r="BT78" s="8"/>
      <c r="BU78" s="8"/>
      <c r="BV78" s="8"/>
      <c r="BW78" s="8"/>
      <c r="BX78" s="8"/>
      <c r="BY78" s="8"/>
      <c r="BZ78" s="8"/>
    </row>
    <row r="79" spans="1:78" ht="13" customHeight="1" x14ac:dyDescent="0.15">
      <c r="A79" s="8" t="s">
        <v>6188</v>
      </c>
      <c r="B79" s="8" t="s">
        <v>74</v>
      </c>
      <c r="C79" s="9">
        <v>2018</v>
      </c>
      <c r="D79" s="8" t="s">
        <v>1685</v>
      </c>
      <c r="E79" s="8" t="s">
        <v>1686</v>
      </c>
      <c r="F79" s="8" t="s">
        <v>1687</v>
      </c>
      <c r="G79" s="8" t="str" cm="1">
        <f t="array" ref="G79">LOWER(CleanCode(F79))</f>
        <v>refiningatheoryofcrossculturaladaptationanexplorationofanewmethodologicalapproachtoinstitutionalcompleteness</v>
      </c>
      <c r="H79" s="8"/>
      <c r="I79" s="8"/>
      <c r="J79" s="8" t="s">
        <v>1691</v>
      </c>
      <c r="K79" s="8"/>
      <c r="L79" s="8"/>
      <c r="M79" s="8" t="s">
        <v>1688</v>
      </c>
      <c r="N79" s="8" t="str">
        <f t="shared" si="1"/>
        <v>Asian Journal Of Communication</v>
      </c>
      <c r="O79" s="8" t="s">
        <v>1697</v>
      </c>
      <c r="P79" s="8" t="s">
        <v>1698</v>
      </c>
      <c r="Q79" s="8" t="s">
        <v>69</v>
      </c>
      <c r="R79" s="8"/>
      <c r="S79" s="8">
        <v>28</v>
      </c>
      <c r="T79" s="8">
        <v>3</v>
      </c>
      <c r="U79" s="8">
        <v>315</v>
      </c>
      <c r="V79" s="8">
        <v>334</v>
      </c>
      <c r="W79" s="8">
        <v>20</v>
      </c>
      <c r="X79" s="8"/>
      <c r="Y79" s="8">
        <v>48</v>
      </c>
      <c r="Z79" s="8">
        <v>1</v>
      </c>
      <c r="AA79" s="8">
        <v>1</v>
      </c>
      <c r="AB79" s="8">
        <v>2</v>
      </c>
      <c r="AC79" s="8">
        <v>17</v>
      </c>
      <c r="AD79" s="8" t="s">
        <v>1703</v>
      </c>
      <c r="AE79" s="8" t="s">
        <v>1701</v>
      </c>
      <c r="AF79" s="8" t="s">
        <v>69</v>
      </c>
      <c r="AG79" s="8" t="s">
        <v>108</v>
      </c>
      <c r="AH79" s="8" t="s">
        <v>109</v>
      </c>
      <c r="AI79" s="8" t="s">
        <v>110</v>
      </c>
      <c r="AJ79" s="8" t="s">
        <v>1690</v>
      </c>
      <c r="AK79" s="8" t="s">
        <v>1689</v>
      </c>
      <c r="AL79" s="8"/>
      <c r="AM79" s="8"/>
      <c r="AN79" s="8"/>
      <c r="AO79" s="8"/>
      <c r="AP79" s="8"/>
      <c r="AQ79" s="8"/>
      <c r="AR79" s="8"/>
      <c r="AS79" s="8"/>
      <c r="AT79" s="8"/>
      <c r="AU79" s="8"/>
      <c r="AV79" s="8"/>
      <c r="AW79" s="8"/>
      <c r="AX79" s="8"/>
      <c r="AY79" s="8"/>
      <c r="AZ79" s="8"/>
      <c r="BA79" s="8"/>
      <c r="BB79" s="8"/>
      <c r="BC79" s="8"/>
      <c r="BD79" s="8"/>
      <c r="BE79" s="8"/>
      <c r="BF79" s="8"/>
      <c r="BG79" s="8"/>
      <c r="BH79" s="8"/>
      <c r="BI79" s="8"/>
      <c r="BJ79" s="8"/>
      <c r="BK79" s="8"/>
      <c r="BL79" s="8"/>
      <c r="BM79" s="8"/>
      <c r="BN79" s="8"/>
      <c r="BO79" s="8"/>
      <c r="BP79" s="8"/>
      <c r="BQ79" s="8"/>
      <c r="BR79" s="8"/>
      <c r="BS79" s="8"/>
      <c r="BT79" s="8"/>
      <c r="BU79" s="8"/>
      <c r="BV79" s="8"/>
      <c r="BW79" s="8"/>
      <c r="BX79" s="8"/>
      <c r="BY79" s="8"/>
      <c r="BZ79" s="8"/>
    </row>
    <row r="80" spans="1:78" ht="13" customHeight="1" x14ac:dyDescent="0.15">
      <c r="A80" s="8" t="s">
        <v>6188</v>
      </c>
      <c r="B80" s="8" t="s">
        <v>74</v>
      </c>
      <c r="C80" s="9">
        <v>2018</v>
      </c>
      <c r="D80" s="8" t="s">
        <v>1704</v>
      </c>
      <c r="E80" s="8" t="s">
        <v>1705</v>
      </c>
      <c r="F80" s="8" t="s">
        <v>1706</v>
      </c>
      <c r="G80" s="8" t="str" cm="1">
        <f t="array" ref="G80">LOWER(CleanCode(F80))</f>
        <v>ruraltourbanmigrationinvietnamconceptualizedyouthsvulnerabilitiesinthecity</v>
      </c>
      <c r="H80" s="8"/>
      <c r="I80" s="8"/>
      <c r="J80" s="8" t="s">
        <v>1710</v>
      </c>
      <c r="K80" s="8"/>
      <c r="L80" s="8"/>
      <c r="M80" s="8" t="s">
        <v>1707</v>
      </c>
      <c r="N80" s="8" t="str">
        <f t="shared" si="1"/>
        <v>International Journal Of Migration Health And Social Care</v>
      </c>
      <c r="O80" s="8" t="s">
        <v>1716</v>
      </c>
      <c r="P80" s="8" t="s">
        <v>1717</v>
      </c>
      <c r="Q80" s="8" t="s">
        <v>69</v>
      </c>
      <c r="R80" s="8"/>
      <c r="S80" s="8">
        <v>14</v>
      </c>
      <c r="T80" s="8">
        <v>1</v>
      </c>
      <c r="U80" s="8">
        <v>117</v>
      </c>
      <c r="V80" s="8">
        <v>130</v>
      </c>
      <c r="W80" s="8">
        <v>14</v>
      </c>
      <c r="X80" s="8"/>
      <c r="Y80" s="8">
        <v>49</v>
      </c>
      <c r="Z80" s="8">
        <v>2</v>
      </c>
      <c r="AA80" s="8">
        <v>2</v>
      </c>
      <c r="AB80" s="8">
        <v>0</v>
      </c>
      <c r="AC80" s="8">
        <v>2</v>
      </c>
      <c r="AD80" s="8" t="s">
        <v>1722</v>
      </c>
      <c r="AE80" s="8" t="s">
        <v>1720</v>
      </c>
      <c r="AF80" s="8" t="s">
        <v>69</v>
      </c>
      <c r="AG80" s="8" t="s">
        <v>131</v>
      </c>
      <c r="AH80" s="8" t="s">
        <v>132</v>
      </c>
      <c r="AI80" s="8" t="s">
        <v>133</v>
      </c>
      <c r="AJ80" s="8" t="s">
        <v>1709</v>
      </c>
      <c r="AK80" s="8" t="s">
        <v>1708</v>
      </c>
      <c r="AL80" s="8"/>
      <c r="AM80" s="8"/>
      <c r="AN80" s="8"/>
      <c r="AO80" s="8"/>
      <c r="AP80" s="8"/>
      <c r="AQ80" s="8"/>
      <c r="AR80" s="8"/>
      <c r="AS80" s="8"/>
      <c r="AT80" s="8"/>
      <c r="AU80" s="8"/>
      <c r="AV80" s="8"/>
      <c r="AW80" s="8"/>
      <c r="AX80" s="8"/>
      <c r="AY80" s="8"/>
      <c r="AZ80" s="8"/>
      <c r="BA80" s="8"/>
      <c r="BB80" s="8"/>
      <c r="BC80" s="8"/>
      <c r="BD80" s="8"/>
      <c r="BE80" s="8"/>
      <c r="BF80" s="8"/>
      <c r="BG80" s="8"/>
      <c r="BH80" s="8"/>
      <c r="BI80" s="8"/>
      <c r="BJ80" s="8"/>
      <c r="BK80" s="8"/>
      <c r="BL80" s="8"/>
      <c r="BM80" s="8"/>
      <c r="BN80" s="8"/>
      <c r="BO80" s="8"/>
      <c r="BP80" s="8"/>
      <c r="BQ80" s="8"/>
      <c r="BR80" s="8"/>
      <c r="BS80" s="8"/>
      <c r="BT80" s="8"/>
      <c r="BU80" s="8"/>
      <c r="BV80" s="8"/>
      <c r="BW80" s="8"/>
      <c r="BX80" s="8"/>
      <c r="BY80" s="8"/>
      <c r="BZ80" s="8"/>
    </row>
    <row r="81" spans="1:78" ht="13" customHeight="1" x14ac:dyDescent="0.15">
      <c r="A81" s="8" t="s">
        <v>6188</v>
      </c>
      <c r="B81" s="8" t="s">
        <v>74</v>
      </c>
      <c r="C81" s="9">
        <v>2018</v>
      </c>
      <c r="D81" s="8" t="s">
        <v>1723</v>
      </c>
      <c r="E81" s="8" t="s">
        <v>1724</v>
      </c>
      <c r="F81" s="8" t="s">
        <v>1725</v>
      </c>
      <c r="G81" s="8" t="str" cm="1">
        <f t="array" ref="G81">LOWER(CleanCode(F81))</f>
        <v>theorisingthepowerofcitizenshipasclaimsmaking</v>
      </c>
      <c r="H81" s="8"/>
      <c r="I81" s="8"/>
      <c r="J81" s="8" t="s">
        <v>1729</v>
      </c>
      <c r="K81" s="8"/>
      <c r="L81" s="8"/>
      <c r="M81" s="8" t="s">
        <v>1726</v>
      </c>
      <c r="N81" s="8" t="str">
        <f t="shared" si="1"/>
        <v>Journal Of Ethnic And Migration Studies</v>
      </c>
      <c r="O81" s="8" t="s">
        <v>1734</v>
      </c>
      <c r="P81" s="8" t="s">
        <v>1735</v>
      </c>
      <c r="Q81" s="8" t="s">
        <v>69</v>
      </c>
      <c r="R81" s="8"/>
      <c r="S81" s="8">
        <v>44</v>
      </c>
      <c r="T81" s="8">
        <v>1</v>
      </c>
      <c r="U81" s="8">
        <v>4</v>
      </c>
      <c r="V81" s="8">
        <v>26</v>
      </c>
      <c r="W81" s="8">
        <v>23</v>
      </c>
      <c r="X81" s="8"/>
      <c r="Y81" s="8">
        <v>90</v>
      </c>
      <c r="Z81" s="8">
        <v>27</v>
      </c>
      <c r="AA81" s="8">
        <v>27</v>
      </c>
      <c r="AB81" s="8">
        <v>0</v>
      </c>
      <c r="AC81" s="8">
        <v>13</v>
      </c>
      <c r="AD81" s="8" t="s">
        <v>1741</v>
      </c>
      <c r="AE81" s="8" t="s">
        <v>1738</v>
      </c>
      <c r="AF81" s="8" t="s">
        <v>69</v>
      </c>
      <c r="AG81" s="8" t="s">
        <v>108</v>
      </c>
      <c r="AH81" s="8" t="s">
        <v>109</v>
      </c>
      <c r="AI81" s="8" t="s">
        <v>110</v>
      </c>
      <c r="AJ81" s="8" t="s">
        <v>1728</v>
      </c>
      <c r="AK81" s="8" t="s">
        <v>1727</v>
      </c>
      <c r="AL81" s="8"/>
      <c r="AM81" s="8"/>
      <c r="AN81" s="8"/>
      <c r="AO81" s="8"/>
      <c r="AP81" s="8"/>
      <c r="AQ81" s="8"/>
      <c r="AR81" s="8"/>
      <c r="AS81" s="8"/>
      <c r="AT81" s="8"/>
      <c r="AU81" s="8"/>
      <c r="AV81" s="8"/>
      <c r="AW81" s="8"/>
      <c r="AX81" s="8"/>
      <c r="AY81" s="8"/>
      <c r="AZ81" s="8"/>
      <c r="BA81" s="8"/>
      <c r="BB81" s="8"/>
      <c r="BC81" s="8"/>
      <c r="BD81" s="8"/>
      <c r="BE81" s="8"/>
      <c r="BF81" s="8"/>
      <c r="BG81" s="8"/>
      <c r="BH81" s="8"/>
      <c r="BI81" s="8"/>
      <c r="BJ81" s="8"/>
      <c r="BK81" s="8"/>
      <c r="BL81" s="8"/>
      <c r="BM81" s="8"/>
      <c r="BN81" s="8"/>
      <c r="BO81" s="8"/>
      <c r="BP81" s="8"/>
      <c r="BQ81" s="8"/>
      <c r="BR81" s="8"/>
      <c r="BS81" s="8"/>
      <c r="BT81" s="8"/>
      <c r="BU81" s="8"/>
      <c r="BV81" s="8"/>
      <c r="BW81" s="8"/>
      <c r="BX81" s="8"/>
      <c r="BY81" s="8"/>
      <c r="BZ81" s="8"/>
    </row>
    <row r="82" spans="1:78" ht="13" customHeight="1" x14ac:dyDescent="0.15">
      <c r="A82" s="8" t="s">
        <v>6188</v>
      </c>
      <c r="B82" s="8" t="s">
        <v>74</v>
      </c>
      <c r="C82" s="9">
        <v>2017</v>
      </c>
      <c r="D82" s="8" t="s">
        <v>1742</v>
      </c>
      <c r="E82" s="8" t="s">
        <v>1743</v>
      </c>
      <c r="F82" s="8" t="s">
        <v>1744</v>
      </c>
      <c r="G82" s="8" t="str" cm="1">
        <f t="array" ref="G82">LOWER(CleanCode(F82))</f>
        <v>theoreticalapproachforthesocalledmycenaeanmigrationinturkey</v>
      </c>
      <c r="H82" s="8"/>
      <c r="I82" s="8"/>
      <c r="J82" s="8" t="s">
        <v>1747</v>
      </c>
      <c r="K82" s="8"/>
      <c r="L82" s="8"/>
      <c r="M82" s="8" t="s">
        <v>1745</v>
      </c>
      <c r="N82" s="8" t="str">
        <f t="shared" si="1"/>
        <v>Belleten</v>
      </c>
      <c r="O82" s="8" t="s">
        <v>1755</v>
      </c>
      <c r="P82" s="8" t="s">
        <v>69</v>
      </c>
      <c r="Q82" s="8" t="s">
        <v>69</v>
      </c>
      <c r="R82" s="8"/>
      <c r="S82" s="8">
        <v>81</v>
      </c>
      <c r="T82" s="8">
        <v>292</v>
      </c>
      <c r="U82" s="8">
        <v>677</v>
      </c>
      <c r="V82" s="8" t="s">
        <v>1757</v>
      </c>
      <c r="W82" s="8">
        <v>27</v>
      </c>
      <c r="X82" s="8"/>
      <c r="Y82" s="8">
        <v>123</v>
      </c>
      <c r="Z82" s="8">
        <v>0</v>
      </c>
      <c r="AA82" s="8">
        <v>0</v>
      </c>
      <c r="AB82" s="8">
        <v>0</v>
      </c>
      <c r="AC82" s="8">
        <v>6</v>
      </c>
      <c r="AD82" s="8" t="s">
        <v>1760</v>
      </c>
      <c r="AE82" s="8" t="s">
        <v>69</v>
      </c>
      <c r="AF82" s="8" t="s">
        <v>69</v>
      </c>
      <c r="AG82" s="8" t="s">
        <v>1752</v>
      </c>
      <c r="AH82" s="8" t="s">
        <v>1753</v>
      </c>
      <c r="AI82" s="8" t="s">
        <v>1754</v>
      </c>
      <c r="AJ82" s="8" t="s">
        <v>69</v>
      </c>
      <c r="AK82" s="8" t="s">
        <v>1746</v>
      </c>
      <c r="AL82" s="8"/>
      <c r="AM82" s="8"/>
      <c r="AN82" s="8"/>
      <c r="AO82" s="8"/>
      <c r="AP82" s="8"/>
      <c r="AQ82" s="8"/>
      <c r="AR82" s="8"/>
      <c r="AS82" s="8"/>
      <c r="AT82" s="8"/>
      <c r="AU82" s="8"/>
      <c r="AV82" s="8"/>
      <c r="AW82" s="8"/>
      <c r="AX82" s="8"/>
      <c r="AY82" s="8"/>
      <c r="AZ82" s="8"/>
      <c r="BA82" s="8"/>
      <c r="BB82" s="8"/>
      <c r="BC82" s="8"/>
      <c r="BD82" s="8"/>
      <c r="BE82" s="8"/>
      <c r="BF82" s="8"/>
      <c r="BG82" s="8"/>
      <c r="BH82" s="8"/>
      <c r="BI82" s="8"/>
      <c r="BJ82" s="8"/>
      <c r="BK82" s="8"/>
      <c r="BL82" s="8"/>
      <c r="BM82" s="8"/>
      <c r="BN82" s="8"/>
      <c r="BO82" s="8"/>
      <c r="BP82" s="8"/>
      <c r="BQ82" s="8"/>
      <c r="BR82" s="8"/>
      <c r="BS82" s="8"/>
      <c r="BT82" s="8"/>
      <c r="BU82" s="8"/>
      <c r="BV82" s="8"/>
      <c r="BW82" s="8"/>
      <c r="BX82" s="8"/>
      <c r="BY82" s="8"/>
      <c r="BZ82" s="8"/>
    </row>
    <row r="83" spans="1:78" ht="13" customHeight="1" x14ac:dyDescent="0.15">
      <c r="A83" s="8" t="s">
        <v>6188</v>
      </c>
      <c r="B83" s="8" t="s">
        <v>74</v>
      </c>
      <c r="C83" s="9">
        <v>2017</v>
      </c>
      <c r="D83" s="8" t="s">
        <v>1761</v>
      </c>
      <c r="E83" s="8" t="s">
        <v>1762</v>
      </c>
      <c r="F83" s="8" t="s">
        <v>1763</v>
      </c>
      <c r="G83" s="8" t="str" cm="1">
        <f t="array" ref="G83">LOWER(CleanCode(F83))</f>
        <v>religionandethniceducationalinequalitiestheoreticalargumentsempiricalfindingsandopenquestions</v>
      </c>
      <c r="H83" s="8"/>
      <c r="I83" s="8"/>
      <c r="J83" s="8" t="s">
        <v>1767</v>
      </c>
      <c r="K83" s="8"/>
      <c r="L83" s="8"/>
      <c r="M83" s="8" t="s">
        <v>1764</v>
      </c>
      <c r="N83" s="8" t="str">
        <f t="shared" si="1"/>
        <v>Kolner Zeitschrift Fur Soziologie Und Sozialpsychologie</v>
      </c>
      <c r="O83" s="8" t="s">
        <v>1774</v>
      </c>
      <c r="P83" s="8" t="s">
        <v>1775</v>
      </c>
      <c r="Q83" s="8" t="s">
        <v>69</v>
      </c>
      <c r="R83" s="8"/>
      <c r="S83" s="8">
        <v>69</v>
      </c>
      <c r="T83" s="8">
        <v>4</v>
      </c>
      <c r="U83" s="8">
        <v>561</v>
      </c>
      <c r="V83" s="8">
        <v>591</v>
      </c>
      <c r="W83" s="8">
        <v>31</v>
      </c>
      <c r="X83" s="8"/>
      <c r="Y83" s="8">
        <v>98</v>
      </c>
      <c r="Z83" s="8">
        <v>6</v>
      </c>
      <c r="AA83" s="8">
        <v>6</v>
      </c>
      <c r="AB83" s="8">
        <v>2</v>
      </c>
      <c r="AC83" s="8">
        <v>23</v>
      </c>
      <c r="AD83" s="8" t="s">
        <v>1782</v>
      </c>
      <c r="AE83" s="8" t="s">
        <v>1778</v>
      </c>
      <c r="AF83" s="8" t="s">
        <v>69</v>
      </c>
      <c r="AG83" s="8" t="s">
        <v>1771</v>
      </c>
      <c r="AH83" s="8" t="s">
        <v>1772</v>
      </c>
      <c r="AI83" s="8" t="s">
        <v>1773</v>
      </c>
      <c r="AJ83" s="8" t="s">
        <v>1766</v>
      </c>
      <c r="AK83" s="8" t="s">
        <v>1765</v>
      </c>
      <c r="AL83" s="8"/>
      <c r="AM83" s="8"/>
      <c r="AN83" s="8"/>
      <c r="AO83" s="8"/>
      <c r="AP83" s="8"/>
      <c r="AQ83" s="8"/>
      <c r="AR83" s="8"/>
      <c r="AS83" s="8"/>
      <c r="AT83" s="8"/>
      <c r="AU83" s="8"/>
      <c r="AV83" s="8"/>
      <c r="AW83" s="8"/>
      <c r="AX83" s="8"/>
      <c r="AY83" s="8"/>
      <c r="AZ83" s="8"/>
      <c r="BA83" s="8"/>
      <c r="BB83" s="8"/>
      <c r="BC83" s="8"/>
      <c r="BD83" s="8"/>
      <c r="BE83" s="8"/>
      <c r="BF83" s="8"/>
      <c r="BG83" s="8"/>
      <c r="BH83" s="8"/>
      <c r="BI83" s="8"/>
      <c r="BJ83" s="8"/>
      <c r="BK83" s="8"/>
      <c r="BL83" s="8"/>
      <c r="BM83" s="8"/>
      <c r="BN83" s="8"/>
      <c r="BO83" s="8"/>
      <c r="BP83" s="8"/>
      <c r="BQ83" s="8"/>
      <c r="BR83" s="8"/>
      <c r="BS83" s="8"/>
      <c r="BT83" s="8"/>
      <c r="BU83" s="8"/>
      <c r="BV83" s="8"/>
      <c r="BW83" s="8"/>
      <c r="BX83" s="8"/>
      <c r="BY83" s="8"/>
      <c r="BZ83" s="8"/>
    </row>
    <row r="84" spans="1:78" ht="13" customHeight="1" x14ac:dyDescent="0.15">
      <c r="A84" s="8" t="s">
        <v>6188</v>
      </c>
      <c r="B84" s="8" t="s">
        <v>74</v>
      </c>
      <c r="C84" s="9">
        <v>2017</v>
      </c>
      <c r="D84" s="8" t="s">
        <v>1783</v>
      </c>
      <c r="E84" s="8" t="s">
        <v>1784</v>
      </c>
      <c r="F84" s="8" t="s">
        <v>1785</v>
      </c>
      <c r="G84" s="8" t="str" cm="1">
        <f t="array" ref="G84">LOWER(CleanCode(F84))</f>
        <v>developingasystemsbasedframeworkofthefactorsinfluencingdietaryandphysicalactivitybehavioursinethnicminoritypopulationslivingineuropeadedipacstudy</v>
      </c>
      <c r="H84" s="8"/>
      <c r="I84" s="8"/>
      <c r="J84" s="8" t="s">
        <v>1789</v>
      </c>
      <c r="K84" s="8"/>
      <c r="L84" s="8"/>
      <c r="M84" s="8" t="s">
        <v>1786</v>
      </c>
      <c r="N84" s="8" t="str">
        <f t="shared" si="1"/>
        <v>International Journal Of Behavioral Nutrition And Physical Activity</v>
      </c>
      <c r="O84" s="8" t="s">
        <v>1797</v>
      </c>
      <c r="P84" s="8" t="s">
        <v>69</v>
      </c>
      <c r="Q84" s="8" t="s">
        <v>69</v>
      </c>
      <c r="R84" s="8"/>
      <c r="S84" s="8">
        <v>14</v>
      </c>
      <c r="T84" s="8" t="s">
        <v>69</v>
      </c>
      <c r="U84" s="8" t="s">
        <v>69</v>
      </c>
      <c r="V84" s="8" t="s">
        <v>69</v>
      </c>
      <c r="W84" s="8">
        <v>15</v>
      </c>
      <c r="X84" s="8"/>
      <c r="Y84" s="8">
        <v>49</v>
      </c>
      <c r="Z84" s="8">
        <v>10</v>
      </c>
      <c r="AA84" s="8">
        <v>10</v>
      </c>
      <c r="AB84" s="8">
        <v>1</v>
      </c>
      <c r="AC84" s="8">
        <v>11</v>
      </c>
      <c r="AD84" s="8" t="s">
        <v>1804</v>
      </c>
      <c r="AE84" s="8" t="s">
        <v>1801</v>
      </c>
      <c r="AF84" s="8">
        <v>29115995</v>
      </c>
      <c r="AG84" s="8" t="s">
        <v>1414</v>
      </c>
      <c r="AH84" s="8" t="s">
        <v>156</v>
      </c>
      <c r="AI84" s="8" t="s">
        <v>1415</v>
      </c>
      <c r="AJ84" s="8" t="s">
        <v>1788</v>
      </c>
      <c r="AK84" s="8" t="s">
        <v>1787</v>
      </c>
      <c r="AL84" s="8"/>
      <c r="AM84" s="8"/>
      <c r="AN84" s="8"/>
      <c r="AO84" s="8"/>
      <c r="AP84" s="8"/>
      <c r="AQ84" s="8"/>
      <c r="AR84" s="8"/>
      <c r="AS84" s="8"/>
      <c r="AT84" s="8"/>
      <c r="AU84" s="8"/>
      <c r="AV84" s="8"/>
      <c r="AW84" s="8"/>
      <c r="AX84" s="8"/>
      <c r="AY84" s="8"/>
      <c r="AZ84" s="8"/>
      <c r="BA84" s="8"/>
      <c r="BB84" s="8"/>
      <c r="BC84" s="8"/>
      <c r="BD84" s="8"/>
      <c r="BE84" s="8"/>
      <c r="BF84" s="8"/>
      <c r="BG84" s="8"/>
      <c r="BH84" s="8"/>
      <c r="BI84" s="8"/>
      <c r="BJ84" s="8"/>
      <c r="BK84" s="8"/>
      <c r="BL84" s="8"/>
      <c r="BM84" s="8"/>
      <c r="BN84" s="8"/>
      <c r="BO84" s="8"/>
      <c r="BP84" s="8"/>
      <c r="BQ84" s="8"/>
      <c r="BR84" s="8"/>
      <c r="BS84" s="8"/>
      <c r="BT84" s="8"/>
      <c r="BU84" s="8"/>
      <c r="BV84" s="8"/>
      <c r="BW84" s="8"/>
      <c r="BX84" s="8"/>
      <c r="BY84" s="8"/>
      <c r="BZ84" s="8"/>
    </row>
    <row r="85" spans="1:78" ht="13" customHeight="1" x14ac:dyDescent="0.15">
      <c r="A85" s="8" t="s">
        <v>6188</v>
      </c>
      <c r="B85" s="8" t="s">
        <v>74</v>
      </c>
      <c r="C85" s="9">
        <v>2017</v>
      </c>
      <c r="D85" s="8" t="s">
        <v>1805</v>
      </c>
      <c r="E85" s="8" t="s">
        <v>1806</v>
      </c>
      <c r="F85" s="8" t="s">
        <v>1807</v>
      </c>
      <c r="G85" s="8" t="str" cm="1">
        <f t="array" ref="G85">LOWER(CleanCode(F85))</f>
        <v>migrationandintergenerationalstrategiesforsocialmobilitytheoreticalandmethodologicalchallenges</v>
      </c>
      <c r="H85" s="8"/>
      <c r="I85" s="8"/>
      <c r="J85" s="8" t="s">
        <v>1811</v>
      </c>
      <c r="K85" s="8"/>
      <c r="L85" s="8"/>
      <c r="M85" s="8" t="s">
        <v>1808</v>
      </c>
      <c r="N85" s="8" t="str">
        <f t="shared" si="1"/>
        <v>Migraciones</v>
      </c>
      <c r="O85" s="8" t="s">
        <v>1818</v>
      </c>
      <c r="P85" s="8" t="s">
        <v>1819</v>
      </c>
      <c r="Q85" s="8" t="s">
        <v>69</v>
      </c>
      <c r="R85" s="8"/>
      <c r="S85" s="8">
        <v>42</v>
      </c>
      <c r="T85" s="8" t="s">
        <v>69</v>
      </c>
      <c r="U85" s="8">
        <v>19</v>
      </c>
      <c r="V85" s="8">
        <v>41</v>
      </c>
      <c r="W85" s="8">
        <v>23</v>
      </c>
      <c r="X85" s="8"/>
      <c r="Y85" s="8">
        <v>50</v>
      </c>
      <c r="Z85" s="8">
        <v>1</v>
      </c>
      <c r="AA85" s="8">
        <v>1</v>
      </c>
      <c r="AB85" s="8">
        <v>1</v>
      </c>
      <c r="AC85" s="8">
        <v>6</v>
      </c>
      <c r="AD85" s="8" t="s">
        <v>1822</v>
      </c>
      <c r="AE85" s="8" t="s">
        <v>69</v>
      </c>
      <c r="AF85" s="8" t="s">
        <v>69</v>
      </c>
      <c r="AG85" s="8" t="s">
        <v>1816</v>
      </c>
      <c r="AH85" s="8" t="s">
        <v>615</v>
      </c>
      <c r="AI85" s="8" t="s">
        <v>1817</v>
      </c>
      <c r="AJ85" s="8" t="s">
        <v>1810</v>
      </c>
      <c r="AK85" s="8" t="s">
        <v>1809</v>
      </c>
      <c r="AL85" s="8"/>
      <c r="AM85" s="8"/>
      <c r="AN85" s="8"/>
      <c r="AO85" s="8"/>
      <c r="AP85" s="8"/>
      <c r="AQ85" s="8"/>
      <c r="AR85" s="8"/>
      <c r="AS85" s="8"/>
      <c r="AT85" s="8"/>
      <c r="AU85" s="8"/>
      <c r="AV85" s="8"/>
      <c r="AW85" s="8"/>
      <c r="AX85" s="8"/>
      <c r="AY85" s="8"/>
      <c r="AZ85" s="8"/>
      <c r="BA85" s="8"/>
      <c r="BB85" s="8"/>
      <c r="BC85" s="8"/>
      <c r="BD85" s="8"/>
      <c r="BE85" s="8"/>
      <c r="BF85" s="8"/>
      <c r="BG85" s="8"/>
      <c r="BH85" s="8"/>
      <c r="BI85" s="8"/>
      <c r="BJ85" s="8"/>
      <c r="BK85" s="8"/>
      <c r="BL85" s="8"/>
      <c r="BM85" s="8"/>
      <c r="BN85" s="8"/>
      <c r="BO85" s="8"/>
      <c r="BP85" s="8"/>
      <c r="BQ85" s="8"/>
      <c r="BR85" s="8"/>
      <c r="BS85" s="8"/>
      <c r="BT85" s="8"/>
      <c r="BU85" s="8"/>
      <c r="BV85" s="8"/>
      <c r="BW85" s="8"/>
      <c r="BX85" s="8"/>
      <c r="BY85" s="8"/>
      <c r="BZ85" s="8"/>
    </row>
    <row r="86" spans="1:78" ht="13" customHeight="1" x14ac:dyDescent="0.15">
      <c r="A86" s="8" t="s">
        <v>6188</v>
      </c>
      <c r="B86" s="8" t="s">
        <v>74</v>
      </c>
      <c r="C86" s="9">
        <v>2017</v>
      </c>
      <c r="D86" s="8" t="s">
        <v>1823</v>
      </c>
      <c r="E86" s="8" t="s">
        <v>1824</v>
      </c>
      <c r="F86" s="8" t="s">
        <v>1825</v>
      </c>
      <c r="G86" s="8" t="str" cm="1">
        <f t="array" ref="G86">LOWER(CleanCode(F86))</f>
        <v>allyouneedistimediscrepanciesbetweentheeuropeancourtofhumanrightscaselawandliberalnormativetheoryonlongtermmigrants</v>
      </c>
      <c r="H86" s="8"/>
      <c r="I86" s="8"/>
      <c r="J86" s="8" t="s">
        <v>1829</v>
      </c>
      <c r="K86" s="8"/>
      <c r="L86" s="8"/>
      <c r="M86" s="8" t="s">
        <v>1826</v>
      </c>
      <c r="N86" s="8" t="str">
        <f t="shared" si="1"/>
        <v>Israel Law Review</v>
      </c>
      <c r="O86" s="8" t="s">
        <v>1835</v>
      </c>
      <c r="P86" s="8" t="s">
        <v>1836</v>
      </c>
      <c r="Q86" s="8" t="s">
        <v>69</v>
      </c>
      <c r="R86" s="8"/>
      <c r="S86" s="8">
        <v>50</v>
      </c>
      <c r="T86" s="8">
        <v>3</v>
      </c>
      <c r="U86" s="8">
        <v>447</v>
      </c>
      <c r="V86" s="8">
        <v>462</v>
      </c>
      <c r="W86" s="8">
        <v>16</v>
      </c>
      <c r="X86" s="8"/>
      <c r="Y86" s="8">
        <v>23</v>
      </c>
      <c r="Z86" s="8">
        <v>0</v>
      </c>
      <c r="AA86" s="8">
        <v>0</v>
      </c>
      <c r="AB86" s="8">
        <v>0</v>
      </c>
      <c r="AC86" s="8">
        <v>2</v>
      </c>
      <c r="AD86" s="8" t="s">
        <v>1840</v>
      </c>
      <c r="AE86" s="8" t="s">
        <v>69</v>
      </c>
      <c r="AF86" s="8" t="s">
        <v>69</v>
      </c>
      <c r="AG86" s="8" t="s">
        <v>1833</v>
      </c>
      <c r="AH86" s="8" t="s">
        <v>573</v>
      </c>
      <c r="AI86" s="8" t="s">
        <v>1834</v>
      </c>
      <c r="AJ86" s="8" t="s">
        <v>1828</v>
      </c>
      <c r="AK86" s="8" t="s">
        <v>1827</v>
      </c>
      <c r="AL86" s="8"/>
      <c r="AM86" s="8"/>
      <c r="AN86" s="8"/>
      <c r="AO86" s="8"/>
      <c r="AP86" s="8"/>
      <c r="AQ86" s="8"/>
      <c r="AR86" s="8"/>
      <c r="AS86" s="8"/>
      <c r="AT86" s="8"/>
      <c r="AU86" s="8"/>
      <c r="AV86" s="8"/>
      <c r="AW86" s="8"/>
      <c r="AX86" s="8"/>
      <c r="AY86" s="8"/>
      <c r="AZ86" s="8"/>
      <c r="BA86" s="8"/>
      <c r="BB86" s="8"/>
      <c r="BC86" s="8"/>
      <c r="BD86" s="8"/>
      <c r="BE86" s="8"/>
      <c r="BF86" s="8"/>
      <c r="BG86" s="8"/>
      <c r="BH86" s="8"/>
      <c r="BI86" s="8"/>
      <c r="BJ86" s="8"/>
      <c r="BK86" s="8"/>
      <c r="BL86" s="8"/>
      <c r="BM86" s="8"/>
      <c r="BN86" s="8"/>
      <c r="BO86" s="8"/>
      <c r="BP86" s="8"/>
      <c r="BQ86" s="8"/>
      <c r="BR86" s="8"/>
      <c r="BS86" s="8"/>
      <c r="BT86" s="8"/>
      <c r="BU86" s="8"/>
      <c r="BV86" s="8"/>
      <c r="BW86" s="8"/>
      <c r="BX86" s="8"/>
      <c r="BY86" s="8"/>
      <c r="BZ86" s="8"/>
    </row>
    <row r="87" spans="1:78" ht="13" customHeight="1" x14ac:dyDescent="0.15">
      <c r="A87" s="8" t="s">
        <v>6188</v>
      </c>
      <c r="B87" s="8" t="s">
        <v>74</v>
      </c>
      <c r="C87" s="9">
        <v>2017</v>
      </c>
      <c r="D87" s="8" t="s">
        <v>1841</v>
      </c>
      <c r="E87" s="8" t="s">
        <v>1842</v>
      </c>
      <c r="F87" s="8" t="s">
        <v>1843</v>
      </c>
      <c r="G87" s="8" t="str" cm="1">
        <f t="array" ref="G87">LOWER(CleanCode(F87))</f>
        <v>isgdparelevantsocialwelfareindicatorasaversspenderstheoryapproach</v>
      </c>
      <c r="H87" s="8"/>
      <c r="I87" s="8"/>
      <c r="J87" s="8" t="s">
        <v>1846</v>
      </c>
      <c r="K87" s="8"/>
      <c r="L87" s="8"/>
      <c r="M87" s="8" t="s">
        <v>1844</v>
      </c>
      <c r="N87" s="8" t="str">
        <f t="shared" si="1"/>
        <v>Japanese Economic Review</v>
      </c>
      <c r="O87" s="8" t="s">
        <v>1849</v>
      </c>
      <c r="P87" s="8" t="s">
        <v>1850</v>
      </c>
      <c r="Q87" s="8" t="s">
        <v>69</v>
      </c>
      <c r="R87" s="8"/>
      <c r="S87" s="8">
        <v>68</v>
      </c>
      <c r="T87" s="8">
        <v>3</v>
      </c>
      <c r="U87" s="8">
        <v>333</v>
      </c>
      <c r="V87" s="8">
        <v>351</v>
      </c>
      <c r="W87" s="8">
        <v>19</v>
      </c>
      <c r="X87" s="8"/>
      <c r="Y87" s="8">
        <v>40</v>
      </c>
      <c r="Z87" s="8">
        <v>0</v>
      </c>
      <c r="AA87" s="8">
        <v>0</v>
      </c>
      <c r="AB87" s="8">
        <v>0</v>
      </c>
      <c r="AC87" s="8">
        <v>4</v>
      </c>
      <c r="AD87" s="8" t="s">
        <v>1856</v>
      </c>
      <c r="AE87" s="8" t="s">
        <v>1853</v>
      </c>
      <c r="AF87" s="8" t="s">
        <v>69</v>
      </c>
      <c r="AG87" s="8" t="s">
        <v>1480</v>
      </c>
      <c r="AH87" s="8" t="s">
        <v>1481</v>
      </c>
      <c r="AI87" s="8" t="s">
        <v>1482</v>
      </c>
      <c r="AJ87" s="8" t="s">
        <v>1845</v>
      </c>
      <c r="AK87" s="8" t="s">
        <v>69</v>
      </c>
      <c r="AL87" s="8"/>
      <c r="AM87" s="8"/>
      <c r="AN87" s="8"/>
      <c r="AO87" s="8"/>
      <c r="AP87" s="8"/>
      <c r="AQ87" s="8"/>
      <c r="AR87" s="8"/>
      <c r="AS87" s="8"/>
      <c r="AT87" s="8"/>
      <c r="AU87" s="8"/>
      <c r="AV87" s="8"/>
      <c r="AW87" s="8"/>
      <c r="AX87" s="8"/>
      <c r="AY87" s="8"/>
      <c r="AZ87" s="8"/>
      <c r="BA87" s="8"/>
      <c r="BB87" s="8"/>
      <c r="BC87" s="8"/>
      <c r="BD87" s="8"/>
      <c r="BE87" s="8"/>
      <c r="BF87" s="8"/>
      <c r="BG87" s="8"/>
      <c r="BH87" s="8"/>
      <c r="BI87" s="8"/>
      <c r="BJ87" s="8"/>
      <c r="BK87" s="8"/>
      <c r="BL87" s="8"/>
      <c r="BM87" s="8"/>
      <c r="BN87" s="8"/>
      <c r="BO87" s="8"/>
      <c r="BP87" s="8"/>
      <c r="BQ87" s="8"/>
      <c r="BR87" s="8"/>
      <c r="BS87" s="8"/>
      <c r="BT87" s="8"/>
      <c r="BU87" s="8"/>
      <c r="BV87" s="8"/>
      <c r="BW87" s="8"/>
      <c r="BX87" s="8"/>
      <c r="BY87" s="8"/>
      <c r="BZ87" s="8"/>
    </row>
    <row r="88" spans="1:78" ht="13" customHeight="1" x14ac:dyDescent="0.15">
      <c r="A88" s="8" t="s">
        <v>6188</v>
      </c>
      <c r="B88" s="8" t="s">
        <v>74</v>
      </c>
      <c r="C88" s="9">
        <v>2017</v>
      </c>
      <c r="D88" s="8" t="s">
        <v>1857</v>
      </c>
      <c r="E88" s="8" t="s">
        <v>1858</v>
      </c>
      <c r="F88" s="8" t="s">
        <v>1859</v>
      </c>
      <c r="G88" s="8" t="str" cm="1">
        <f t="array" ref="G88">LOWER(CleanCode(F88))</f>
        <v>spatialintegrationofimmigrantsinnordiccitiestherelevanceofspatialassimilationtheoryinawelfarestatecontext</v>
      </c>
      <c r="H88" s="8"/>
      <c r="I88" s="8"/>
      <c r="J88" s="8" t="s">
        <v>1863</v>
      </c>
      <c r="K88" s="8"/>
      <c r="L88" s="8"/>
      <c r="M88" s="8" t="s">
        <v>1860</v>
      </c>
      <c r="N88" s="8" t="str">
        <f t="shared" si="1"/>
        <v>Urban Affairs Review</v>
      </c>
      <c r="O88" s="8" t="s">
        <v>1870</v>
      </c>
      <c r="P88" s="8" t="s">
        <v>1871</v>
      </c>
      <c r="Q88" s="8" t="s">
        <v>69</v>
      </c>
      <c r="R88" s="8"/>
      <c r="S88" s="8">
        <v>53</v>
      </c>
      <c r="T88" s="8">
        <v>5</v>
      </c>
      <c r="U88" s="8">
        <v>812</v>
      </c>
      <c r="V88" s="8">
        <v>842</v>
      </c>
      <c r="W88" s="8">
        <v>31</v>
      </c>
      <c r="X88" s="8"/>
      <c r="Y88" s="8">
        <v>59</v>
      </c>
      <c r="Z88" s="8">
        <v>17</v>
      </c>
      <c r="AA88" s="8">
        <v>17</v>
      </c>
      <c r="AB88" s="8">
        <v>2</v>
      </c>
      <c r="AC88" s="8">
        <v>26</v>
      </c>
      <c r="AD88" s="8" t="s">
        <v>1877</v>
      </c>
      <c r="AE88" s="8" t="s">
        <v>1874</v>
      </c>
      <c r="AF88" s="8" t="s">
        <v>69</v>
      </c>
      <c r="AG88" s="8" t="s">
        <v>180</v>
      </c>
      <c r="AH88" s="8" t="s">
        <v>181</v>
      </c>
      <c r="AI88" s="8" t="s">
        <v>182</v>
      </c>
      <c r="AJ88" s="8" t="s">
        <v>1862</v>
      </c>
      <c r="AK88" s="8" t="s">
        <v>1861</v>
      </c>
      <c r="AL88" s="8"/>
      <c r="AM88" s="8"/>
      <c r="AN88" s="8"/>
      <c r="AO88" s="8"/>
      <c r="AP88" s="8"/>
      <c r="AQ88" s="8"/>
      <c r="AR88" s="8"/>
      <c r="AS88" s="8"/>
      <c r="AT88" s="8"/>
      <c r="AU88" s="8"/>
      <c r="AV88" s="8"/>
      <c r="AW88" s="8"/>
      <c r="AX88" s="8"/>
      <c r="AY88" s="8"/>
      <c r="AZ88" s="8"/>
      <c r="BA88" s="8"/>
      <c r="BB88" s="8"/>
      <c r="BC88" s="8"/>
      <c r="BD88" s="8"/>
      <c r="BE88" s="8"/>
      <c r="BF88" s="8"/>
      <c r="BG88" s="8"/>
      <c r="BH88" s="8"/>
      <c r="BI88" s="8"/>
      <c r="BJ88" s="8"/>
      <c r="BK88" s="8"/>
      <c r="BL88" s="8"/>
      <c r="BM88" s="8"/>
      <c r="BN88" s="8"/>
      <c r="BO88" s="8"/>
      <c r="BP88" s="8"/>
      <c r="BQ88" s="8"/>
      <c r="BR88" s="8"/>
      <c r="BS88" s="8"/>
      <c r="BT88" s="8"/>
      <c r="BU88" s="8"/>
      <c r="BV88" s="8"/>
      <c r="BW88" s="8"/>
      <c r="BX88" s="8"/>
      <c r="BY88" s="8"/>
      <c r="BZ88" s="8"/>
    </row>
    <row r="89" spans="1:78" ht="13" customHeight="1" x14ac:dyDescent="0.15">
      <c r="A89" s="8" t="s">
        <v>6188</v>
      </c>
      <c r="B89" s="8" t="s">
        <v>318</v>
      </c>
      <c r="C89" s="9">
        <v>2017</v>
      </c>
      <c r="D89" s="8" t="s">
        <v>1878</v>
      </c>
      <c r="E89" s="8" t="s">
        <v>1879</v>
      </c>
      <c r="F89" s="8" t="s">
        <v>1880</v>
      </c>
      <c r="G89" s="8" t="str" cm="1">
        <f t="array" ref="G89">LOWER(CleanCode(F89))</f>
        <v>theorizingcrossculturalmigrationsthecaseofeurasiasince1500</v>
      </c>
      <c r="H89" s="8"/>
      <c r="I89" s="8"/>
      <c r="J89" s="8" t="s">
        <v>1883</v>
      </c>
      <c r="K89" s="8"/>
      <c r="L89" s="8"/>
      <c r="M89" s="8" t="s">
        <v>1881</v>
      </c>
      <c r="N89" s="8" t="str">
        <f t="shared" si="1"/>
        <v>Social Science History</v>
      </c>
      <c r="O89" s="8" t="s">
        <v>1884</v>
      </c>
      <c r="P89" s="8" t="s">
        <v>1885</v>
      </c>
      <c r="Q89" s="8" t="s">
        <v>69</v>
      </c>
      <c r="R89" s="8"/>
      <c r="S89" s="8">
        <v>41</v>
      </c>
      <c r="T89" s="8">
        <v>3</v>
      </c>
      <c r="U89" s="8">
        <v>445</v>
      </c>
      <c r="V89" s="8">
        <v>475</v>
      </c>
      <c r="W89" s="8">
        <v>31</v>
      </c>
      <c r="X89" s="8"/>
      <c r="Y89" s="8">
        <v>130</v>
      </c>
      <c r="Z89" s="8">
        <v>7</v>
      </c>
      <c r="AA89" s="8">
        <v>7</v>
      </c>
      <c r="AB89" s="8">
        <v>1</v>
      </c>
      <c r="AC89" s="8">
        <v>8</v>
      </c>
      <c r="AD89" s="8" t="s">
        <v>1893</v>
      </c>
      <c r="AE89" s="8" t="s">
        <v>1889</v>
      </c>
      <c r="AF89" s="8" t="s">
        <v>69</v>
      </c>
      <c r="AG89" s="8" t="s">
        <v>1833</v>
      </c>
      <c r="AH89" s="8" t="s">
        <v>573</v>
      </c>
      <c r="AI89" s="8" t="s">
        <v>1834</v>
      </c>
      <c r="AJ89" s="8" t="s">
        <v>1882</v>
      </c>
      <c r="AK89" s="8" t="s">
        <v>69</v>
      </c>
      <c r="AL89" s="8"/>
      <c r="AM89" s="8"/>
      <c r="AN89" s="8"/>
      <c r="AO89" s="8"/>
      <c r="AP89" s="8"/>
      <c r="AQ89" s="8"/>
      <c r="AR89" s="8"/>
      <c r="AS89" s="8"/>
      <c r="AT89" s="8"/>
      <c r="AU89" s="8"/>
      <c r="AV89" s="8"/>
      <c r="AW89" s="8"/>
      <c r="AX89" s="8"/>
      <c r="AY89" s="8"/>
      <c r="AZ89" s="8"/>
      <c r="BA89" s="8"/>
      <c r="BB89" s="8"/>
      <c r="BC89" s="8"/>
      <c r="BD89" s="8"/>
      <c r="BE89" s="8"/>
      <c r="BF89" s="8"/>
      <c r="BG89" s="8"/>
      <c r="BH89" s="8"/>
      <c r="BI89" s="8"/>
      <c r="BJ89" s="8"/>
      <c r="BK89" s="8"/>
      <c r="BL89" s="8"/>
      <c r="BM89" s="8"/>
      <c r="BN89" s="8"/>
      <c r="BO89" s="8"/>
      <c r="BP89" s="8"/>
      <c r="BQ89" s="8"/>
      <c r="BR89" s="8"/>
      <c r="BS89" s="8"/>
      <c r="BT89" s="8"/>
      <c r="BU89" s="8"/>
      <c r="BV89" s="8"/>
      <c r="BW89" s="8"/>
      <c r="BX89" s="8"/>
      <c r="BY89" s="8"/>
      <c r="BZ89" s="8"/>
    </row>
    <row r="90" spans="1:78" ht="13" customHeight="1" x14ac:dyDescent="0.15">
      <c r="A90" s="8" t="s">
        <v>6188</v>
      </c>
      <c r="B90" s="8" t="s">
        <v>74</v>
      </c>
      <c r="C90" s="9">
        <v>2017</v>
      </c>
      <c r="D90" s="8" t="s">
        <v>1894</v>
      </c>
      <c r="E90" s="8" t="s">
        <v>1895</v>
      </c>
      <c r="F90" s="8" t="s">
        <v>1896</v>
      </c>
      <c r="G90" s="8" t="str" cm="1">
        <f t="array" ref="G90">LOWER(CleanCode(F90))</f>
        <v>thebibimbapmigrationtheorychallengesofkoreasmulticulturalmixandsocialintegrationdevelopment</v>
      </c>
      <c r="H90" s="8"/>
      <c r="I90" s="8"/>
      <c r="J90" s="8" t="s">
        <v>1898</v>
      </c>
      <c r="K90" s="8"/>
      <c r="L90" s="8"/>
      <c r="M90" s="8" t="s">
        <v>1471</v>
      </c>
      <c r="N90" s="8" t="str">
        <f t="shared" si="1"/>
        <v>Journal Of International Migration And Integration</v>
      </c>
      <c r="O90" s="8" t="s">
        <v>1483</v>
      </c>
      <c r="P90" s="8" t="s">
        <v>1484</v>
      </c>
      <c r="Q90" s="8" t="s">
        <v>69</v>
      </c>
      <c r="R90" s="8"/>
      <c r="S90" s="8">
        <v>18</v>
      </c>
      <c r="T90" s="8">
        <v>3</v>
      </c>
      <c r="U90" s="8">
        <v>771</v>
      </c>
      <c r="V90" s="8">
        <v>789</v>
      </c>
      <c r="W90" s="8">
        <v>19</v>
      </c>
      <c r="X90" s="8"/>
      <c r="Y90" s="8">
        <v>41</v>
      </c>
      <c r="Z90" s="8">
        <v>3</v>
      </c>
      <c r="AA90" s="8">
        <v>3</v>
      </c>
      <c r="AB90" s="8">
        <v>2</v>
      </c>
      <c r="AC90" s="8">
        <v>15</v>
      </c>
      <c r="AD90" s="8" t="s">
        <v>1906</v>
      </c>
      <c r="AE90" s="8" t="s">
        <v>1904</v>
      </c>
      <c r="AF90" s="8" t="s">
        <v>69</v>
      </c>
      <c r="AG90" s="8" t="s">
        <v>1480</v>
      </c>
      <c r="AH90" s="8" t="s">
        <v>1481</v>
      </c>
      <c r="AI90" s="8" t="s">
        <v>1482</v>
      </c>
      <c r="AJ90" s="8" t="s">
        <v>69</v>
      </c>
      <c r="AK90" s="8" t="s">
        <v>1897</v>
      </c>
      <c r="AL90" s="8"/>
      <c r="AM90" s="8"/>
      <c r="AN90" s="8"/>
      <c r="AO90" s="8"/>
      <c r="AP90" s="8"/>
      <c r="AQ90" s="8"/>
      <c r="AR90" s="8"/>
      <c r="AS90" s="8"/>
      <c r="AT90" s="8"/>
      <c r="AU90" s="8"/>
      <c r="AV90" s="8"/>
      <c r="AW90" s="8"/>
      <c r="AX90" s="8"/>
      <c r="AY90" s="8"/>
      <c r="AZ90" s="8"/>
      <c r="BA90" s="8"/>
      <c r="BB90" s="8"/>
      <c r="BC90" s="8"/>
      <c r="BD90" s="8"/>
      <c r="BE90" s="8"/>
      <c r="BF90" s="8"/>
      <c r="BG90" s="8"/>
      <c r="BH90" s="8"/>
      <c r="BI90" s="8"/>
      <c r="BJ90" s="8"/>
      <c r="BK90" s="8"/>
      <c r="BL90" s="8"/>
      <c r="BM90" s="8"/>
      <c r="BN90" s="8"/>
      <c r="BO90" s="8"/>
      <c r="BP90" s="8"/>
      <c r="BQ90" s="8"/>
      <c r="BR90" s="8"/>
      <c r="BS90" s="8"/>
      <c r="BT90" s="8"/>
      <c r="BU90" s="8"/>
      <c r="BV90" s="8"/>
      <c r="BW90" s="8"/>
      <c r="BX90" s="8"/>
      <c r="BY90" s="8"/>
      <c r="BZ90" s="8"/>
    </row>
    <row r="91" spans="1:78" ht="13" customHeight="1" x14ac:dyDescent="0.15">
      <c r="A91" s="8" t="s">
        <v>6188</v>
      </c>
      <c r="B91" s="8" t="s">
        <v>74</v>
      </c>
      <c r="C91" s="9">
        <v>2017</v>
      </c>
      <c r="D91" s="8" t="s">
        <v>1907</v>
      </c>
      <c r="E91" s="8" t="s">
        <v>1908</v>
      </c>
      <c r="F91" s="8" t="s">
        <v>1909</v>
      </c>
      <c r="G91" s="8" t="str" cm="1">
        <f t="array" ref="G91">LOWER(CleanCode(F91))</f>
        <v>atheoreticalframeworktostudythefertilityofcubanmigrantsintheunitedstates</v>
      </c>
      <c r="H91" s="8"/>
      <c r="I91" s="8"/>
      <c r="J91" s="8" t="s">
        <v>1913</v>
      </c>
      <c r="K91" s="8"/>
      <c r="L91" s="8"/>
      <c r="M91" s="8" t="s">
        <v>1910</v>
      </c>
      <c r="N91" s="8" t="str">
        <f t="shared" si="1"/>
        <v>Novedades En Poblacion</v>
      </c>
      <c r="O91" s="8" t="s">
        <v>1920</v>
      </c>
      <c r="P91" s="8" t="s">
        <v>69</v>
      </c>
      <c r="Q91" s="8" t="s">
        <v>69</v>
      </c>
      <c r="R91" s="8"/>
      <c r="S91" s="8">
        <v>13</v>
      </c>
      <c r="T91" s="8">
        <v>26</v>
      </c>
      <c r="U91" s="8">
        <v>10</v>
      </c>
      <c r="V91" s="8">
        <v>23</v>
      </c>
      <c r="W91" s="8">
        <v>14</v>
      </c>
      <c r="X91" s="8"/>
      <c r="Y91" s="8">
        <v>41</v>
      </c>
      <c r="Z91" s="8">
        <v>0</v>
      </c>
      <c r="AA91" s="8">
        <v>0</v>
      </c>
      <c r="AB91" s="8">
        <v>0</v>
      </c>
      <c r="AC91" s="8">
        <v>0</v>
      </c>
      <c r="AD91" s="8" t="s">
        <v>1925</v>
      </c>
      <c r="AE91" s="8" t="s">
        <v>69</v>
      </c>
      <c r="AF91" s="8" t="s">
        <v>69</v>
      </c>
      <c r="AG91" s="8" t="s">
        <v>1917</v>
      </c>
      <c r="AH91" s="8" t="s">
        <v>1918</v>
      </c>
      <c r="AI91" s="8" t="s">
        <v>1919</v>
      </c>
      <c r="AJ91" s="8" t="s">
        <v>1912</v>
      </c>
      <c r="AK91" s="8" t="s">
        <v>1911</v>
      </c>
      <c r="AL91" s="8"/>
      <c r="AM91" s="8"/>
      <c r="AN91" s="8"/>
      <c r="AO91" s="8"/>
      <c r="AP91" s="8"/>
      <c r="AQ91" s="8"/>
      <c r="AR91" s="8"/>
      <c r="AS91" s="8"/>
      <c r="AT91" s="8"/>
      <c r="AU91" s="8"/>
      <c r="AV91" s="8"/>
      <c r="AW91" s="8"/>
      <c r="AX91" s="8"/>
      <c r="AY91" s="8"/>
      <c r="AZ91" s="8"/>
      <c r="BA91" s="8"/>
      <c r="BB91" s="8"/>
      <c r="BC91" s="8"/>
      <c r="BD91" s="8"/>
      <c r="BE91" s="8"/>
      <c r="BF91" s="8"/>
      <c r="BG91" s="8"/>
      <c r="BH91" s="8"/>
      <c r="BI91" s="8"/>
      <c r="BJ91" s="8"/>
      <c r="BK91" s="8"/>
      <c r="BL91" s="8"/>
      <c r="BM91" s="8"/>
      <c r="BN91" s="8"/>
      <c r="BO91" s="8"/>
      <c r="BP91" s="8"/>
      <c r="BQ91" s="8"/>
      <c r="BR91" s="8"/>
      <c r="BS91" s="8"/>
      <c r="BT91" s="8"/>
      <c r="BU91" s="8"/>
      <c r="BV91" s="8"/>
      <c r="BW91" s="8"/>
      <c r="BX91" s="8"/>
      <c r="BY91" s="8"/>
      <c r="BZ91" s="8"/>
    </row>
    <row r="92" spans="1:78" ht="13" customHeight="1" x14ac:dyDescent="0.15">
      <c r="A92" s="8" t="s">
        <v>6188</v>
      </c>
      <c r="B92" s="8" t="s">
        <v>74</v>
      </c>
      <c r="C92" s="9">
        <v>2017</v>
      </c>
      <c r="D92" s="8" t="s">
        <v>1926</v>
      </c>
      <c r="E92" s="8" t="s">
        <v>1927</v>
      </c>
      <c r="F92" s="8" t="s">
        <v>1928</v>
      </c>
      <c r="G92" s="8" t="str" cm="1">
        <f t="array" ref="G92">LOWER(CleanCode(F92))</f>
        <v>placingassimilationtheorymexicanimmigrantsinurbanandruralamerica</v>
      </c>
      <c r="H92" s="8"/>
      <c r="I92" s="8"/>
      <c r="J92" s="8" t="s">
        <v>1932</v>
      </c>
      <c r="K92" s="8"/>
      <c r="L92" s="8"/>
      <c r="M92" s="8" t="s">
        <v>1929</v>
      </c>
      <c r="N92" s="8" t="str">
        <f t="shared" si="1"/>
        <v>Annals Of The American Academy Of Political And Social Science</v>
      </c>
      <c r="O92" s="8" t="s">
        <v>1936</v>
      </c>
      <c r="P92" s="8" t="s">
        <v>1937</v>
      </c>
      <c r="Q92" s="8" t="s">
        <v>69</v>
      </c>
      <c r="R92" s="8"/>
      <c r="S92" s="8">
        <v>672</v>
      </c>
      <c r="T92" s="8">
        <v>1</v>
      </c>
      <c r="U92" s="8">
        <v>64</v>
      </c>
      <c r="V92" s="8">
        <v>82</v>
      </c>
      <c r="W92" s="8">
        <v>19</v>
      </c>
      <c r="X92" s="8"/>
      <c r="Y92" s="8">
        <v>63</v>
      </c>
      <c r="Z92" s="8">
        <v>11</v>
      </c>
      <c r="AA92" s="8">
        <v>11</v>
      </c>
      <c r="AB92" s="8">
        <v>0</v>
      </c>
      <c r="AC92" s="8">
        <v>19</v>
      </c>
      <c r="AD92" s="8" t="s">
        <v>1944</v>
      </c>
      <c r="AE92" s="8" t="s">
        <v>1940</v>
      </c>
      <c r="AF92" s="8" t="s">
        <v>69</v>
      </c>
      <c r="AG92" s="8" t="s">
        <v>180</v>
      </c>
      <c r="AH92" s="8" t="s">
        <v>181</v>
      </c>
      <c r="AI92" s="8" t="s">
        <v>182</v>
      </c>
      <c r="AJ92" s="8" t="s">
        <v>1931</v>
      </c>
      <c r="AK92" s="8" t="s">
        <v>1930</v>
      </c>
      <c r="AL92" s="8"/>
      <c r="AM92" s="8"/>
      <c r="AN92" s="8"/>
      <c r="AO92" s="8"/>
      <c r="AP92" s="8"/>
      <c r="AQ92" s="8"/>
      <c r="AR92" s="8"/>
      <c r="AS92" s="8"/>
      <c r="AT92" s="8"/>
      <c r="AU92" s="8"/>
      <c r="AV92" s="8"/>
      <c r="AW92" s="8"/>
      <c r="AX92" s="8"/>
      <c r="AY92" s="8"/>
      <c r="AZ92" s="8"/>
      <c r="BA92" s="8"/>
      <c r="BB92" s="8"/>
      <c r="BC92" s="8"/>
      <c r="BD92" s="8"/>
      <c r="BE92" s="8"/>
      <c r="BF92" s="8"/>
      <c r="BG92" s="8"/>
      <c r="BH92" s="8"/>
      <c r="BI92" s="8"/>
      <c r="BJ92" s="8"/>
      <c r="BK92" s="8"/>
      <c r="BL92" s="8"/>
      <c r="BM92" s="8"/>
      <c r="BN92" s="8"/>
      <c r="BO92" s="8"/>
      <c r="BP92" s="8"/>
      <c r="BQ92" s="8"/>
      <c r="BR92" s="8"/>
      <c r="BS92" s="8"/>
      <c r="BT92" s="8"/>
      <c r="BU92" s="8"/>
      <c r="BV92" s="8"/>
      <c r="BW92" s="8"/>
      <c r="BX92" s="8"/>
      <c r="BY92" s="8"/>
      <c r="BZ92" s="8"/>
    </row>
    <row r="93" spans="1:78" ht="13" customHeight="1" x14ac:dyDescent="0.15">
      <c r="A93" s="8" t="s">
        <v>6188</v>
      </c>
      <c r="B93" s="8" t="s">
        <v>74</v>
      </c>
      <c r="C93" s="9">
        <v>2017</v>
      </c>
      <c r="D93" s="8" t="s">
        <v>1945</v>
      </c>
      <c r="E93" s="8" t="s">
        <v>1946</v>
      </c>
      <c r="F93" s="8" t="s">
        <v>1947</v>
      </c>
      <c r="G93" s="8" t="str" cm="1">
        <f t="array" ref="G93">LOWER(CleanCode(F93))</f>
        <v>bridgingcriticalracetheoryandmigrationmovingbeyondassimilationtheories</v>
      </c>
      <c r="H93" s="8"/>
      <c r="I93" s="8"/>
      <c r="J93" s="8" t="s">
        <v>1950</v>
      </c>
      <c r="K93" s="8"/>
      <c r="L93" s="8"/>
      <c r="M93" s="8" t="s">
        <v>1948</v>
      </c>
      <c r="N93" s="8" t="str">
        <f t="shared" si="1"/>
        <v>Sociology Compass</v>
      </c>
      <c r="O93" s="8" t="s">
        <v>1956</v>
      </c>
      <c r="P93" s="8" t="s">
        <v>69</v>
      </c>
      <c r="Q93" s="8" t="s">
        <v>69</v>
      </c>
      <c r="R93" s="8"/>
      <c r="S93" s="8">
        <v>11</v>
      </c>
      <c r="T93" s="8">
        <v>6</v>
      </c>
      <c r="U93" s="8" t="s">
        <v>69</v>
      </c>
      <c r="V93" s="8" t="s">
        <v>69</v>
      </c>
      <c r="W93" s="8">
        <v>10</v>
      </c>
      <c r="X93" s="8"/>
      <c r="Y93" s="8">
        <v>58</v>
      </c>
      <c r="Z93" s="8">
        <v>4</v>
      </c>
      <c r="AA93" s="8">
        <v>4</v>
      </c>
      <c r="AB93" s="8">
        <v>1</v>
      </c>
      <c r="AC93" s="8">
        <v>14</v>
      </c>
      <c r="AD93" s="8" t="s">
        <v>1962</v>
      </c>
      <c r="AE93" s="8" t="s">
        <v>1960</v>
      </c>
      <c r="AF93" s="8" t="s">
        <v>69</v>
      </c>
      <c r="AG93" s="8" t="s">
        <v>223</v>
      </c>
      <c r="AH93" s="8" t="s">
        <v>224</v>
      </c>
      <c r="AI93" s="8" t="s">
        <v>225</v>
      </c>
      <c r="AJ93" s="8" t="s">
        <v>1949</v>
      </c>
      <c r="AK93" s="8" t="s">
        <v>69</v>
      </c>
      <c r="AL93" s="8"/>
      <c r="AM93" s="8"/>
      <c r="AN93" s="8"/>
      <c r="AO93" s="8"/>
      <c r="AP93" s="8"/>
      <c r="AQ93" s="8"/>
      <c r="AR93" s="8"/>
      <c r="AS93" s="8"/>
      <c r="AT93" s="8"/>
      <c r="AU93" s="8"/>
      <c r="AV93" s="8"/>
      <c r="AW93" s="8"/>
      <c r="AX93" s="8"/>
      <c r="AY93" s="8"/>
      <c r="AZ93" s="8"/>
      <c r="BA93" s="8"/>
      <c r="BB93" s="8"/>
      <c r="BC93" s="8"/>
      <c r="BD93" s="8"/>
      <c r="BE93" s="8"/>
      <c r="BF93" s="8"/>
      <c r="BG93" s="8"/>
      <c r="BH93" s="8"/>
      <c r="BI93" s="8"/>
      <c r="BJ93" s="8"/>
      <c r="BK93" s="8"/>
      <c r="BL93" s="8"/>
      <c r="BM93" s="8"/>
      <c r="BN93" s="8"/>
      <c r="BO93" s="8"/>
      <c r="BP93" s="8"/>
      <c r="BQ93" s="8"/>
      <c r="BR93" s="8"/>
      <c r="BS93" s="8"/>
      <c r="BT93" s="8"/>
      <c r="BU93" s="8"/>
      <c r="BV93" s="8"/>
      <c r="BW93" s="8"/>
      <c r="BX93" s="8"/>
      <c r="BY93" s="8"/>
      <c r="BZ93" s="8"/>
    </row>
    <row r="94" spans="1:78" ht="13" customHeight="1" x14ac:dyDescent="0.15">
      <c r="A94" s="8" t="s">
        <v>6188</v>
      </c>
      <c r="B94" s="8" t="s">
        <v>74</v>
      </c>
      <c r="C94" s="9">
        <v>2017</v>
      </c>
      <c r="D94" s="8" t="s">
        <v>1963</v>
      </c>
      <c r="E94" s="8" t="s">
        <v>1964</v>
      </c>
      <c r="F94" s="8" t="s">
        <v>1965</v>
      </c>
      <c r="G94" s="8" t="str" cm="1">
        <f t="array" ref="G94">LOWER(CleanCode(F94))</f>
        <v>theoreticalperspectivesonissuesandinterventionsrelatedtomigrantresettlementincanada</v>
      </c>
      <c r="H94" s="8"/>
      <c r="I94" s="8"/>
      <c r="J94" s="8" t="s">
        <v>1969</v>
      </c>
      <c r="K94" s="8"/>
      <c r="L94" s="8"/>
      <c r="M94" s="8" t="s">
        <v>1966</v>
      </c>
      <c r="N94" s="8" t="str">
        <f t="shared" si="1"/>
        <v>Journal Of Transcultural Nursing</v>
      </c>
      <c r="O94" s="8" t="s">
        <v>1974</v>
      </c>
      <c r="P94" s="8" t="s">
        <v>1975</v>
      </c>
      <c r="Q94" s="8" t="s">
        <v>69</v>
      </c>
      <c r="R94" s="8"/>
      <c r="S94" s="8">
        <v>28</v>
      </c>
      <c r="T94" s="8">
        <v>3</v>
      </c>
      <c r="U94" s="8">
        <v>230</v>
      </c>
      <c r="V94" s="8">
        <v>235</v>
      </c>
      <c r="W94" s="8">
        <v>6</v>
      </c>
      <c r="X94" s="8"/>
      <c r="Y94" s="8">
        <v>27</v>
      </c>
      <c r="Z94" s="8">
        <v>0</v>
      </c>
      <c r="AA94" s="8">
        <v>0</v>
      </c>
      <c r="AB94" s="8">
        <v>0</v>
      </c>
      <c r="AC94" s="8">
        <v>8</v>
      </c>
      <c r="AD94" s="8" t="s">
        <v>1981</v>
      </c>
      <c r="AE94" s="8" t="s">
        <v>1978</v>
      </c>
      <c r="AF94" s="8">
        <v>27444930</v>
      </c>
      <c r="AG94" s="8" t="s">
        <v>180</v>
      </c>
      <c r="AH94" s="8" t="s">
        <v>181</v>
      </c>
      <c r="AI94" s="8" t="s">
        <v>182</v>
      </c>
      <c r="AJ94" s="8" t="s">
        <v>1968</v>
      </c>
      <c r="AK94" s="8" t="s">
        <v>1967</v>
      </c>
      <c r="AL94" s="8"/>
      <c r="AM94" s="8"/>
      <c r="AN94" s="8"/>
      <c r="AO94" s="8"/>
      <c r="AP94" s="8"/>
      <c r="AQ94" s="8"/>
      <c r="AR94" s="8"/>
      <c r="AS94" s="8"/>
      <c r="AT94" s="8"/>
      <c r="AU94" s="8"/>
      <c r="AV94" s="8"/>
      <c r="AW94" s="8"/>
      <c r="AX94" s="8"/>
      <c r="AY94" s="8"/>
      <c r="AZ94" s="8"/>
      <c r="BA94" s="8"/>
      <c r="BB94" s="8"/>
      <c r="BC94" s="8"/>
      <c r="BD94" s="8"/>
      <c r="BE94" s="8"/>
      <c r="BF94" s="8"/>
      <c r="BG94" s="8"/>
      <c r="BH94" s="8"/>
      <c r="BI94" s="8"/>
      <c r="BJ94" s="8"/>
      <c r="BK94" s="8"/>
      <c r="BL94" s="8"/>
      <c r="BM94" s="8"/>
      <c r="BN94" s="8"/>
      <c r="BO94" s="8"/>
      <c r="BP94" s="8"/>
      <c r="BQ94" s="8"/>
      <c r="BR94" s="8"/>
      <c r="BS94" s="8"/>
      <c r="BT94" s="8"/>
      <c r="BU94" s="8"/>
      <c r="BV94" s="8"/>
      <c r="BW94" s="8"/>
      <c r="BX94" s="8"/>
      <c r="BY94" s="8"/>
      <c r="BZ94" s="8"/>
    </row>
    <row r="95" spans="1:78" ht="13" customHeight="1" x14ac:dyDescent="0.15">
      <c r="A95" s="8" t="s">
        <v>6188</v>
      </c>
      <c r="B95" s="8" t="s">
        <v>74</v>
      </c>
      <c r="C95" s="9">
        <v>2017</v>
      </c>
      <c r="D95" s="8" t="s">
        <v>1982</v>
      </c>
      <c r="E95" s="8" t="s">
        <v>1983</v>
      </c>
      <c r="F95" s="8" t="s">
        <v>1984</v>
      </c>
      <c r="G95" s="8" t="str" cm="1">
        <f t="array" ref="G95">LOWER(CleanCode(F95))</f>
        <v>theextensionofthetheoryofpersonorganizationfittowardhospitalitymigrantworker</v>
      </c>
      <c r="H95" s="8"/>
      <c r="I95" s="8"/>
      <c r="J95" s="8" t="s">
        <v>1988</v>
      </c>
      <c r="K95" s="8"/>
      <c r="L95" s="8"/>
      <c r="M95" s="8" t="s">
        <v>1985</v>
      </c>
      <c r="N95" s="8" t="str">
        <f t="shared" si="1"/>
        <v>International Journal Of Hospitality Management</v>
      </c>
      <c r="O95" s="8" t="s">
        <v>1996</v>
      </c>
      <c r="P95" s="8" t="s">
        <v>1997</v>
      </c>
      <c r="Q95" s="8" t="s">
        <v>69</v>
      </c>
      <c r="R95" s="8"/>
      <c r="S95" s="8">
        <v>62</v>
      </c>
      <c r="T95" s="8" t="s">
        <v>69</v>
      </c>
      <c r="U95" s="8">
        <v>53</v>
      </c>
      <c r="V95" s="8">
        <v>66</v>
      </c>
      <c r="W95" s="8">
        <v>14</v>
      </c>
      <c r="X95" s="8"/>
      <c r="Y95" s="8">
        <v>91</v>
      </c>
      <c r="Z95" s="8">
        <v>16</v>
      </c>
      <c r="AA95" s="8">
        <v>16</v>
      </c>
      <c r="AB95" s="8">
        <v>3</v>
      </c>
      <c r="AC95" s="8">
        <v>29</v>
      </c>
      <c r="AD95" s="8" t="s">
        <v>2002</v>
      </c>
      <c r="AE95" s="8" t="s">
        <v>2000</v>
      </c>
      <c r="AF95" s="8" t="s">
        <v>69</v>
      </c>
      <c r="AG95" s="8" t="s">
        <v>1994</v>
      </c>
      <c r="AH95" s="8" t="s">
        <v>772</v>
      </c>
      <c r="AI95" s="8" t="s">
        <v>1995</v>
      </c>
      <c r="AJ95" s="8" t="s">
        <v>1987</v>
      </c>
      <c r="AK95" s="8" t="s">
        <v>1986</v>
      </c>
      <c r="AL95" s="8"/>
      <c r="AM95" s="8"/>
      <c r="AN95" s="8"/>
      <c r="AO95" s="8"/>
      <c r="AP95" s="8"/>
      <c r="AQ95" s="8"/>
      <c r="AR95" s="8"/>
      <c r="AS95" s="8"/>
      <c r="AT95" s="8"/>
      <c r="AU95" s="8"/>
      <c r="AV95" s="8"/>
      <c r="AW95" s="8"/>
      <c r="AX95" s="8"/>
      <c r="AY95" s="8"/>
      <c r="AZ95" s="8"/>
      <c r="BA95" s="8"/>
      <c r="BB95" s="8"/>
      <c r="BC95" s="8"/>
      <c r="BD95" s="8"/>
      <c r="BE95" s="8"/>
      <c r="BF95" s="8"/>
      <c r="BG95" s="8"/>
      <c r="BH95" s="8"/>
      <c r="BI95" s="8"/>
      <c r="BJ95" s="8"/>
      <c r="BK95" s="8"/>
      <c r="BL95" s="8"/>
      <c r="BM95" s="8"/>
      <c r="BN95" s="8"/>
      <c r="BO95" s="8"/>
      <c r="BP95" s="8"/>
      <c r="BQ95" s="8"/>
      <c r="BR95" s="8"/>
      <c r="BS95" s="8"/>
      <c r="BT95" s="8"/>
      <c r="BU95" s="8"/>
      <c r="BV95" s="8"/>
      <c r="BW95" s="8"/>
      <c r="BX95" s="8"/>
      <c r="BY95" s="8"/>
      <c r="BZ95" s="8"/>
    </row>
    <row r="96" spans="1:78" ht="13" customHeight="1" x14ac:dyDescent="0.15">
      <c r="A96" s="8" t="s">
        <v>6188</v>
      </c>
      <c r="B96" s="8" t="s">
        <v>74</v>
      </c>
      <c r="C96" s="9">
        <v>2017</v>
      </c>
      <c r="D96" s="8" t="s">
        <v>2003</v>
      </c>
      <c r="E96" s="8" t="s">
        <v>2004</v>
      </c>
      <c r="F96" s="8" t="s">
        <v>2005</v>
      </c>
      <c r="G96" s="8" t="str" cm="1">
        <f t="array" ref="G96">LOWER(CleanCode(F96))</f>
        <v>conceptualizingthedynamicsbetweenbiculturalidentificationandpersonalsocialnetworks</v>
      </c>
      <c r="H96" s="8"/>
      <c r="I96" s="8"/>
      <c r="J96" s="8" t="s">
        <v>2008</v>
      </c>
      <c r="K96" s="8"/>
      <c r="L96" s="8"/>
      <c r="M96" s="8" t="s">
        <v>431</v>
      </c>
      <c r="N96" s="8" t="str">
        <f t="shared" si="1"/>
        <v>Frontiers In Psychology</v>
      </c>
      <c r="O96" s="8" t="s">
        <v>444</v>
      </c>
      <c r="P96" s="8" t="s">
        <v>69</v>
      </c>
      <c r="Q96" s="8" t="s">
        <v>69</v>
      </c>
      <c r="R96" s="8"/>
      <c r="S96" s="8">
        <v>8</v>
      </c>
      <c r="T96" s="8" t="s">
        <v>69</v>
      </c>
      <c r="U96" s="8" t="s">
        <v>69</v>
      </c>
      <c r="V96" s="8" t="s">
        <v>69</v>
      </c>
      <c r="W96" s="8">
        <v>19</v>
      </c>
      <c r="X96" s="8"/>
      <c r="Y96" s="8">
        <v>66</v>
      </c>
      <c r="Z96" s="8">
        <v>10</v>
      </c>
      <c r="AA96" s="8">
        <v>10</v>
      </c>
      <c r="AB96" s="8">
        <v>0</v>
      </c>
      <c r="AC96" s="8">
        <v>18</v>
      </c>
      <c r="AD96" s="8" t="s">
        <v>2019</v>
      </c>
      <c r="AE96" s="8" t="s">
        <v>2017</v>
      </c>
      <c r="AF96" s="8">
        <v>28408892</v>
      </c>
      <c r="AG96" s="8" t="s">
        <v>441</v>
      </c>
      <c r="AH96" s="8" t="s">
        <v>442</v>
      </c>
      <c r="AI96" s="8" t="s">
        <v>443</v>
      </c>
      <c r="AJ96" s="8" t="s">
        <v>2007</v>
      </c>
      <c r="AK96" s="8" t="s">
        <v>2006</v>
      </c>
      <c r="AL96" s="8"/>
      <c r="AM96" s="8"/>
      <c r="AN96" s="8"/>
      <c r="AO96" s="8"/>
      <c r="AP96" s="8"/>
      <c r="AQ96" s="8"/>
      <c r="AR96" s="8"/>
      <c r="AS96" s="8"/>
      <c r="AT96" s="8"/>
      <c r="AU96" s="8"/>
      <c r="AV96" s="8"/>
      <c r="AW96" s="8"/>
      <c r="AX96" s="8"/>
      <c r="AY96" s="8"/>
      <c r="AZ96" s="8"/>
      <c r="BA96" s="8"/>
      <c r="BB96" s="8"/>
      <c r="BC96" s="8"/>
      <c r="BD96" s="8"/>
      <c r="BE96" s="8"/>
      <c r="BF96" s="8"/>
      <c r="BG96" s="8"/>
      <c r="BH96" s="8"/>
      <c r="BI96" s="8"/>
      <c r="BJ96" s="8"/>
      <c r="BK96" s="8"/>
      <c r="BL96" s="8"/>
      <c r="BM96" s="8"/>
      <c r="BN96" s="8"/>
      <c r="BO96" s="8"/>
      <c r="BP96" s="8"/>
      <c r="BQ96" s="8"/>
      <c r="BR96" s="8"/>
      <c r="BS96" s="8"/>
      <c r="BT96" s="8"/>
      <c r="BU96" s="8"/>
      <c r="BV96" s="8"/>
      <c r="BW96" s="8"/>
      <c r="BX96" s="8"/>
      <c r="BY96" s="8"/>
      <c r="BZ96" s="8"/>
    </row>
    <row r="97" spans="1:78" ht="13" customHeight="1" x14ac:dyDescent="0.15">
      <c r="A97" s="8" t="s">
        <v>6188</v>
      </c>
      <c r="B97" s="8" t="s">
        <v>74</v>
      </c>
      <c r="C97" s="9">
        <v>2017</v>
      </c>
      <c r="D97" s="8" t="s">
        <v>2020</v>
      </c>
      <c r="E97" s="8" t="s">
        <v>2021</v>
      </c>
      <c r="F97" s="8" t="s">
        <v>2022</v>
      </c>
      <c r="G97" s="8" t="str" cm="1">
        <f t="array" ref="G97">LOWER(CleanCode(F97))</f>
        <v>culturallyadaptingaphysicalactivityinterventionforsomaliwomentheneedfortheoryandinnovationtopromoteequity</v>
      </c>
      <c r="H97" s="8"/>
      <c r="I97" s="8"/>
      <c r="J97" s="8" t="s">
        <v>2026</v>
      </c>
      <c r="K97" s="8"/>
      <c r="L97" s="8"/>
      <c r="M97" s="8" t="s">
        <v>2023</v>
      </c>
      <c r="N97" s="8" t="str">
        <f t="shared" si="1"/>
        <v>Translational Behavioral Medicine</v>
      </c>
      <c r="O97" s="8" t="s">
        <v>2034</v>
      </c>
      <c r="P97" s="8" t="s">
        <v>2035</v>
      </c>
      <c r="Q97" s="8" t="s">
        <v>69</v>
      </c>
      <c r="R97" s="8"/>
      <c r="S97" s="8">
        <v>7</v>
      </c>
      <c r="T97" s="8">
        <v>1</v>
      </c>
      <c r="U97" s="8" t="s">
        <v>69</v>
      </c>
      <c r="V97" s="8" t="s">
        <v>69</v>
      </c>
      <c r="W97" s="8">
        <v>10</v>
      </c>
      <c r="X97" s="8"/>
      <c r="Y97" s="8">
        <v>52</v>
      </c>
      <c r="Z97" s="8">
        <v>9</v>
      </c>
      <c r="AA97" s="8">
        <v>9</v>
      </c>
      <c r="AB97" s="8">
        <v>2</v>
      </c>
      <c r="AC97" s="8">
        <v>7</v>
      </c>
      <c r="AD97" s="8" t="s">
        <v>2040</v>
      </c>
      <c r="AE97" s="8" t="s">
        <v>2038</v>
      </c>
      <c r="AF97" s="8">
        <v>27558245</v>
      </c>
      <c r="AG97" s="8" t="s">
        <v>2032</v>
      </c>
      <c r="AH97" s="8" t="s">
        <v>772</v>
      </c>
      <c r="AI97" s="8" t="s">
        <v>2033</v>
      </c>
      <c r="AJ97" s="8" t="s">
        <v>2025</v>
      </c>
      <c r="AK97" s="8" t="s">
        <v>2024</v>
      </c>
      <c r="AL97" s="8"/>
      <c r="AM97" s="8"/>
      <c r="AN97" s="8"/>
      <c r="AO97" s="8"/>
      <c r="AP97" s="8"/>
      <c r="AQ97" s="8"/>
      <c r="AR97" s="8"/>
      <c r="AS97" s="8"/>
      <c r="AT97" s="8"/>
      <c r="AU97" s="8"/>
      <c r="AV97" s="8"/>
      <c r="AW97" s="8"/>
      <c r="AX97" s="8"/>
      <c r="AY97" s="8"/>
      <c r="AZ97" s="8"/>
      <c r="BA97" s="8"/>
      <c r="BB97" s="8"/>
      <c r="BC97" s="8"/>
      <c r="BD97" s="8"/>
      <c r="BE97" s="8"/>
      <c r="BF97" s="8"/>
      <c r="BG97" s="8"/>
      <c r="BH97" s="8"/>
      <c r="BI97" s="8"/>
      <c r="BJ97" s="8"/>
      <c r="BK97" s="8"/>
      <c r="BL97" s="8"/>
      <c r="BM97" s="8"/>
      <c r="BN97" s="8"/>
      <c r="BO97" s="8"/>
      <c r="BP97" s="8"/>
      <c r="BQ97" s="8"/>
      <c r="BR97" s="8"/>
      <c r="BS97" s="8"/>
      <c r="BT97" s="8"/>
      <c r="BU97" s="8"/>
      <c r="BV97" s="8"/>
      <c r="BW97" s="8"/>
      <c r="BX97" s="8"/>
      <c r="BY97" s="8"/>
      <c r="BZ97" s="8"/>
    </row>
    <row r="98" spans="1:78" ht="13" customHeight="1" x14ac:dyDescent="0.15">
      <c r="A98" s="8" t="s">
        <v>6188</v>
      </c>
      <c r="B98" s="8" t="s">
        <v>74</v>
      </c>
      <c r="C98" s="9">
        <v>2017</v>
      </c>
      <c r="D98" s="8" t="s">
        <v>2041</v>
      </c>
      <c r="E98" s="8" t="s">
        <v>2042</v>
      </c>
      <c r="F98" s="8" t="s">
        <v>2043</v>
      </c>
      <c r="G98" s="8" t="str" cm="1">
        <f t="array" ref="G98">LOWER(CleanCode(F98))</f>
        <v>atheoreticalmodeloftheintegrationofmigrantworkersinorganizations</v>
      </c>
      <c r="H98" s="8"/>
      <c r="I98" s="8"/>
      <c r="J98" s="8" t="s">
        <v>2047</v>
      </c>
      <c r="K98" s="8"/>
      <c r="L98" s="8"/>
      <c r="M98" s="8" t="s">
        <v>2044</v>
      </c>
      <c r="N98" s="8" t="str">
        <f t="shared" si="1"/>
        <v>Gio-Gruppe-Interaktion-Organisation-Zeitschrift Fuer Angewandte Organisationspsychologie</v>
      </c>
      <c r="O98" s="8" t="s">
        <v>2053</v>
      </c>
      <c r="P98" s="8" t="s">
        <v>2054</v>
      </c>
      <c r="Q98" s="8" t="s">
        <v>69</v>
      </c>
      <c r="R98" s="8"/>
      <c r="S98" s="8">
        <v>48</v>
      </c>
      <c r="T98" s="8">
        <v>1</v>
      </c>
      <c r="U98" s="8">
        <v>61</v>
      </c>
      <c r="V98" s="8">
        <v>68</v>
      </c>
      <c r="W98" s="8">
        <v>8</v>
      </c>
      <c r="X98" s="8"/>
      <c r="Y98" s="8">
        <v>53</v>
      </c>
      <c r="Z98" s="8">
        <v>0</v>
      </c>
      <c r="AA98" s="8">
        <v>0</v>
      </c>
      <c r="AB98" s="8">
        <v>0</v>
      </c>
      <c r="AC98" s="8">
        <v>5</v>
      </c>
      <c r="AD98" s="8" t="s">
        <v>2060</v>
      </c>
      <c r="AE98" s="8" t="s">
        <v>2057</v>
      </c>
      <c r="AF98" s="8" t="s">
        <v>69</v>
      </c>
      <c r="AG98" s="8" t="s">
        <v>2051</v>
      </c>
      <c r="AH98" s="8" t="s">
        <v>1772</v>
      </c>
      <c r="AI98" s="8" t="s">
        <v>2052</v>
      </c>
      <c r="AJ98" s="8" t="s">
        <v>2046</v>
      </c>
      <c r="AK98" s="8" t="s">
        <v>2045</v>
      </c>
      <c r="AL98" s="8"/>
      <c r="AM98" s="8"/>
      <c r="AN98" s="8"/>
      <c r="AO98" s="8"/>
      <c r="AP98" s="8"/>
      <c r="AQ98" s="8"/>
      <c r="AR98" s="8"/>
      <c r="AS98" s="8"/>
      <c r="AT98" s="8"/>
      <c r="AU98" s="8"/>
      <c r="AV98" s="8"/>
      <c r="AW98" s="8"/>
      <c r="AX98" s="8"/>
      <c r="AY98" s="8"/>
      <c r="AZ98" s="8"/>
      <c r="BA98" s="8"/>
      <c r="BB98" s="8"/>
      <c r="BC98" s="8"/>
      <c r="BD98" s="8"/>
      <c r="BE98" s="8"/>
      <c r="BF98" s="8"/>
      <c r="BG98" s="8"/>
      <c r="BH98" s="8"/>
      <c r="BI98" s="8"/>
      <c r="BJ98" s="8"/>
      <c r="BK98" s="8"/>
      <c r="BL98" s="8"/>
      <c r="BM98" s="8"/>
      <c r="BN98" s="8"/>
      <c r="BO98" s="8"/>
      <c r="BP98" s="8"/>
      <c r="BQ98" s="8"/>
      <c r="BR98" s="8"/>
      <c r="BS98" s="8"/>
      <c r="BT98" s="8"/>
      <c r="BU98" s="8"/>
      <c r="BV98" s="8"/>
      <c r="BW98" s="8"/>
      <c r="BX98" s="8"/>
      <c r="BY98" s="8"/>
      <c r="BZ98" s="8"/>
    </row>
    <row r="99" spans="1:78" ht="13" customHeight="1" x14ac:dyDescent="0.15">
      <c r="A99" s="8" t="s">
        <v>6188</v>
      </c>
      <c r="B99" s="8" t="s">
        <v>74</v>
      </c>
      <c r="C99" s="9">
        <v>2017</v>
      </c>
      <c r="D99" s="8" t="s">
        <v>2061</v>
      </c>
      <c r="E99" s="8" t="s">
        <v>2062</v>
      </c>
      <c r="F99" s="8" t="s">
        <v>2063</v>
      </c>
      <c r="G99" s="8" t="str" cm="1">
        <f t="array" ref="G99">LOWER(CleanCode(F99))</f>
        <v>rethinkingmuslimmigrationframeworksfluxandfragmentation</v>
      </c>
      <c r="H99" s="8"/>
      <c r="I99" s="8"/>
      <c r="J99" s="8" t="s">
        <v>2065</v>
      </c>
      <c r="K99" s="8"/>
      <c r="L99" s="8"/>
      <c r="M99" s="8" t="s">
        <v>197</v>
      </c>
      <c r="N99" s="8" t="str">
        <f t="shared" si="1"/>
        <v>Ethnic And Racial Studies</v>
      </c>
      <c r="O99" s="8" t="s">
        <v>205</v>
      </c>
      <c r="P99" s="8" t="s">
        <v>206</v>
      </c>
      <c r="Q99" s="8" t="s">
        <v>69</v>
      </c>
      <c r="R99" s="8"/>
      <c r="S99" s="8">
        <v>40</v>
      </c>
      <c r="T99" s="8">
        <v>3</v>
      </c>
      <c r="U99" s="8">
        <v>407</v>
      </c>
      <c r="V99" s="8">
        <v>412</v>
      </c>
      <c r="W99" s="8">
        <v>6</v>
      </c>
      <c r="X99" s="8"/>
      <c r="Y99" s="8">
        <v>4</v>
      </c>
      <c r="Z99" s="8">
        <v>1</v>
      </c>
      <c r="AA99" s="8">
        <v>1</v>
      </c>
      <c r="AB99" s="8">
        <v>0</v>
      </c>
      <c r="AC99" s="8">
        <v>9</v>
      </c>
      <c r="AD99" s="8" t="s">
        <v>2075</v>
      </c>
      <c r="AE99" s="8" t="s">
        <v>2073</v>
      </c>
      <c r="AF99" s="8" t="s">
        <v>69</v>
      </c>
      <c r="AG99" s="8" t="s">
        <v>108</v>
      </c>
      <c r="AH99" s="8" t="s">
        <v>109</v>
      </c>
      <c r="AI99" s="8" t="s">
        <v>110</v>
      </c>
      <c r="AJ99" s="8" t="s">
        <v>69</v>
      </c>
      <c r="AK99" s="8" t="s">
        <v>2064</v>
      </c>
      <c r="AL99" s="8"/>
      <c r="AM99" s="8"/>
      <c r="AN99" s="8"/>
      <c r="AO99" s="8"/>
      <c r="AP99" s="8"/>
      <c r="AQ99" s="8"/>
      <c r="AR99" s="8"/>
      <c r="AS99" s="8"/>
      <c r="AT99" s="8"/>
      <c r="AU99" s="8"/>
      <c r="AV99" s="8"/>
      <c r="AW99" s="8"/>
      <c r="AX99" s="8"/>
      <c r="AY99" s="8"/>
      <c r="AZ99" s="8"/>
      <c r="BA99" s="8"/>
      <c r="BB99" s="8"/>
      <c r="BC99" s="8"/>
      <c r="BD99" s="8"/>
      <c r="BE99" s="8"/>
      <c r="BF99" s="8"/>
      <c r="BG99" s="8"/>
      <c r="BH99" s="8"/>
      <c r="BI99" s="8"/>
      <c r="BJ99" s="8"/>
      <c r="BK99" s="8"/>
      <c r="BL99" s="8"/>
      <c r="BM99" s="8"/>
      <c r="BN99" s="8"/>
      <c r="BO99" s="8"/>
      <c r="BP99" s="8"/>
      <c r="BQ99" s="8"/>
      <c r="BR99" s="8"/>
      <c r="BS99" s="8"/>
      <c r="BT99" s="8"/>
      <c r="BU99" s="8"/>
      <c r="BV99" s="8"/>
      <c r="BW99" s="8"/>
      <c r="BX99" s="8"/>
      <c r="BY99" s="8"/>
      <c r="BZ99" s="8"/>
    </row>
    <row r="100" spans="1:78" ht="13" customHeight="1" x14ac:dyDescent="0.15">
      <c r="A100" s="8" t="s">
        <v>6188</v>
      </c>
      <c r="B100" s="8" t="s">
        <v>74</v>
      </c>
      <c r="C100" s="9">
        <v>2017</v>
      </c>
      <c r="D100" s="8" t="s">
        <v>2076</v>
      </c>
      <c r="E100" s="8" t="s">
        <v>2077</v>
      </c>
      <c r="F100" s="8" t="s">
        <v>2078</v>
      </c>
      <c r="G100" s="8" t="str" cm="1">
        <f t="array" ref="G100">LOWER(CleanCode(F100))</f>
        <v>theareasofinterventionofsocialeducationprofessionalsastudywithmultimediaconceptualmaps</v>
      </c>
      <c r="H100" s="8"/>
      <c r="I100" s="8"/>
      <c r="J100" s="8" t="s">
        <v>2081</v>
      </c>
      <c r="K100" s="8"/>
      <c r="L100" s="8"/>
      <c r="M100" s="8" t="s">
        <v>2079</v>
      </c>
      <c r="N100" s="8" t="str">
        <f t="shared" si="1"/>
        <v>Revista Latinoamericana De Tecnologia Educativa-Relatec</v>
      </c>
      <c r="O100" s="8" t="s">
        <v>2090</v>
      </c>
      <c r="P100" s="8" t="s">
        <v>69</v>
      </c>
      <c r="Q100" s="8" t="s">
        <v>69</v>
      </c>
      <c r="R100" s="8"/>
      <c r="S100" s="8">
        <v>16</v>
      </c>
      <c r="T100" s="8">
        <v>2</v>
      </c>
      <c r="U100" s="8">
        <v>205</v>
      </c>
      <c r="V100" s="8">
        <v>222</v>
      </c>
      <c r="W100" s="8">
        <v>18</v>
      </c>
      <c r="X100" s="8"/>
      <c r="Y100" s="8">
        <v>23</v>
      </c>
      <c r="Z100" s="8">
        <v>0</v>
      </c>
      <c r="AA100" s="8">
        <v>0</v>
      </c>
      <c r="AB100" s="8">
        <v>2</v>
      </c>
      <c r="AC100" s="8">
        <v>7</v>
      </c>
      <c r="AD100" s="8" t="s">
        <v>2095</v>
      </c>
      <c r="AE100" s="8" t="s">
        <v>2093</v>
      </c>
      <c r="AF100" s="8" t="s">
        <v>69</v>
      </c>
      <c r="AG100" s="8" t="s">
        <v>2087</v>
      </c>
      <c r="AH100" s="8" t="s">
        <v>2088</v>
      </c>
      <c r="AI100" s="8" t="s">
        <v>2089</v>
      </c>
      <c r="AJ100" s="8" t="s">
        <v>69</v>
      </c>
      <c r="AK100" s="8" t="s">
        <v>2080</v>
      </c>
      <c r="AL100" s="8"/>
      <c r="AM100" s="8"/>
      <c r="AN100" s="8"/>
      <c r="AO100" s="8"/>
      <c r="AP100" s="8"/>
      <c r="AQ100" s="8"/>
      <c r="AR100" s="8"/>
      <c r="AS100" s="8"/>
      <c r="AT100" s="8"/>
      <c r="AU100" s="8"/>
      <c r="AV100" s="8"/>
      <c r="AW100" s="8"/>
      <c r="AX100" s="8"/>
      <c r="AY100" s="8"/>
      <c r="AZ100" s="8"/>
      <c r="BA100" s="8"/>
      <c r="BB100" s="8"/>
      <c r="BC100" s="8"/>
      <c r="BD100" s="8"/>
      <c r="BE100" s="8"/>
      <c r="BF100" s="8"/>
      <c r="BG100" s="8"/>
      <c r="BH100" s="8"/>
      <c r="BI100" s="8"/>
      <c r="BJ100" s="8"/>
      <c r="BK100" s="8"/>
      <c r="BL100" s="8"/>
      <c r="BM100" s="8"/>
      <c r="BN100" s="8"/>
      <c r="BO100" s="8"/>
      <c r="BP100" s="8"/>
      <c r="BQ100" s="8"/>
      <c r="BR100" s="8"/>
      <c r="BS100" s="8"/>
      <c r="BT100" s="8"/>
      <c r="BU100" s="8"/>
      <c r="BV100" s="8"/>
      <c r="BW100" s="8"/>
      <c r="BX100" s="8"/>
      <c r="BY100" s="8"/>
      <c r="BZ100" s="8"/>
    </row>
    <row r="101" spans="1:78" ht="13" customHeight="1" x14ac:dyDescent="0.15">
      <c r="A101" s="8" t="s">
        <v>6188</v>
      </c>
      <c r="B101" s="8" t="s">
        <v>74</v>
      </c>
      <c r="C101" s="9">
        <v>2017</v>
      </c>
      <c r="D101" s="8" t="s">
        <v>2096</v>
      </c>
      <c r="E101" s="8" t="s">
        <v>2097</v>
      </c>
      <c r="F101" s="8" t="s">
        <v>2098</v>
      </c>
      <c r="G101" s="8" t="str" cm="1">
        <f t="array" ref="G101">LOWER(CleanCode(F101))</f>
        <v>violatingclanandkinshiprolesasriskfactorsforsuicideandstigmaamonglaorefugeesanapplicationoftheculturalmodelofsuicideandwhatmattersmostframeworks</v>
      </c>
      <c r="H101" s="8"/>
      <c r="I101" s="8"/>
      <c r="J101" s="8" t="s">
        <v>2101</v>
      </c>
      <c r="K101" s="8"/>
      <c r="L101" s="8"/>
      <c r="M101" s="8" t="s">
        <v>2099</v>
      </c>
      <c r="N101" s="8" t="str">
        <f t="shared" si="1"/>
        <v>Israel Journal Of Psychiatry And Related Sciences</v>
      </c>
      <c r="O101" s="8" t="s">
        <v>2111</v>
      </c>
      <c r="P101" s="8" t="s">
        <v>69</v>
      </c>
      <c r="Q101" s="8" t="s">
        <v>69</v>
      </c>
      <c r="R101" s="8"/>
      <c r="S101" s="8">
        <v>54</v>
      </c>
      <c r="T101" s="8">
        <v>1</v>
      </c>
      <c r="U101" s="8">
        <v>39</v>
      </c>
      <c r="V101" s="8">
        <v>49</v>
      </c>
      <c r="W101" s="8">
        <v>11</v>
      </c>
      <c r="X101" s="8"/>
      <c r="Y101" s="8">
        <v>36</v>
      </c>
      <c r="Z101" s="8">
        <v>0</v>
      </c>
      <c r="AA101" s="8">
        <v>0</v>
      </c>
      <c r="AB101" s="8">
        <v>2</v>
      </c>
      <c r="AC101" s="8">
        <v>5</v>
      </c>
      <c r="AD101" s="8" t="s">
        <v>2115</v>
      </c>
      <c r="AE101" s="8" t="s">
        <v>69</v>
      </c>
      <c r="AF101" s="8">
        <v>28857757</v>
      </c>
      <c r="AG101" s="8" t="s">
        <v>2108</v>
      </c>
      <c r="AH101" s="8" t="s">
        <v>2109</v>
      </c>
      <c r="AI101" s="8" t="s">
        <v>2110</v>
      </c>
      <c r="AJ101" s="8" t="s">
        <v>2100</v>
      </c>
      <c r="AK101" s="8" t="s">
        <v>69</v>
      </c>
      <c r="AL101" s="8"/>
      <c r="AM101" s="8"/>
      <c r="AN101" s="8"/>
      <c r="AO101" s="8"/>
      <c r="AP101" s="8"/>
      <c r="AQ101" s="8"/>
      <c r="AR101" s="8"/>
      <c r="AS101" s="8"/>
      <c r="AT101" s="8"/>
      <c r="AU101" s="8"/>
      <c r="AV101" s="8"/>
      <c r="AW101" s="8"/>
      <c r="AX101" s="8"/>
      <c r="AY101" s="8"/>
      <c r="AZ101" s="8"/>
      <c r="BA101" s="8"/>
      <c r="BB101" s="8"/>
      <c r="BC101" s="8"/>
      <c r="BD101" s="8"/>
      <c r="BE101" s="8"/>
      <c r="BF101" s="8"/>
      <c r="BG101" s="8"/>
      <c r="BH101" s="8"/>
      <c r="BI101" s="8"/>
      <c r="BJ101" s="8"/>
      <c r="BK101" s="8"/>
      <c r="BL101" s="8"/>
      <c r="BM101" s="8"/>
      <c r="BN101" s="8"/>
      <c r="BO101" s="8"/>
      <c r="BP101" s="8"/>
      <c r="BQ101" s="8"/>
      <c r="BR101" s="8"/>
      <c r="BS101" s="8"/>
      <c r="BT101" s="8"/>
      <c r="BU101" s="8"/>
      <c r="BV101" s="8"/>
      <c r="BW101" s="8"/>
      <c r="BX101" s="8"/>
      <c r="BY101" s="8"/>
      <c r="BZ101" s="8"/>
    </row>
    <row r="102" spans="1:78" ht="13" customHeight="1" x14ac:dyDescent="0.15">
      <c r="A102" s="8" t="s">
        <v>6188</v>
      </c>
      <c r="B102" s="8" t="s">
        <v>74</v>
      </c>
      <c r="C102" s="9">
        <v>2017</v>
      </c>
      <c r="D102" s="8" t="s">
        <v>2116</v>
      </c>
      <c r="E102" s="8" t="s">
        <v>2117</v>
      </c>
      <c r="F102" s="8" t="s">
        <v>2118</v>
      </c>
      <c r="G102" s="8" t="str" cm="1">
        <f t="array" ref="G102">LOWER(CleanCode(F102))</f>
        <v>generalstraintheoryreligiosityanddelinquencyamongyounglatinoamericans</v>
      </c>
      <c r="H102" s="8"/>
      <c r="I102" s="8"/>
      <c r="J102" s="8" t="s">
        <v>2120</v>
      </c>
      <c r="K102" s="8"/>
      <c r="L102" s="8"/>
      <c r="M102" s="8" t="s">
        <v>695</v>
      </c>
      <c r="N102" s="8" t="str">
        <f t="shared" si="1"/>
        <v>Deviant Behavior</v>
      </c>
      <c r="O102" s="8" t="s">
        <v>704</v>
      </c>
      <c r="P102" s="8" t="s">
        <v>705</v>
      </c>
      <c r="Q102" s="8" t="s">
        <v>69</v>
      </c>
      <c r="R102" s="8"/>
      <c r="S102" s="8">
        <v>38</v>
      </c>
      <c r="T102" s="8">
        <v>11</v>
      </c>
      <c r="U102" s="8">
        <v>1223</v>
      </c>
      <c r="V102" s="8">
        <v>1239</v>
      </c>
      <c r="W102" s="8">
        <v>17</v>
      </c>
      <c r="X102" s="8"/>
      <c r="Y102" s="8">
        <v>74</v>
      </c>
      <c r="Z102" s="8">
        <v>10</v>
      </c>
      <c r="AA102" s="8">
        <v>10</v>
      </c>
      <c r="AB102" s="8">
        <v>0</v>
      </c>
      <c r="AC102" s="8">
        <v>9</v>
      </c>
      <c r="AD102" s="8" t="s">
        <v>2126</v>
      </c>
      <c r="AE102" s="8" t="s">
        <v>2124</v>
      </c>
      <c r="AF102" s="8" t="s">
        <v>69</v>
      </c>
      <c r="AG102" s="8" t="s">
        <v>701</v>
      </c>
      <c r="AH102" s="8" t="s">
        <v>702</v>
      </c>
      <c r="AI102" s="8" t="s">
        <v>703</v>
      </c>
      <c r="AJ102" s="8" t="s">
        <v>2119</v>
      </c>
      <c r="AK102" s="8" t="s">
        <v>69</v>
      </c>
      <c r="AL102" s="8"/>
      <c r="AM102" s="8"/>
      <c r="AN102" s="8"/>
      <c r="AO102" s="8"/>
      <c r="AP102" s="8"/>
      <c r="AQ102" s="8"/>
      <c r="AR102" s="8"/>
      <c r="AS102" s="8"/>
      <c r="AT102" s="8"/>
      <c r="AU102" s="8"/>
      <c r="AV102" s="8"/>
      <c r="AW102" s="8"/>
      <c r="AX102" s="8"/>
      <c r="AY102" s="8"/>
      <c r="AZ102" s="8"/>
      <c r="BA102" s="8"/>
      <c r="BB102" s="8"/>
      <c r="BC102" s="8"/>
      <c r="BD102" s="8"/>
      <c r="BE102" s="8"/>
      <c r="BF102" s="8"/>
      <c r="BG102" s="8"/>
      <c r="BH102" s="8"/>
      <c r="BI102" s="8"/>
      <c r="BJ102" s="8"/>
      <c r="BK102" s="8"/>
      <c r="BL102" s="8"/>
      <c r="BM102" s="8"/>
      <c r="BN102" s="8"/>
      <c r="BO102" s="8"/>
      <c r="BP102" s="8"/>
      <c r="BQ102" s="8"/>
      <c r="BR102" s="8"/>
      <c r="BS102" s="8"/>
      <c r="BT102" s="8"/>
      <c r="BU102" s="8"/>
      <c r="BV102" s="8"/>
      <c r="BW102" s="8"/>
      <c r="BX102" s="8"/>
      <c r="BY102" s="8"/>
      <c r="BZ102" s="8"/>
    </row>
    <row r="103" spans="1:78" ht="13" customHeight="1" x14ac:dyDescent="0.15">
      <c r="A103" s="8" t="s">
        <v>6188</v>
      </c>
      <c r="B103" s="8" t="s">
        <v>318</v>
      </c>
      <c r="C103" s="9">
        <v>2017</v>
      </c>
      <c r="D103" s="8" t="s">
        <v>2127</v>
      </c>
      <c r="E103" s="8" t="s">
        <v>2128</v>
      </c>
      <c r="F103" s="8" t="s">
        <v>2129</v>
      </c>
      <c r="G103" s="8" t="str" cm="1">
        <f t="array" ref="G103">LOWER(CleanCode(F103))</f>
        <v>asiannorthamericansleisureacriticalexaminationofthetheoreticalframeworksusedinresearchandsuggestionsforfuturestudy</v>
      </c>
      <c r="H103" s="8"/>
      <c r="I103" s="8"/>
      <c r="J103" s="8" t="s">
        <v>2133</v>
      </c>
      <c r="K103" s="8"/>
      <c r="L103" s="8"/>
      <c r="M103" s="8" t="s">
        <v>2130</v>
      </c>
      <c r="N103" s="8" t="str">
        <f t="shared" si="1"/>
        <v>Leisure Sciences</v>
      </c>
      <c r="O103" s="8" t="s">
        <v>2138</v>
      </c>
      <c r="P103" s="8" t="s">
        <v>2139</v>
      </c>
      <c r="Q103" s="8" t="s">
        <v>69</v>
      </c>
      <c r="R103" s="8"/>
      <c r="S103" s="8">
        <v>39</v>
      </c>
      <c r="T103" s="8">
        <v>6</v>
      </c>
      <c r="U103" s="8">
        <v>524</v>
      </c>
      <c r="V103" s="8">
        <v>542</v>
      </c>
      <c r="W103" s="8">
        <v>19</v>
      </c>
      <c r="X103" s="8"/>
      <c r="Y103" s="8">
        <v>126</v>
      </c>
      <c r="Z103" s="8">
        <v>3</v>
      </c>
      <c r="AA103" s="8">
        <v>3</v>
      </c>
      <c r="AB103" s="8">
        <v>2</v>
      </c>
      <c r="AC103" s="8">
        <v>9</v>
      </c>
      <c r="AD103" s="8" t="s">
        <v>2146</v>
      </c>
      <c r="AE103" s="8" t="s">
        <v>2142</v>
      </c>
      <c r="AF103" s="8" t="s">
        <v>69</v>
      </c>
      <c r="AG103" s="8" t="s">
        <v>701</v>
      </c>
      <c r="AH103" s="8" t="s">
        <v>702</v>
      </c>
      <c r="AI103" s="8" t="s">
        <v>703</v>
      </c>
      <c r="AJ103" s="8" t="s">
        <v>2132</v>
      </c>
      <c r="AK103" s="8" t="s">
        <v>2131</v>
      </c>
      <c r="AL103" s="8"/>
      <c r="AM103" s="8"/>
      <c r="AN103" s="8"/>
      <c r="AO103" s="8"/>
      <c r="AP103" s="8"/>
      <c r="AQ103" s="8"/>
      <c r="AR103" s="8"/>
      <c r="AS103" s="8"/>
      <c r="AT103" s="8"/>
      <c r="AU103" s="8"/>
      <c r="AV103" s="8"/>
      <c r="AW103" s="8"/>
      <c r="AX103" s="8"/>
      <c r="AY103" s="8"/>
      <c r="AZ103" s="8"/>
      <c r="BA103" s="8"/>
      <c r="BB103" s="8"/>
      <c r="BC103" s="8"/>
      <c r="BD103" s="8"/>
      <c r="BE103" s="8"/>
      <c r="BF103" s="8"/>
      <c r="BG103" s="8"/>
      <c r="BH103" s="8"/>
      <c r="BI103" s="8"/>
      <c r="BJ103" s="8"/>
      <c r="BK103" s="8"/>
      <c r="BL103" s="8"/>
      <c r="BM103" s="8"/>
      <c r="BN103" s="8"/>
      <c r="BO103" s="8"/>
      <c r="BP103" s="8"/>
      <c r="BQ103" s="8"/>
      <c r="BR103" s="8"/>
      <c r="BS103" s="8"/>
      <c r="BT103" s="8"/>
      <c r="BU103" s="8"/>
      <c r="BV103" s="8"/>
      <c r="BW103" s="8"/>
      <c r="BX103" s="8"/>
      <c r="BY103" s="8"/>
      <c r="BZ103" s="8"/>
    </row>
    <row r="104" spans="1:78" ht="13" customHeight="1" x14ac:dyDescent="0.15">
      <c r="A104" s="8" t="s">
        <v>6188</v>
      </c>
      <c r="B104" s="8" t="s">
        <v>74</v>
      </c>
      <c r="C104" s="9">
        <v>2017</v>
      </c>
      <c r="D104" s="8" t="s">
        <v>2147</v>
      </c>
      <c r="E104" s="8" t="s">
        <v>2148</v>
      </c>
      <c r="F104" s="8" t="s">
        <v>2149</v>
      </c>
      <c r="G104" s="8" t="str" cm="1">
        <f t="array" ref="G104">LOWER(CleanCode(F104))</f>
        <v>influenceoforganizationalcultureonprovideradherencetothediabeticclinicalpracticeguidelineusingthecompetingvaluesframeworkinpalestinianprimaryhealthcarecenters</v>
      </c>
      <c r="H104" s="8"/>
      <c r="I104" s="8"/>
      <c r="J104" s="8" t="s">
        <v>2153</v>
      </c>
      <c r="K104" s="8"/>
      <c r="L104" s="8"/>
      <c r="M104" s="8" t="s">
        <v>2150</v>
      </c>
      <c r="N104" s="8" t="str">
        <f t="shared" si="1"/>
        <v>International Journal Of General Medicine</v>
      </c>
      <c r="O104" s="8" t="s">
        <v>69</v>
      </c>
      <c r="P104" s="8" t="s">
        <v>2161</v>
      </c>
      <c r="Q104" s="8" t="s">
        <v>69</v>
      </c>
      <c r="R104" s="8"/>
      <c r="S104" s="8">
        <v>10</v>
      </c>
      <c r="T104" s="8" t="s">
        <v>69</v>
      </c>
      <c r="U104" s="8">
        <v>239</v>
      </c>
      <c r="V104" s="8">
        <v>247</v>
      </c>
      <c r="W104" s="8">
        <v>9</v>
      </c>
      <c r="X104" s="8"/>
      <c r="Y104" s="8">
        <v>32</v>
      </c>
      <c r="Z104" s="8">
        <v>5</v>
      </c>
      <c r="AA104" s="8">
        <v>5</v>
      </c>
      <c r="AB104" s="8">
        <v>0</v>
      </c>
      <c r="AC104" s="8">
        <v>4</v>
      </c>
      <c r="AD104" s="8" t="s">
        <v>2166</v>
      </c>
      <c r="AE104" s="8" t="s">
        <v>2164</v>
      </c>
      <c r="AF104" s="8">
        <v>28860840</v>
      </c>
      <c r="AG104" s="8" t="s">
        <v>2158</v>
      </c>
      <c r="AH104" s="8" t="s">
        <v>2159</v>
      </c>
      <c r="AI104" s="8" t="s">
        <v>2160</v>
      </c>
      <c r="AJ104" s="8" t="s">
        <v>2152</v>
      </c>
      <c r="AK104" s="8" t="s">
        <v>2151</v>
      </c>
      <c r="AL104" s="8"/>
      <c r="AM104" s="8"/>
      <c r="AN104" s="8"/>
      <c r="AO104" s="8"/>
      <c r="AP104" s="8"/>
      <c r="AQ104" s="8"/>
      <c r="AR104" s="8"/>
      <c r="AS104" s="8"/>
      <c r="AT104" s="8"/>
      <c r="AU104" s="8"/>
      <c r="AV104" s="8"/>
      <c r="AW104" s="8"/>
      <c r="AX104" s="8"/>
      <c r="AY104" s="8"/>
      <c r="AZ104" s="8"/>
      <c r="BA104" s="8"/>
      <c r="BB104" s="8"/>
      <c r="BC104" s="8"/>
      <c r="BD104" s="8"/>
      <c r="BE104" s="8"/>
      <c r="BF104" s="8"/>
      <c r="BG104" s="8"/>
      <c r="BH104" s="8"/>
      <c r="BI104" s="8"/>
      <c r="BJ104" s="8"/>
      <c r="BK104" s="8"/>
      <c r="BL104" s="8"/>
      <c r="BM104" s="8"/>
      <c r="BN104" s="8"/>
      <c r="BO104" s="8"/>
      <c r="BP104" s="8"/>
      <c r="BQ104" s="8"/>
      <c r="BR104" s="8"/>
      <c r="BS104" s="8"/>
      <c r="BT104" s="8"/>
      <c r="BU104" s="8"/>
      <c r="BV104" s="8"/>
      <c r="BW104" s="8"/>
      <c r="BX104" s="8"/>
      <c r="BY104" s="8"/>
      <c r="BZ104" s="8"/>
    </row>
    <row r="105" spans="1:78" ht="13" customHeight="1" x14ac:dyDescent="0.15">
      <c r="A105" s="8" t="s">
        <v>6188</v>
      </c>
      <c r="B105" s="8" t="s">
        <v>74</v>
      </c>
      <c r="C105" s="9">
        <v>2017</v>
      </c>
      <c r="D105" s="8" t="s">
        <v>2167</v>
      </c>
      <c r="E105" s="8" t="s">
        <v>2168</v>
      </c>
      <c r="F105" s="8" t="s">
        <v>2169</v>
      </c>
      <c r="G105" s="8" t="str" cm="1">
        <f t="array" ref="G105">LOWER(CleanCode(F105))</f>
        <v>acculturationandhelpseekingbehaviorinconsultationasocioculturalframeworkformentalhealthservice</v>
      </c>
      <c r="H105" s="8"/>
      <c r="I105" s="8"/>
      <c r="J105" s="8" t="s">
        <v>2172</v>
      </c>
      <c r="K105" s="8"/>
      <c r="L105" s="8"/>
      <c r="M105" s="8" t="s">
        <v>2170</v>
      </c>
      <c r="N105" s="8" t="str">
        <f t="shared" si="1"/>
        <v>Journal Of Educational And Psychological Consultation</v>
      </c>
      <c r="O105" s="8" t="s">
        <v>2177</v>
      </c>
      <c r="P105" s="8" t="s">
        <v>2178</v>
      </c>
      <c r="Q105" s="8" t="s">
        <v>69</v>
      </c>
      <c r="R105" s="8"/>
      <c r="S105" s="8">
        <v>27</v>
      </c>
      <c r="T105" s="8">
        <v>3</v>
      </c>
      <c r="U105" s="8">
        <v>271</v>
      </c>
      <c r="V105" s="8">
        <v>288</v>
      </c>
      <c r="W105" s="8">
        <v>18</v>
      </c>
      <c r="X105" s="8"/>
      <c r="Y105" s="8">
        <v>65</v>
      </c>
      <c r="Z105" s="8">
        <v>4</v>
      </c>
      <c r="AA105" s="8">
        <v>4</v>
      </c>
      <c r="AB105" s="8">
        <v>0</v>
      </c>
      <c r="AC105" s="8">
        <v>14</v>
      </c>
      <c r="AD105" s="8" t="s">
        <v>2184</v>
      </c>
      <c r="AE105" s="8" t="s">
        <v>2181</v>
      </c>
      <c r="AF105" s="8" t="s">
        <v>69</v>
      </c>
      <c r="AG105" s="8" t="s">
        <v>108</v>
      </c>
      <c r="AH105" s="8" t="s">
        <v>109</v>
      </c>
      <c r="AI105" s="8" t="s">
        <v>110</v>
      </c>
      <c r="AJ105" s="8" t="s">
        <v>2171</v>
      </c>
      <c r="AK105" s="8" t="s">
        <v>69</v>
      </c>
      <c r="AL105" s="8"/>
      <c r="AM105" s="8"/>
      <c r="AN105" s="8"/>
      <c r="AO105" s="8"/>
      <c r="AP105" s="8"/>
      <c r="AQ105" s="8"/>
      <c r="AR105" s="8"/>
      <c r="AS105" s="8"/>
      <c r="AT105" s="8"/>
      <c r="AU105" s="8"/>
      <c r="AV105" s="8"/>
      <c r="AW105" s="8"/>
      <c r="AX105" s="8"/>
      <c r="AY105" s="8"/>
      <c r="AZ105" s="8"/>
      <c r="BA105" s="8"/>
      <c r="BB105" s="8"/>
      <c r="BC105" s="8"/>
      <c r="BD105" s="8"/>
      <c r="BE105" s="8"/>
      <c r="BF105" s="8"/>
      <c r="BG105" s="8"/>
      <c r="BH105" s="8"/>
      <c r="BI105" s="8"/>
      <c r="BJ105" s="8"/>
      <c r="BK105" s="8"/>
      <c r="BL105" s="8"/>
      <c r="BM105" s="8"/>
      <c r="BN105" s="8"/>
      <c r="BO105" s="8"/>
      <c r="BP105" s="8"/>
      <c r="BQ105" s="8"/>
      <c r="BR105" s="8"/>
      <c r="BS105" s="8"/>
      <c r="BT105" s="8"/>
      <c r="BU105" s="8"/>
      <c r="BV105" s="8"/>
      <c r="BW105" s="8"/>
      <c r="BX105" s="8"/>
      <c r="BY105" s="8"/>
      <c r="BZ105" s="8"/>
    </row>
    <row r="106" spans="1:78" ht="13" customHeight="1" x14ac:dyDescent="0.15">
      <c r="A106" s="8" t="s">
        <v>6188</v>
      </c>
      <c r="B106" s="8" t="s">
        <v>74</v>
      </c>
      <c r="C106" s="9">
        <v>2017</v>
      </c>
      <c r="D106" s="8" t="s">
        <v>2185</v>
      </c>
      <c r="E106" s="8" t="s">
        <v>2186</v>
      </c>
      <c r="F106" s="8" t="s">
        <v>2187</v>
      </c>
      <c r="G106" s="8" t="str" cm="1">
        <f t="array" ref="G106">LOWER(CleanCode(F106))</f>
        <v>culturalfusiontheoryanalternativetoacculturation</v>
      </c>
      <c r="H106" s="8"/>
      <c r="I106" s="8"/>
      <c r="J106" s="8" t="s">
        <v>2190</v>
      </c>
      <c r="K106" s="8"/>
      <c r="L106" s="8"/>
      <c r="M106" s="8" t="s">
        <v>99</v>
      </c>
      <c r="N106" s="8" t="str">
        <f t="shared" si="1"/>
        <v>Journal Of International And Intercultural Communication</v>
      </c>
      <c r="O106" s="8" t="s">
        <v>111</v>
      </c>
      <c r="P106" s="8" t="s">
        <v>112</v>
      </c>
      <c r="Q106" s="8" t="s">
        <v>69</v>
      </c>
      <c r="R106" s="8"/>
      <c r="S106" s="8">
        <v>10</v>
      </c>
      <c r="T106" s="8">
        <v>2</v>
      </c>
      <c r="U106" s="8">
        <v>97</v>
      </c>
      <c r="V106" s="8">
        <v>114</v>
      </c>
      <c r="W106" s="8">
        <v>18</v>
      </c>
      <c r="X106" s="8"/>
      <c r="Y106" s="8">
        <v>97</v>
      </c>
      <c r="Z106" s="8">
        <v>18</v>
      </c>
      <c r="AA106" s="8">
        <v>18</v>
      </c>
      <c r="AB106" s="8">
        <v>0</v>
      </c>
      <c r="AC106" s="8">
        <v>13</v>
      </c>
      <c r="AD106" s="8" t="s">
        <v>2198</v>
      </c>
      <c r="AE106" s="8" t="s">
        <v>2196</v>
      </c>
      <c r="AF106" s="8" t="s">
        <v>69</v>
      </c>
      <c r="AG106" s="8" t="s">
        <v>108</v>
      </c>
      <c r="AH106" s="8" t="s">
        <v>109</v>
      </c>
      <c r="AI106" s="8" t="s">
        <v>110</v>
      </c>
      <c r="AJ106" s="8" t="s">
        <v>2189</v>
      </c>
      <c r="AK106" s="8" t="s">
        <v>2188</v>
      </c>
      <c r="AL106" s="8"/>
      <c r="AM106" s="8"/>
      <c r="AN106" s="8"/>
      <c r="AO106" s="8"/>
      <c r="AP106" s="8"/>
      <c r="AQ106" s="8"/>
      <c r="AR106" s="8"/>
      <c r="AS106" s="8"/>
      <c r="AT106" s="8"/>
      <c r="AU106" s="8"/>
      <c r="AV106" s="8"/>
      <c r="AW106" s="8"/>
      <c r="AX106" s="8"/>
      <c r="AY106" s="8"/>
      <c r="AZ106" s="8"/>
      <c r="BA106" s="8"/>
      <c r="BB106" s="8"/>
      <c r="BC106" s="8"/>
      <c r="BD106" s="8"/>
      <c r="BE106" s="8"/>
      <c r="BF106" s="8"/>
      <c r="BG106" s="8"/>
      <c r="BH106" s="8"/>
      <c r="BI106" s="8"/>
      <c r="BJ106" s="8"/>
      <c r="BK106" s="8"/>
      <c r="BL106" s="8"/>
      <c r="BM106" s="8"/>
      <c r="BN106" s="8"/>
      <c r="BO106" s="8"/>
      <c r="BP106" s="8"/>
      <c r="BQ106" s="8"/>
      <c r="BR106" s="8"/>
      <c r="BS106" s="8"/>
      <c r="BT106" s="8"/>
      <c r="BU106" s="8"/>
      <c r="BV106" s="8"/>
      <c r="BW106" s="8"/>
      <c r="BX106" s="8"/>
      <c r="BY106" s="8"/>
      <c r="BZ106" s="8"/>
    </row>
    <row r="107" spans="1:78" ht="13" customHeight="1" x14ac:dyDescent="0.15">
      <c r="A107" s="8" t="s">
        <v>6188</v>
      </c>
      <c r="B107" s="8" t="s">
        <v>74</v>
      </c>
      <c r="C107" s="9">
        <v>2017</v>
      </c>
      <c r="D107" s="8" t="s">
        <v>2199</v>
      </c>
      <c r="E107" s="8" t="s">
        <v>2200</v>
      </c>
      <c r="F107" s="8" t="s">
        <v>2201</v>
      </c>
      <c r="G107" s="8" t="str" cm="1">
        <f t="array" ref="G107">LOWER(CleanCode(F107))</f>
        <v>listeningtoimmokaleemomshowstagesofchangetheoryguidedthediscoveryofhealthyeatingmessagestolatinomothers</v>
      </c>
      <c r="H107" s="8"/>
      <c r="I107" s="8"/>
      <c r="J107" s="8" t="s">
        <v>2205</v>
      </c>
      <c r="K107" s="8"/>
      <c r="L107" s="8"/>
      <c r="M107" s="8" t="s">
        <v>2202</v>
      </c>
      <c r="N107" s="8" t="str">
        <f t="shared" si="1"/>
        <v>International Journal Of Pharmaceutical And Healthcare Marketing</v>
      </c>
      <c r="O107" s="8" t="s">
        <v>2212</v>
      </c>
      <c r="P107" s="8" t="s">
        <v>2213</v>
      </c>
      <c r="Q107" s="8" t="s">
        <v>69</v>
      </c>
      <c r="R107" s="8"/>
      <c r="S107" s="8">
        <v>11</v>
      </c>
      <c r="T107" s="8">
        <v>2</v>
      </c>
      <c r="U107" s="8">
        <v>151</v>
      </c>
      <c r="V107" s="8">
        <v>164</v>
      </c>
      <c r="W107" s="8">
        <v>14</v>
      </c>
      <c r="X107" s="8"/>
      <c r="Y107" s="8">
        <v>36</v>
      </c>
      <c r="Z107" s="8">
        <v>0</v>
      </c>
      <c r="AA107" s="8">
        <v>0</v>
      </c>
      <c r="AB107" s="8">
        <v>1</v>
      </c>
      <c r="AC107" s="8">
        <v>10</v>
      </c>
      <c r="AD107" s="8" t="s">
        <v>2220</v>
      </c>
      <c r="AE107" s="8" t="s">
        <v>2216</v>
      </c>
      <c r="AF107" s="8" t="s">
        <v>69</v>
      </c>
      <c r="AG107" s="8" t="s">
        <v>131</v>
      </c>
      <c r="AH107" s="8" t="s">
        <v>132</v>
      </c>
      <c r="AI107" s="8" t="s">
        <v>133</v>
      </c>
      <c r="AJ107" s="8" t="s">
        <v>2204</v>
      </c>
      <c r="AK107" s="8" t="s">
        <v>2203</v>
      </c>
      <c r="AL107" s="8"/>
      <c r="AM107" s="8"/>
      <c r="AN107" s="8"/>
      <c r="AO107" s="8"/>
      <c r="AP107" s="8"/>
      <c r="AQ107" s="8"/>
      <c r="AR107" s="8"/>
      <c r="AS107" s="8"/>
      <c r="AT107" s="8"/>
      <c r="AU107" s="8"/>
      <c r="AV107" s="8"/>
      <c r="AW107" s="8"/>
      <c r="AX107" s="8"/>
      <c r="AY107" s="8"/>
      <c r="AZ107" s="8"/>
      <c r="BA107" s="8"/>
      <c r="BB107" s="8"/>
      <c r="BC107" s="8"/>
      <c r="BD107" s="8"/>
      <c r="BE107" s="8"/>
      <c r="BF107" s="8"/>
      <c r="BG107" s="8"/>
      <c r="BH107" s="8"/>
      <c r="BI107" s="8"/>
      <c r="BJ107" s="8"/>
      <c r="BK107" s="8"/>
      <c r="BL107" s="8"/>
      <c r="BM107" s="8"/>
      <c r="BN107" s="8"/>
      <c r="BO107" s="8"/>
      <c r="BP107" s="8"/>
      <c r="BQ107" s="8"/>
      <c r="BR107" s="8"/>
      <c r="BS107" s="8"/>
      <c r="BT107" s="8"/>
      <c r="BU107" s="8"/>
      <c r="BV107" s="8"/>
      <c r="BW107" s="8"/>
      <c r="BX107" s="8"/>
      <c r="BY107" s="8"/>
      <c r="BZ107" s="8"/>
    </row>
    <row r="108" spans="1:78" ht="13" customHeight="1" x14ac:dyDescent="0.15">
      <c r="A108" s="8" t="s">
        <v>6188</v>
      </c>
      <c r="B108" s="8" t="s">
        <v>74</v>
      </c>
      <c r="C108" s="9">
        <v>2017</v>
      </c>
      <c r="D108" s="8" t="s">
        <v>2221</v>
      </c>
      <c r="E108" s="8" t="s">
        <v>2222</v>
      </c>
      <c r="F108" s="8" t="s">
        <v>2223</v>
      </c>
      <c r="G108" s="8" t="str" cm="1">
        <f t="array" ref="G108">LOWER(CleanCode(F108))</f>
        <v>revisioningcurriculumintheageoftransnationalmobilitytowardsatransnationalandtransculturalframework</v>
      </c>
      <c r="H108" s="8"/>
      <c r="I108" s="8"/>
      <c r="J108" s="8" t="s">
        <v>2227</v>
      </c>
      <c r="K108" s="8"/>
      <c r="L108" s="8"/>
      <c r="M108" s="8" t="s">
        <v>2224</v>
      </c>
      <c r="N108" s="8" t="str">
        <f t="shared" si="1"/>
        <v>Curriculum Inquiry</v>
      </c>
      <c r="O108" s="8" t="s">
        <v>2234</v>
      </c>
      <c r="P108" s="8" t="s">
        <v>2235</v>
      </c>
      <c r="Q108" s="8" t="s">
        <v>69</v>
      </c>
      <c r="R108" s="8"/>
      <c r="S108" s="8">
        <v>47</v>
      </c>
      <c r="T108" s="8">
        <v>1</v>
      </c>
      <c r="U108" s="8">
        <v>80</v>
      </c>
      <c r="V108" s="8">
        <v>91</v>
      </c>
      <c r="W108" s="8">
        <v>12</v>
      </c>
      <c r="X108" s="8"/>
      <c r="Y108" s="8">
        <v>46</v>
      </c>
      <c r="Z108" s="8">
        <v>2</v>
      </c>
      <c r="AA108" s="8">
        <v>2</v>
      </c>
      <c r="AB108" s="8">
        <v>1</v>
      </c>
      <c r="AC108" s="8">
        <v>9</v>
      </c>
      <c r="AD108" s="8" t="s">
        <v>2240</v>
      </c>
      <c r="AE108" s="8" t="s">
        <v>2238</v>
      </c>
      <c r="AF108" s="8" t="s">
        <v>69</v>
      </c>
      <c r="AG108" s="8" t="s">
        <v>2232</v>
      </c>
      <c r="AH108" s="8" t="s">
        <v>109</v>
      </c>
      <c r="AI108" s="8" t="s">
        <v>2233</v>
      </c>
      <c r="AJ108" s="8" t="s">
        <v>2226</v>
      </c>
      <c r="AK108" s="8" t="s">
        <v>2225</v>
      </c>
      <c r="AL108" s="8"/>
      <c r="AM108" s="8"/>
      <c r="AN108" s="8"/>
      <c r="AO108" s="8"/>
      <c r="AP108" s="8"/>
      <c r="AQ108" s="8"/>
      <c r="AR108" s="8"/>
      <c r="AS108" s="8"/>
      <c r="AT108" s="8"/>
      <c r="AU108" s="8"/>
      <c r="AV108" s="8"/>
      <c r="AW108" s="8"/>
      <c r="AX108" s="8"/>
      <c r="AY108" s="8"/>
      <c r="AZ108" s="8"/>
      <c r="BA108" s="8"/>
      <c r="BB108" s="8"/>
      <c r="BC108" s="8"/>
      <c r="BD108" s="8"/>
      <c r="BE108" s="8"/>
      <c r="BF108" s="8"/>
      <c r="BG108" s="8"/>
      <c r="BH108" s="8"/>
      <c r="BI108" s="8"/>
      <c r="BJ108" s="8"/>
      <c r="BK108" s="8"/>
      <c r="BL108" s="8"/>
      <c r="BM108" s="8"/>
      <c r="BN108" s="8"/>
      <c r="BO108" s="8"/>
      <c r="BP108" s="8"/>
      <c r="BQ108" s="8"/>
      <c r="BR108" s="8"/>
      <c r="BS108" s="8"/>
      <c r="BT108" s="8"/>
      <c r="BU108" s="8"/>
      <c r="BV108" s="8"/>
      <c r="BW108" s="8"/>
      <c r="BX108" s="8"/>
      <c r="BY108" s="8"/>
      <c r="BZ108" s="8"/>
    </row>
    <row r="109" spans="1:78" ht="13" customHeight="1" x14ac:dyDescent="0.15">
      <c r="A109" s="8" t="s">
        <v>6188</v>
      </c>
      <c r="B109" s="8" t="s">
        <v>2244</v>
      </c>
      <c r="C109" s="9">
        <v>2017</v>
      </c>
      <c r="D109" s="8" t="s">
        <v>2241</v>
      </c>
      <c r="E109" s="8" t="s">
        <v>2242</v>
      </c>
      <c r="F109" s="8" t="s">
        <v>2243</v>
      </c>
      <c r="G109" s="8" t="str" cm="1">
        <f t="array" ref="G109">LOWER(CleanCode(F109))</f>
        <v>acculturationandsocioculturalfactorsinchildrensmentalhealthservicesapplyingmulticulturalconsultationframeworks</v>
      </c>
      <c r="H109" s="8"/>
      <c r="I109" s="8"/>
      <c r="J109" s="8" t="s">
        <v>69</v>
      </c>
      <c r="K109" s="8"/>
      <c r="L109" s="8"/>
      <c r="M109" s="8" t="s">
        <v>2170</v>
      </c>
      <c r="N109" s="8" t="str">
        <f t="shared" si="1"/>
        <v>Journal Of Educational And Psychological Consultation</v>
      </c>
      <c r="O109" s="8" t="s">
        <v>2177</v>
      </c>
      <c r="P109" s="8" t="s">
        <v>2178</v>
      </c>
      <c r="Q109" s="8" t="s">
        <v>69</v>
      </c>
      <c r="R109" s="8"/>
      <c r="S109" s="8">
        <v>27</v>
      </c>
      <c r="T109" s="8">
        <v>3</v>
      </c>
      <c r="U109" s="8">
        <v>239</v>
      </c>
      <c r="V109" s="8">
        <v>244</v>
      </c>
      <c r="W109" s="8">
        <v>6</v>
      </c>
      <c r="X109" s="8"/>
      <c r="Y109" s="8">
        <v>26</v>
      </c>
      <c r="Z109" s="8">
        <v>3</v>
      </c>
      <c r="AA109" s="8">
        <v>3</v>
      </c>
      <c r="AB109" s="8">
        <v>0</v>
      </c>
      <c r="AC109" s="8">
        <v>4</v>
      </c>
      <c r="AD109" s="8" t="s">
        <v>2250</v>
      </c>
      <c r="AE109" s="8" t="s">
        <v>2249</v>
      </c>
      <c r="AF109" s="8" t="s">
        <v>69</v>
      </c>
      <c r="AG109" s="8" t="s">
        <v>108</v>
      </c>
      <c r="AH109" s="8" t="s">
        <v>109</v>
      </c>
      <c r="AI109" s="8" t="s">
        <v>110</v>
      </c>
      <c r="AJ109" s="8" t="s">
        <v>2245</v>
      </c>
      <c r="AK109" s="8" t="s">
        <v>69</v>
      </c>
      <c r="AL109" s="8"/>
      <c r="AM109" s="8"/>
      <c r="AN109" s="8"/>
      <c r="AO109" s="8"/>
      <c r="AP109" s="8"/>
      <c r="AQ109" s="8"/>
      <c r="AR109" s="8"/>
      <c r="AS109" s="8"/>
      <c r="AT109" s="8"/>
      <c r="AU109" s="8"/>
      <c r="AV109" s="8"/>
      <c r="AW109" s="8"/>
      <c r="AX109" s="8"/>
      <c r="AY109" s="8"/>
      <c r="AZ109" s="8"/>
      <c r="BA109" s="8"/>
      <c r="BB109" s="8"/>
      <c r="BC109" s="8"/>
      <c r="BD109" s="8"/>
      <c r="BE109" s="8"/>
      <c r="BF109" s="8"/>
      <c r="BG109" s="8"/>
      <c r="BH109" s="8"/>
      <c r="BI109" s="8"/>
      <c r="BJ109" s="8"/>
      <c r="BK109" s="8"/>
      <c r="BL109" s="8"/>
      <c r="BM109" s="8"/>
      <c r="BN109" s="8"/>
      <c r="BO109" s="8"/>
      <c r="BP109" s="8"/>
      <c r="BQ109" s="8"/>
      <c r="BR109" s="8"/>
      <c r="BS109" s="8"/>
      <c r="BT109" s="8"/>
      <c r="BU109" s="8"/>
      <c r="BV109" s="8"/>
      <c r="BW109" s="8"/>
      <c r="BX109" s="8"/>
      <c r="BY109" s="8"/>
      <c r="BZ109" s="8"/>
    </row>
    <row r="110" spans="1:78" ht="13" customHeight="1" x14ac:dyDescent="0.15">
      <c r="A110" s="8" t="s">
        <v>6188</v>
      </c>
      <c r="B110" s="8" t="s">
        <v>74</v>
      </c>
      <c r="C110" s="9">
        <v>2016</v>
      </c>
      <c r="D110" s="8" t="s">
        <v>2251</v>
      </c>
      <c r="E110" s="8" t="s">
        <v>2252</v>
      </c>
      <c r="F110" s="8" t="s">
        <v>2253</v>
      </c>
      <c r="G110" s="8" t="str" cm="1">
        <f t="array" ref="G110">LOWER(CleanCode(F110))</f>
        <v>alcoholuseamongrecentimmigrantlatinoayouthacculturationgenderandthetheoryofreasonedaction</v>
      </c>
      <c r="H110" s="8"/>
      <c r="I110" s="8"/>
      <c r="J110" s="8" t="s">
        <v>2257</v>
      </c>
      <c r="K110" s="8"/>
      <c r="L110" s="8"/>
      <c r="M110" s="8" t="s">
        <v>2254</v>
      </c>
      <c r="N110" s="8" t="str">
        <f t="shared" si="1"/>
        <v>Ethnicity &amp; Health</v>
      </c>
      <c r="O110" s="8" t="s">
        <v>2264</v>
      </c>
      <c r="P110" s="8" t="s">
        <v>2265</v>
      </c>
      <c r="Q110" s="8" t="s">
        <v>69</v>
      </c>
      <c r="R110" s="8"/>
      <c r="S110" s="8">
        <v>21</v>
      </c>
      <c r="T110" s="8">
        <v>6</v>
      </c>
      <c r="U110" s="8">
        <v>609</v>
      </c>
      <c r="V110" s="8">
        <v>627</v>
      </c>
      <c r="W110" s="8">
        <v>19</v>
      </c>
      <c r="X110" s="8"/>
      <c r="Y110" s="8">
        <v>48</v>
      </c>
      <c r="Z110" s="8">
        <v>7</v>
      </c>
      <c r="AA110" s="8">
        <v>7</v>
      </c>
      <c r="AB110" s="8">
        <v>0</v>
      </c>
      <c r="AC110" s="8">
        <v>48</v>
      </c>
      <c r="AD110" s="8" t="s">
        <v>2271</v>
      </c>
      <c r="AE110" s="8" t="s">
        <v>2268</v>
      </c>
      <c r="AF110" s="8">
        <v>27220730</v>
      </c>
      <c r="AG110" s="8" t="s">
        <v>108</v>
      </c>
      <c r="AH110" s="8" t="s">
        <v>109</v>
      </c>
      <c r="AI110" s="8" t="s">
        <v>110</v>
      </c>
      <c r="AJ110" s="8" t="s">
        <v>2256</v>
      </c>
      <c r="AK110" s="8" t="s">
        <v>2255</v>
      </c>
      <c r="AL110" s="8"/>
      <c r="AM110" s="8"/>
      <c r="AN110" s="8"/>
      <c r="AO110" s="8"/>
      <c r="AP110" s="8"/>
      <c r="AQ110" s="8"/>
      <c r="AR110" s="8"/>
      <c r="AS110" s="8"/>
      <c r="AT110" s="8"/>
      <c r="AU110" s="8"/>
      <c r="AV110" s="8"/>
      <c r="AW110" s="8"/>
      <c r="AX110" s="8"/>
      <c r="AY110" s="8"/>
      <c r="AZ110" s="8"/>
      <c r="BA110" s="8"/>
      <c r="BB110" s="8"/>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row>
    <row r="111" spans="1:78" ht="13" customHeight="1" x14ac:dyDescent="0.15">
      <c r="A111" s="8" t="s">
        <v>6188</v>
      </c>
      <c r="B111" s="8" t="s">
        <v>74</v>
      </c>
      <c r="C111" s="9">
        <v>2016</v>
      </c>
      <c r="D111" s="8" t="s">
        <v>2272</v>
      </c>
      <c r="E111" s="8" t="s">
        <v>2273</v>
      </c>
      <c r="F111" s="8" t="s">
        <v>2274</v>
      </c>
      <c r="G111" s="8" t="str" cm="1">
        <f t="array" ref="G111">LOWER(CleanCode(F111))</f>
        <v>migrationsandoralhealthintheframeworkofglobalhealthreflectionsfromtheuniversityperspective</v>
      </c>
      <c r="H111" s="8"/>
      <c r="I111" s="8"/>
      <c r="J111" s="8" t="s">
        <v>2278</v>
      </c>
      <c r="K111" s="8"/>
      <c r="L111" s="8"/>
      <c r="M111" s="8" t="s">
        <v>2275</v>
      </c>
      <c r="N111" s="8" t="str">
        <f t="shared" si="1"/>
        <v>Revista De Salud Publica-Cordoba</v>
      </c>
      <c r="O111" s="8" t="s">
        <v>2284</v>
      </c>
      <c r="P111" s="8" t="s">
        <v>2285</v>
      </c>
      <c r="Q111" s="8" t="s">
        <v>69</v>
      </c>
      <c r="R111" s="8"/>
      <c r="S111" s="8">
        <v>20</v>
      </c>
      <c r="T111" s="8">
        <v>3</v>
      </c>
      <c r="U111" s="8">
        <v>18</v>
      </c>
      <c r="V111" s="8">
        <v>31</v>
      </c>
      <c r="W111" s="8">
        <v>14</v>
      </c>
      <c r="X111" s="8"/>
      <c r="Y111" s="8">
        <v>69</v>
      </c>
      <c r="Z111" s="8">
        <v>0</v>
      </c>
      <c r="AA111" s="8">
        <v>0</v>
      </c>
      <c r="AB111" s="8">
        <v>0</v>
      </c>
      <c r="AC111" s="8">
        <v>5</v>
      </c>
      <c r="AD111" s="8" t="s">
        <v>2289</v>
      </c>
      <c r="AE111" s="8" t="s">
        <v>69</v>
      </c>
      <c r="AF111" s="8" t="s">
        <v>69</v>
      </c>
      <c r="AG111" s="8" t="s">
        <v>2281</v>
      </c>
      <c r="AH111" s="8" t="s">
        <v>2282</v>
      </c>
      <c r="AI111" s="8" t="s">
        <v>2283</v>
      </c>
      <c r="AJ111" s="8" t="s">
        <v>2277</v>
      </c>
      <c r="AK111" s="8" t="s">
        <v>2276</v>
      </c>
      <c r="AL111" s="8"/>
      <c r="AM111" s="8"/>
      <c r="AN111" s="8"/>
      <c r="AO111" s="8"/>
      <c r="AP111" s="8"/>
      <c r="AQ111" s="8"/>
      <c r="AR111" s="8"/>
      <c r="AS111" s="8"/>
      <c r="AT111" s="8"/>
      <c r="AU111" s="8"/>
      <c r="AV111" s="8"/>
      <c r="AW111" s="8"/>
      <c r="AX111" s="8"/>
      <c r="AY111" s="8"/>
      <c r="AZ111" s="8"/>
      <c r="BA111" s="8"/>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row>
    <row r="112" spans="1:78" ht="13" customHeight="1" x14ac:dyDescent="0.15">
      <c r="A112" s="8" t="s">
        <v>6188</v>
      </c>
      <c r="B112" s="8" t="s">
        <v>74</v>
      </c>
      <c r="C112" s="9">
        <v>2016</v>
      </c>
      <c r="D112" s="8" t="s">
        <v>2290</v>
      </c>
      <c r="E112" s="8" t="s">
        <v>2291</v>
      </c>
      <c r="F112" s="8" t="s">
        <v>2292</v>
      </c>
      <c r="G112" s="8" t="str" cm="1">
        <f t="array" ref="G112">LOWER(CleanCode(F112))</f>
        <v>immigrantinclusioninthesafetynetaframeworkforanalysisandeffectsoneducationalattainment</v>
      </c>
      <c r="H112" s="8"/>
      <c r="I112" s="8"/>
      <c r="J112" s="8" t="s">
        <v>2296</v>
      </c>
      <c r="K112" s="8"/>
      <c r="L112" s="8"/>
      <c r="M112" s="8" t="s">
        <v>2293</v>
      </c>
      <c r="N112" s="8" t="str">
        <f t="shared" si="1"/>
        <v>Policy Studies Journal</v>
      </c>
      <c r="O112" s="8" t="s">
        <v>2299</v>
      </c>
      <c r="P112" s="8" t="s">
        <v>2300</v>
      </c>
      <c r="Q112" s="8" t="s">
        <v>69</v>
      </c>
      <c r="R112" s="8"/>
      <c r="S112" s="8">
        <v>44</v>
      </c>
      <c r="T112" s="8">
        <v>4</v>
      </c>
      <c r="U112" s="8">
        <v>424</v>
      </c>
      <c r="V112" s="8">
        <v>448</v>
      </c>
      <c r="W112" s="8">
        <v>25</v>
      </c>
      <c r="X112" s="8"/>
      <c r="Y112" s="8">
        <v>68</v>
      </c>
      <c r="Z112" s="8">
        <v>12</v>
      </c>
      <c r="AA112" s="8">
        <v>12</v>
      </c>
      <c r="AB112" s="8">
        <v>0</v>
      </c>
      <c r="AC112" s="8">
        <v>16</v>
      </c>
      <c r="AD112" s="8" t="s">
        <v>2307</v>
      </c>
      <c r="AE112" s="8" t="s">
        <v>2303</v>
      </c>
      <c r="AF112" s="8" t="s">
        <v>69</v>
      </c>
      <c r="AG112" s="8" t="s">
        <v>223</v>
      </c>
      <c r="AH112" s="8" t="s">
        <v>224</v>
      </c>
      <c r="AI112" s="8" t="s">
        <v>225</v>
      </c>
      <c r="AJ112" s="8" t="s">
        <v>2295</v>
      </c>
      <c r="AK112" s="8" t="s">
        <v>2294</v>
      </c>
      <c r="AL112" s="8"/>
      <c r="AM112" s="8"/>
      <c r="AN112" s="8"/>
      <c r="AO112" s="8"/>
      <c r="AP112" s="8"/>
      <c r="AQ112" s="8"/>
      <c r="AR112" s="8"/>
      <c r="AS112" s="8"/>
      <c r="AT112" s="8"/>
      <c r="AU112" s="8"/>
      <c r="AV112" s="8"/>
      <c r="AW112" s="8"/>
      <c r="AX112" s="8"/>
      <c r="AY112" s="8"/>
      <c r="AZ112" s="8"/>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row>
    <row r="113" spans="1:78" ht="13" customHeight="1" x14ac:dyDescent="0.15">
      <c r="A113" s="8" t="s">
        <v>6188</v>
      </c>
      <c r="B113" s="8" t="s">
        <v>318</v>
      </c>
      <c r="C113" s="9">
        <v>2016</v>
      </c>
      <c r="D113" s="8" t="s">
        <v>2308</v>
      </c>
      <c r="E113" s="8" t="s">
        <v>2309</v>
      </c>
      <c r="F113" s="8" t="s">
        <v>2310</v>
      </c>
      <c r="G113" s="8" t="str" cm="1">
        <f t="array" ref="G113">LOWER(CleanCode(F113))</f>
        <v>acculturationinpreventivehealthforimmigrantsasystematicreviewoninfluenzavaccinationprogramsinasocioecologicalframework</v>
      </c>
      <c r="H113" s="8"/>
      <c r="I113" s="8"/>
      <c r="J113" s="8" t="s">
        <v>2314</v>
      </c>
      <c r="K113" s="8"/>
      <c r="L113" s="8"/>
      <c r="M113" s="8" t="s">
        <v>2311</v>
      </c>
      <c r="N113" s="8" t="str">
        <f t="shared" si="1"/>
        <v>Canadian Psychology-Psychologie Canadienne</v>
      </c>
      <c r="O113" s="8" t="s">
        <v>2321</v>
      </c>
      <c r="P113" s="8" t="s">
        <v>2322</v>
      </c>
      <c r="Q113" s="8" t="s">
        <v>69</v>
      </c>
      <c r="R113" s="8"/>
      <c r="S113" s="8">
        <v>57</v>
      </c>
      <c r="T113" s="8">
        <v>4</v>
      </c>
      <c r="U113" s="8">
        <v>340</v>
      </c>
      <c r="V113" s="8">
        <v>355</v>
      </c>
      <c r="W113" s="8">
        <v>16</v>
      </c>
      <c r="X113" s="8"/>
      <c r="Y113" s="8">
        <v>68</v>
      </c>
      <c r="Z113" s="8">
        <v>10</v>
      </c>
      <c r="AA113" s="8">
        <v>10</v>
      </c>
      <c r="AB113" s="8">
        <v>1</v>
      </c>
      <c r="AC113" s="8">
        <v>16</v>
      </c>
      <c r="AD113" s="8" t="s">
        <v>2327</v>
      </c>
      <c r="AE113" s="8" t="s">
        <v>2325</v>
      </c>
      <c r="AF113" s="8" t="s">
        <v>69</v>
      </c>
      <c r="AG113" s="8" t="s">
        <v>2319</v>
      </c>
      <c r="AH113" s="8" t="s">
        <v>1142</v>
      </c>
      <c r="AI113" s="8" t="s">
        <v>2320</v>
      </c>
      <c r="AJ113" s="8" t="s">
        <v>2313</v>
      </c>
      <c r="AK113" s="8" t="s">
        <v>2312</v>
      </c>
      <c r="AL113" s="8"/>
      <c r="AM113" s="8"/>
      <c r="AN113" s="8"/>
      <c r="AO113" s="8"/>
      <c r="AP113" s="8"/>
      <c r="AQ113" s="8"/>
      <c r="AR113" s="8"/>
      <c r="AS113" s="8"/>
      <c r="AT113" s="8"/>
      <c r="AU113" s="8"/>
      <c r="AV113" s="8"/>
      <c r="AW113" s="8"/>
      <c r="AX113" s="8"/>
      <c r="AY113" s="8"/>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row>
    <row r="114" spans="1:78" ht="13" customHeight="1" x14ac:dyDescent="0.15">
      <c r="A114" s="8" t="s">
        <v>6188</v>
      </c>
      <c r="B114" s="8" t="s">
        <v>74</v>
      </c>
      <c r="C114" s="9">
        <v>2016</v>
      </c>
      <c r="D114" s="8" t="s">
        <v>2328</v>
      </c>
      <c r="E114" s="8" t="s">
        <v>2329</v>
      </c>
      <c r="F114" s="8" t="s">
        <v>2330</v>
      </c>
      <c r="G114" s="8" t="str" cm="1">
        <f t="array" ref="G114">LOWER(CleanCode(F114))</f>
        <v>strangersnomoredebunkingmajortheoreticalassumptions</v>
      </c>
      <c r="H114" s="8"/>
      <c r="I114" s="8"/>
      <c r="J114" s="8" t="s">
        <v>2332</v>
      </c>
      <c r="K114" s="8"/>
      <c r="L114" s="8"/>
      <c r="M114" s="8" t="s">
        <v>197</v>
      </c>
      <c r="N114" s="8" t="str">
        <f t="shared" si="1"/>
        <v>Ethnic And Racial Studies</v>
      </c>
      <c r="O114" s="8" t="s">
        <v>205</v>
      </c>
      <c r="P114" s="8" t="s">
        <v>206</v>
      </c>
      <c r="Q114" s="8" t="s">
        <v>69</v>
      </c>
      <c r="R114" s="8"/>
      <c r="S114" s="8">
        <v>39</v>
      </c>
      <c r="T114" s="8">
        <v>13</v>
      </c>
      <c r="U114" s="8">
        <v>2325</v>
      </c>
      <c r="V114" s="8">
        <v>2331</v>
      </c>
      <c r="W114" s="8">
        <v>7</v>
      </c>
      <c r="X114" s="8"/>
      <c r="Y114" s="8">
        <v>9</v>
      </c>
      <c r="Z114" s="8">
        <v>3</v>
      </c>
      <c r="AA114" s="8">
        <v>3</v>
      </c>
      <c r="AB114" s="8">
        <v>0</v>
      </c>
      <c r="AC114" s="8">
        <v>6</v>
      </c>
      <c r="AD114" s="8" t="s">
        <v>2339</v>
      </c>
      <c r="AE114" s="8" t="s">
        <v>2337</v>
      </c>
      <c r="AF114" s="8" t="s">
        <v>69</v>
      </c>
      <c r="AG114" s="8" t="s">
        <v>108</v>
      </c>
      <c r="AH114" s="8" t="s">
        <v>109</v>
      </c>
      <c r="AI114" s="8" t="s">
        <v>110</v>
      </c>
      <c r="AJ114" s="8" t="s">
        <v>69</v>
      </c>
      <c r="AK114" s="8" t="s">
        <v>2331</v>
      </c>
      <c r="AL114" s="8"/>
      <c r="AM114" s="8"/>
      <c r="AN114" s="8"/>
      <c r="AO114" s="8"/>
      <c r="AP114" s="8"/>
      <c r="AQ114" s="8"/>
      <c r="AR114" s="8"/>
      <c r="AS114" s="8"/>
      <c r="AT114" s="8"/>
      <c r="AU114" s="8"/>
      <c r="AV114" s="8"/>
      <c r="AW114" s="8"/>
      <c r="AX114" s="8"/>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row>
    <row r="115" spans="1:78" ht="13" customHeight="1" x14ac:dyDescent="0.15">
      <c r="A115" s="8" t="s">
        <v>6188</v>
      </c>
      <c r="B115" s="8" t="s">
        <v>74</v>
      </c>
      <c r="C115" s="9">
        <v>2016</v>
      </c>
      <c r="D115" s="8" t="s">
        <v>2340</v>
      </c>
      <c r="E115" s="8" t="s">
        <v>2341</v>
      </c>
      <c r="F115" s="8" t="s">
        <v>2342</v>
      </c>
      <c r="G115" s="8" t="str" cm="1">
        <f t="array" ref="G115">LOWER(CleanCode(F115))</f>
        <v>acculturationcontextstheorizingontheroleofinterculturalhierarchyincontemporaryimmigrantsacculturationstrategies</v>
      </c>
      <c r="H115" s="8"/>
      <c r="I115" s="8"/>
      <c r="J115" s="8" t="s">
        <v>2345</v>
      </c>
      <c r="K115" s="8"/>
      <c r="L115" s="8"/>
      <c r="M115" s="8" t="s">
        <v>1240</v>
      </c>
      <c r="N115" s="8" t="str">
        <f t="shared" si="1"/>
        <v>Migration Letters</v>
      </c>
      <c r="O115" s="8" t="s">
        <v>1253</v>
      </c>
      <c r="P115" s="8" t="s">
        <v>1254</v>
      </c>
      <c r="Q115" s="8" t="s">
        <v>69</v>
      </c>
      <c r="R115" s="8"/>
      <c r="S115" s="8">
        <v>13</v>
      </c>
      <c r="T115" s="8">
        <v>3</v>
      </c>
      <c r="U115" s="8">
        <v>333</v>
      </c>
      <c r="V115" s="8">
        <v>349</v>
      </c>
      <c r="W115" s="8">
        <v>17</v>
      </c>
      <c r="X115" s="8"/>
      <c r="Y115" s="8">
        <v>81</v>
      </c>
      <c r="Z115" s="8">
        <v>5</v>
      </c>
      <c r="AA115" s="8">
        <v>5</v>
      </c>
      <c r="AB115" s="8">
        <v>1</v>
      </c>
      <c r="AC115" s="8">
        <v>4</v>
      </c>
      <c r="AD115" s="8" t="s">
        <v>2350</v>
      </c>
      <c r="AE115" s="8" t="s">
        <v>69</v>
      </c>
      <c r="AF115" s="8" t="s">
        <v>69</v>
      </c>
      <c r="AG115" s="8" t="s">
        <v>1251</v>
      </c>
      <c r="AH115" s="8" t="s">
        <v>156</v>
      </c>
      <c r="AI115" s="8" t="s">
        <v>1252</v>
      </c>
      <c r="AJ115" s="8" t="s">
        <v>2344</v>
      </c>
      <c r="AK115" s="8" t="s">
        <v>2343</v>
      </c>
      <c r="AL115" s="8"/>
      <c r="AM115" s="8"/>
      <c r="AN115" s="8"/>
      <c r="AO115" s="8"/>
      <c r="AP115" s="8"/>
      <c r="AQ115" s="8"/>
      <c r="AR115" s="8"/>
      <c r="AS115" s="8"/>
      <c r="AT115" s="8"/>
      <c r="AU115" s="8"/>
      <c r="AV115" s="8"/>
      <c r="AW115" s="8"/>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row>
    <row r="116" spans="1:78" ht="13" customHeight="1" x14ac:dyDescent="0.15">
      <c r="A116" s="8" t="s">
        <v>6188</v>
      </c>
      <c r="B116" s="8" t="s">
        <v>74</v>
      </c>
      <c r="C116" s="9">
        <v>2016</v>
      </c>
      <c r="D116" s="8" t="s">
        <v>2351</v>
      </c>
      <c r="E116" s="8" t="s">
        <v>2352</v>
      </c>
      <c r="F116" s="8" t="s">
        <v>2353</v>
      </c>
      <c r="G116" s="8" t="str" cm="1">
        <f t="array" ref="G116">LOWER(CleanCode(F116))</f>
        <v>frameworksforchildhoodptsdtreatmentinconflictaffectedsettings</v>
      </c>
      <c r="H116" s="8"/>
      <c r="I116" s="8"/>
      <c r="J116" s="8" t="s">
        <v>2357</v>
      </c>
      <c r="K116" s="8"/>
      <c r="L116" s="8"/>
      <c r="M116" s="8" t="s">
        <v>2354</v>
      </c>
      <c r="N116" s="8" t="str">
        <f t="shared" si="1"/>
        <v>Peace And Conflict-Journal Of Peace Psychology</v>
      </c>
      <c r="O116" s="8" t="s">
        <v>2361</v>
      </c>
      <c r="P116" s="8" t="s">
        <v>2362</v>
      </c>
      <c r="Q116" s="8" t="s">
        <v>69</v>
      </c>
      <c r="R116" s="8"/>
      <c r="S116" s="8">
        <v>22</v>
      </c>
      <c r="T116" s="8">
        <v>3</v>
      </c>
      <c r="U116" s="8">
        <v>262</v>
      </c>
      <c r="V116" s="8">
        <v>271</v>
      </c>
      <c r="W116" s="8">
        <v>10</v>
      </c>
      <c r="X116" s="8"/>
      <c r="Y116" s="8">
        <v>104</v>
      </c>
      <c r="Z116" s="8">
        <v>4</v>
      </c>
      <c r="AA116" s="8">
        <v>4</v>
      </c>
      <c r="AB116" s="8">
        <v>1</v>
      </c>
      <c r="AC116" s="8">
        <v>5</v>
      </c>
      <c r="AD116" s="8" t="s">
        <v>2367</v>
      </c>
      <c r="AE116" s="8" t="s">
        <v>2365</v>
      </c>
      <c r="AF116" s="8" t="s">
        <v>69</v>
      </c>
      <c r="AG116" s="8" t="s">
        <v>1183</v>
      </c>
      <c r="AH116" s="8" t="s">
        <v>1184</v>
      </c>
      <c r="AI116" s="8" t="s">
        <v>1185</v>
      </c>
      <c r="AJ116" s="8" t="s">
        <v>2356</v>
      </c>
      <c r="AK116" s="8" t="s">
        <v>2355</v>
      </c>
      <c r="AL116" s="8"/>
      <c r="AM116" s="8"/>
      <c r="AN116" s="8"/>
      <c r="AO116" s="8"/>
      <c r="AP116" s="8"/>
      <c r="AQ116" s="8"/>
      <c r="AR116" s="8"/>
      <c r="AS116" s="8"/>
      <c r="AT116" s="8"/>
      <c r="AU116" s="8"/>
      <c r="AV116" s="8"/>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row>
    <row r="117" spans="1:78" ht="13" customHeight="1" x14ac:dyDescent="0.15">
      <c r="A117" s="8" t="s">
        <v>6188</v>
      </c>
      <c r="B117" s="8" t="s">
        <v>74</v>
      </c>
      <c r="C117" s="9">
        <v>2016</v>
      </c>
      <c r="D117" s="8" t="s">
        <v>2368</v>
      </c>
      <c r="E117" s="8" t="s">
        <v>2369</v>
      </c>
      <c r="F117" s="8" t="s">
        <v>2370</v>
      </c>
      <c r="G117" s="8" t="str" cm="1">
        <f t="array" ref="G117">LOWER(CleanCode(F117))</f>
        <v>towardbuildingaconceptualframeworkonintermarriage</v>
      </c>
      <c r="H117" s="8"/>
      <c r="I117" s="8"/>
      <c r="J117" s="8" t="s">
        <v>2374</v>
      </c>
      <c r="K117" s="8"/>
      <c r="L117" s="8"/>
      <c r="M117" s="8" t="s">
        <v>2371</v>
      </c>
      <c r="N117" s="8" t="str">
        <f t="shared" si="1"/>
        <v>Ethnicities</v>
      </c>
      <c r="O117" s="8" t="s">
        <v>2380</v>
      </c>
      <c r="P117" s="8" t="s">
        <v>2381</v>
      </c>
      <c r="Q117" s="8" t="s">
        <v>69</v>
      </c>
      <c r="R117" s="8"/>
      <c r="S117" s="8">
        <v>16</v>
      </c>
      <c r="T117" s="8">
        <v>4</v>
      </c>
      <c r="U117" s="8">
        <v>497</v>
      </c>
      <c r="V117" s="8">
        <v>520</v>
      </c>
      <c r="W117" s="8">
        <v>24</v>
      </c>
      <c r="X117" s="8"/>
      <c r="Y117" s="8">
        <v>109</v>
      </c>
      <c r="Z117" s="8">
        <v>13</v>
      </c>
      <c r="AA117" s="8">
        <v>13</v>
      </c>
      <c r="AB117" s="8">
        <v>5</v>
      </c>
      <c r="AC117" s="8">
        <v>40</v>
      </c>
      <c r="AD117" s="8" t="s">
        <v>2385</v>
      </c>
      <c r="AE117" s="8" t="s">
        <v>2383</v>
      </c>
      <c r="AF117" s="8" t="s">
        <v>69</v>
      </c>
      <c r="AG117" s="8" t="s">
        <v>155</v>
      </c>
      <c r="AH117" s="8" t="s">
        <v>156</v>
      </c>
      <c r="AI117" s="8" t="s">
        <v>157</v>
      </c>
      <c r="AJ117" s="8" t="s">
        <v>2373</v>
      </c>
      <c r="AK117" s="8" t="s">
        <v>2372</v>
      </c>
      <c r="AL117" s="8"/>
      <c r="AM117" s="8"/>
      <c r="AN117" s="8"/>
      <c r="AO117" s="8"/>
      <c r="AP117" s="8"/>
      <c r="AQ117" s="8"/>
      <c r="AR117" s="8"/>
      <c r="AS117" s="8"/>
      <c r="AT117" s="8"/>
      <c r="AU117" s="8"/>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row>
    <row r="118" spans="1:78" ht="13" customHeight="1" x14ac:dyDescent="0.15">
      <c r="A118" s="8" t="s">
        <v>6188</v>
      </c>
      <c r="B118" s="8" t="s">
        <v>74</v>
      </c>
      <c r="C118" s="9">
        <v>2016</v>
      </c>
      <c r="D118" s="8" t="s">
        <v>2386</v>
      </c>
      <c r="E118" s="8" t="s">
        <v>2387</v>
      </c>
      <c r="F118" s="8" t="s">
        <v>2388</v>
      </c>
      <c r="G118" s="8" t="str" cm="1">
        <f t="array" ref="G118">LOWER(CleanCode(F118))</f>
        <v>furtherdevelopmentofintegratedthreattheoryandintergroupcontactareplytoaberson2015</v>
      </c>
      <c r="H118" s="8"/>
      <c r="I118" s="8"/>
      <c r="J118" s="8" t="s">
        <v>2391</v>
      </c>
      <c r="K118" s="8"/>
      <c r="L118" s="8"/>
      <c r="M118" s="8" t="s">
        <v>1669</v>
      </c>
      <c r="N118" s="8" t="str">
        <f t="shared" si="1"/>
        <v>Communication Monographs</v>
      </c>
      <c r="O118" s="8" t="s">
        <v>1678</v>
      </c>
      <c r="P118" s="8" t="s">
        <v>1679</v>
      </c>
      <c r="Q118" s="8" t="s">
        <v>69</v>
      </c>
      <c r="R118" s="8"/>
      <c r="S118" s="8">
        <v>83</v>
      </c>
      <c r="T118" s="8">
        <v>2</v>
      </c>
      <c r="U118" s="8">
        <v>269</v>
      </c>
      <c r="V118" s="8">
        <v>275</v>
      </c>
      <c r="W118" s="8">
        <v>7</v>
      </c>
      <c r="X118" s="8"/>
      <c r="Y118" s="8">
        <v>24</v>
      </c>
      <c r="Z118" s="8">
        <v>5</v>
      </c>
      <c r="AA118" s="8">
        <v>5</v>
      </c>
      <c r="AB118" s="8">
        <v>1</v>
      </c>
      <c r="AC118" s="8">
        <v>16</v>
      </c>
      <c r="AD118" s="8" t="s">
        <v>2395</v>
      </c>
      <c r="AE118" s="8" t="s">
        <v>2393</v>
      </c>
      <c r="AF118" s="8" t="s">
        <v>69</v>
      </c>
      <c r="AG118" s="8" t="s">
        <v>108</v>
      </c>
      <c r="AH118" s="8" t="s">
        <v>109</v>
      </c>
      <c r="AI118" s="8" t="s">
        <v>110</v>
      </c>
      <c r="AJ118" s="8" t="s">
        <v>2390</v>
      </c>
      <c r="AK118" s="8" t="s">
        <v>2389</v>
      </c>
      <c r="AL118" s="8"/>
      <c r="AM118" s="8"/>
      <c r="AN118" s="8"/>
      <c r="AO118" s="8"/>
      <c r="AP118" s="8"/>
      <c r="AQ118" s="8"/>
      <c r="AR118" s="8"/>
      <c r="AS118" s="8"/>
      <c r="AT118" s="8"/>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row>
    <row r="119" spans="1:78" ht="13" customHeight="1" x14ac:dyDescent="0.15">
      <c r="A119" s="8" t="s">
        <v>6188</v>
      </c>
      <c r="B119" s="8" t="s">
        <v>74</v>
      </c>
      <c r="C119" s="9">
        <v>2016</v>
      </c>
      <c r="D119" s="8" t="s">
        <v>2396</v>
      </c>
      <c r="E119" s="8" t="s">
        <v>2397</v>
      </c>
      <c r="F119" s="8" t="s">
        <v>2398</v>
      </c>
      <c r="G119" s="8" t="str" cm="1">
        <f t="array" ref="G119">LOWER(CleanCode(F119))</f>
        <v>theeffectsofimmigrationinfrictionallabormarketstheoryandempiricalevidencefromeucountries</v>
      </c>
      <c r="H119" s="8"/>
      <c r="I119" s="8"/>
      <c r="J119" s="8" t="s">
        <v>2402</v>
      </c>
      <c r="K119" s="8"/>
      <c r="L119" s="8"/>
      <c r="M119" s="8" t="s">
        <v>2399</v>
      </c>
      <c r="N119" s="8" t="str">
        <f t="shared" si="1"/>
        <v>European Economic Review</v>
      </c>
      <c r="O119" s="8" t="s">
        <v>2406</v>
      </c>
      <c r="P119" s="8" t="s">
        <v>2407</v>
      </c>
      <c r="Q119" s="8" t="s">
        <v>69</v>
      </c>
      <c r="R119" s="8"/>
      <c r="S119" s="8">
        <v>84</v>
      </c>
      <c r="T119" s="8" t="s">
        <v>69</v>
      </c>
      <c r="U119" s="8">
        <v>76</v>
      </c>
      <c r="V119" s="8">
        <v>98</v>
      </c>
      <c r="W119" s="8">
        <v>23</v>
      </c>
      <c r="X119" s="8"/>
      <c r="Y119" s="8">
        <v>60</v>
      </c>
      <c r="Z119" s="8">
        <v>14</v>
      </c>
      <c r="AA119" s="8">
        <v>14</v>
      </c>
      <c r="AB119" s="8">
        <v>0</v>
      </c>
      <c r="AC119" s="8">
        <v>34</v>
      </c>
      <c r="AD119" s="8" t="s">
        <v>2412</v>
      </c>
      <c r="AE119" s="8" t="s">
        <v>2410</v>
      </c>
      <c r="AF119" s="8" t="s">
        <v>69</v>
      </c>
      <c r="AG119" s="8" t="s">
        <v>953</v>
      </c>
      <c r="AH119" s="8" t="s">
        <v>954</v>
      </c>
      <c r="AI119" s="8" t="s">
        <v>955</v>
      </c>
      <c r="AJ119" s="8" t="s">
        <v>2401</v>
      </c>
      <c r="AK119" s="8" t="s">
        <v>2400</v>
      </c>
      <c r="AL119" s="8"/>
      <c r="AM119" s="8"/>
      <c r="AN119" s="8"/>
      <c r="AO119" s="8"/>
      <c r="AP119" s="8"/>
      <c r="AQ119" s="8"/>
      <c r="AR119" s="8"/>
      <c r="AS119" s="8"/>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row>
    <row r="120" spans="1:78" ht="13" customHeight="1" x14ac:dyDescent="0.15">
      <c r="A120" s="8" t="s">
        <v>6188</v>
      </c>
      <c r="B120" s="8" t="s">
        <v>74</v>
      </c>
      <c r="C120" s="9">
        <v>2016</v>
      </c>
      <c r="D120" s="8" t="s">
        <v>2413</v>
      </c>
      <c r="E120" s="8" t="s">
        <v>2414</v>
      </c>
      <c r="F120" s="8" t="s">
        <v>2415</v>
      </c>
      <c r="G120" s="8" t="str" cm="1">
        <f t="array" ref="G120">LOWER(CleanCode(F120))</f>
        <v>applyingacculturationtheoryandpowerelitetheoryonasocialproblempoliticalunderrepresentationofthehispanicpopulationintexas</v>
      </c>
      <c r="H120" s="8"/>
      <c r="I120" s="8"/>
      <c r="J120" s="8" t="s">
        <v>2417</v>
      </c>
      <c r="K120" s="8"/>
      <c r="L120" s="8"/>
      <c r="M120" s="8" t="s">
        <v>1451</v>
      </c>
      <c r="N120" s="8" t="str">
        <f t="shared" si="1"/>
        <v>Hispanic Journal Of Behavioral Sciences</v>
      </c>
      <c r="O120" s="8" t="s">
        <v>1461</v>
      </c>
      <c r="P120" s="8" t="s">
        <v>1462</v>
      </c>
      <c r="Q120" s="8" t="s">
        <v>69</v>
      </c>
      <c r="R120" s="8"/>
      <c r="S120" s="8">
        <v>38</v>
      </c>
      <c r="T120" s="8">
        <v>2</v>
      </c>
      <c r="U120" s="8">
        <v>155</v>
      </c>
      <c r="V120" s="8">
        <v>165</v>
      </c>
      <c r="W120" s="8">
        <v>11</v>
      </c>
      <c r="X120" s="8"/>
      <c r="Y120" s="8">
        <v>15</v>
      </c>
      <c r="Z120" s="8">
        <v>4</v>
      </c>
      <c r="AA120" s="8">
        <v>4</v>
      </c>
      <c r="AB120" s="8">
        <v>1</v>
      </c>
      <c r="AC120" s="8">
        <v>8</v>
      </c>
      <c r="AD120" s="8" t="s">
        <v>2423</v>
      </c>
      <c r="AE120" s="8" t="s">
        <v>2421</v>
      </c>
      <c r="AF120" s="8" t="s">
        <v>69</v>
      </c>
      <c r="AG120" s="8" t="s">
        <v>180</v>
      </c>
      <c r="AH120" s="8" t="s">
        <v>181</v>
      </c>
      <c r="AI120" s="8" t="s">
        <v>182</v>
      </c>
      <c r="AJ120" s="8" t="s">
        <v>69</v>
      </c>
      <c r="AK120" s="8" t="s">
        <v>2416</v>
      </c>
      <c r="AL120" s="8"/>
      <c r="AM120" s="8"/>
      <c r="AN120" s="8"/>
      <c r="AO120" s="8"/>
      <c r="AP120" s="8"/>
      <c r="AQ120" s="8"/>
      <c r="AR120" s="8"/>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row>
    <row r="121" spans="1:78" ht="13" customHeight="1" x14ac:dyDescent="0.15">
      <c r="A121" s="8" t="s">
        <v>6188</v>
      </c>
      <c r="B121" s="8" t="s">
        <v>74</v>
      </c>
      <c r="C121" s="9">
        <v>2016</v>
      </c>
      <c r="D121" s="8" t="s">
        <v>2424</v>
      </c>
      <c r="E121" s="8" t="s">
        <v>2425</v>
      </c>
      <c r="F121" s="8" t="s">
        <v>2426</v>
      </c>
      <c r="G121" s="8" t="str" cm="1">
        <f t="array" ref="G121">LOWER(CleanCode(F121))</f>
        <v>dualidentityamongimmigrantscomparingdifferentconceptualizationstheirmeasurementsandimplications</v>
      </c>
      <c r="H121" s="8"/>
      <c r="I121" s="8"/>
      <c r="J121" s="8" t="s">
        <v>2430</v>
      </c>
      <c r="K121" s="8"/>
      <c r="L121" s="8"/>
      <c r="M121" s="8" t="s">
        <v>2427</v>
      </c>
      <c r="N121" s="8" t="str">
        <f t="shared" si="1"/>
        <v>Cultural Diversity &amp; Ethnic Minority Psychology</v>
      </c>
      <c r="O121" s="8" t="s">
        <v>2436</v>
      </c>
      <c r="P121" s="8" t="s">
        <v>2437</v>
      </c>
      <c r="Q121" s="8" t="s">
        <v>69</v>
      </c>
      <c r="R121" s="8"/>
      <c r="S121" s="8">
        <v>22</v>
      </c>
      <c r="T121" s="8">
        <v>2</v>
      </c>
      <c r="U121" s="8">
        <v>151</v>
      </c>
      <c r="V121" s="8">
        <v>165</v>
      </c>
      <c r="W121" s="8">
        <v>15</v>
      </c>
      <c r="X121" s="8"/>
      <c r="Y121" s="8">
        <v>52</v>
      </c>
      <c r="Z121" s="8">
        <v>34</v>
      </c>
      <c r="AA121" s="8">
        <v>34</v>
      </c>
      <c r="AB121" s="8">
        <v>2</v>
      </c>
      <c r="AC121" s="8">
        <v>53</v>
      </c>
      <c r="AD121" s="8" t="s">
        <v>2444</v>
      </c>
      <c r="AE121" s="8" t="s">
        <v>2440</v>
      </c>
      <c r="AF121" s="8">
        <v>26213892</v>
      </c>
      <c r="AG121" s="8" t="s">
        <v>2434</v>
      </c>
      <c r="AH121" s="8" t="s">
        <v>1184</v>
      </c>
      <c r="AI121" s="8" t="s">
        <v>2435</v>
      </c>
      <c r="AJ121" s="8" t="s">
        <v>2429</v>
      </c>
      <c r="AK121" s="8" t="s">
        <v>2428</v>
      </c>
      <c r="AL121" s="8"/>
      <c r="AM121" s="8"/>
      <c r="AN121" s="8"/>
      <c r="AO121" s="8"/>
      <c r="AP121" s="8"/>
      <c r="AQ121" s="8"/>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row>
    <row r="122" spans="1:78" ht="13" customHeight="1" x14ac:dyDescent="0.15">
      <c r="A122" s="8" t="s">
        <v>6188</v>
      </c>
      <c r="B122" s="8" t="s">
        <v>74</v>
      </c>
      <c r="C122" s="9">
        <v>2016</v>
      </c>
      <c r="D122" s="8" t="s">
        <v>2445</v>
      </c>
      <c r="E122" s="8" t="s">
        <v>2446</v>
      </c>
      <c r="F122" s="8" t="s">
        <v>2447</v>
      </c>
      <c r="G122" s="8" t="str" cm="1">
        <f t="array" ref="G122">LOWER(CleanCode(F122))</f>
        <v>advancingacculturationtheoryandresearchtheacculturationprocessinitsecologicalcontext</v>
      </c>
      <c r="H122" s="8"/>
      <c r="I122" s="8"/>
      <c r="J122" s="8" t="s">
        <v>2450</v>
      </c>
      <c r="K122" s="8"/>
      <c r="L122" s="8"/>
      <c r="M122" s="8" t="s">
        <v>2448</v>
      </c>
      <c r="N122" s="8" t="str">
        <f t="shared" si="1"/>
        <v>Current Opinion In Psychology</v>
      </c>
      <c r="O122" s="8" t="s">
        <v>2455</v>
      </c>
      <c r="P122" s="8" t="s">
        <v>69</v>
      </c>
      <c r="Q122" s="8" t="s">
        <v>69</v>
      </c>
      <c r="R122" s="8"/>
      <c r="S122" s="8">
        <v>8</v>
      </c>
      <c r="T122" s="8" t="s">
        <v>69</v>
      </c>
      <c r="U122" s="8">
        <v>98</v>
      </c>
      <c r="V122" s="8">
        <v>104</v>
      </c>
      <c r="W122" s="8">
        <v>7</v>
      </c>
      <c r="X122" s="8"/>
      <c r="Y122" s="8">
        <v>71</v>
      </c>
      <c r="Z122" s="8">
        <v>116</v>
      </c>
      <c r="AA122" s="8">
        <v>116</v>
      </c>
      <c r="AB122" s="8">
        <v>4</v>
      </c>
      <c r="AC122" s="8">
        <v>79</v>
      </c>
      <c r="AD122" s="8" t="s">
        <v>2460</v>
      </c>
      <c r="AE122" s="8" t="s">
        <v>2458</v>
      </c>
      <c r="AF122" s="8">
        <v>29506811</v>
      </c>
      <c r="AG122" s="8" t="s">
        <v>953</v>
      </c>
      <c r="AH122" s="8" t="s">
        <v>954</v>
      </c>
      <c r="AI122" s="8" t="s">
        <v>955</v>
      </c>
      <c r="AJ122" s="8" t="s">
        <v>2449</v>
      </c>
      <c r="AK122" s="8" t="s">
        <v>69</v>
      </c>
      <c r="AL122" s="8"/>
      <c r="AM122" s="8"/>
      <c r="AN122" s="8"/>
      <c r="AO122" s="8"/>
      <c r="AP122" s="8"/>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row>
    <row r="123" spans="1:78" ht="13" customHeight="1" x14ac:dyDescent="0.15">
      <c r="A123" s="8" t="s">
        <v>6188</v>
      </c>
      <c r="B123" s="8" t="s">
        <v>74</v>
      </c>
      <c r="C123" s="9">
        <v>2016</v>
      </c>
      <c r="D123" s="8" t="s">
        <v>2461</v>
      </c>
      <c r="E123" s="8" t="s">
        <v>2462</v>
      </c>
      <c r="F123" s="8" t="s">
        <v>2463</v>
      </c>
      <c r="G123" s="8" t="str" cm="1">
        <f t="array" ref="G123">LOWER(CleanCode(F123))</f>
        <v>perpetuationtheoryandtheracialsegregationofyoungadults</v>
      </c>
      <c r="H123" s="8"/>
      <c r="I123" s="8"/>
      <c r="J123" s="8" t="s">
        <v>2467</v>
      </c>
      <c r="K123" s="8"/>
      <c r="L123" s="8"/>
      <c r="M123" s="8" t="s">
        <v>2464</v>
      </c>
      <c r="N123" s="8" t="str">
        <f t="shared" si="1"/>
        <v>Social Science Research</v>
      </c>
      <c r="O123" s="8" t="s">
        <v>2474</v>
      </c>
      <c r="P123" s="8" t="s">
        <v>2475</v>
      </c>
      <c r="Q123" s="8" t="s">
        <v>69</v>
      </c>
      <c r="R123" s="8"/>
      <c r="S123" s="8">
        <v>56</v>
      </c>
      <c r="T123" s="8" t="s">
        <v>69</v>
      </c>
      <c r="U123" s="8">
        <v>1</v>
      </c>
      <c r="V123" s="8">
        <v>15</v>
      </c>
      <c r="W123" s="8">
        <v>15</v>
      </c>
      <c r="X123" s="8"/>
      <c r="Y123" s="8">
        <v>66</v>
      </c>
      <c r="Z123" s="8">
        <v>7</v>
      </c>
      <c r="AA123" s="8">
        <v>7</v>
      </c>
      <c r="AB123" s="8">
        <v>1</v>
      </c>
      <c r="AC123" s="8">
        <v>17</v>
      </c>
      <c r="AD123" s="8" t="s">
        <v>2480</v>
      </c>
      <c r="AE123" s="8" t="s">
        <v>2478</v>
      </c>
      <c r="AF123" s="8">
        <v>26857168</v>
      </c>
      <c r="AG123" s="8" t="s">
        <v>2471</v>
      </c>
      <c r="AH123" s="8" t="s">
        <v>2472</v>
      </c>
      <c r="AI123" s="8" t="s">
        <v>2473</v>
      </c>
      <c r="AJ123" s="8" t="s">
        <v>2466</v>
      </c>
      <c r="AK123" s="8" t="s">
        <v>2465</v>
      </c>
      <c r="AL123" s="8"/>
      <c r="AM123" s="8"/>
      <c r="AN123" s="8"/>
      <c r="AO123" s="8"/>
      <c r="AP123" s="8"/>
      <c r="AQ123" s="8"/>
      <c r="AR123" s="8"/>
      <c r="AS123" s="8"/>
      <c r="AT123" s="8"/>
      <c r="AU123" s="8"/>
      <c r="AV123" s="8"/>
      <c r="AW123" s="8"/>
      <c r="AX123" s="8"/>
      <c r="AY123" s="8"/>
      <c r="AZ123" s="8"/>
      <c r="BA123" s="8"/>
      <c r="BB123" s="8"/>
      <c r="BC123" s="8"/>
      <c r="BD123" s="8"/>
      <c r="BE123" s="8"/>
      <c r="BF123" s="8"/>
      <c r="BG123" s="8"/>
      <c r="BH123" s="8"/>
      <c r="BI123" s="8"/>
      <c r="BJ123" s="8"/>
      <c r="BK123" s="8"/>
      <c r="BL123" s="8"/>
      <c r="BM123" s="8"/>
      <c r="BN123" s="8"/>
      <c r="BO123" s="8"/>
      <c r="BP123" s="8"/>
      <c r="BQ123" s="8"/>
      <c r="BR123" s="8"/>
      <c r="BS123" s="8"/>
      <c r="BT123" s="8"/>
      <c r="BU123" s="8"/>
      <c r="BV123" s="8"/>
      <c r="BW123" s="8"/>
      <c r="BX123" s="8"/>
      <c r="BY123" s="8"/>
      <c r="BZ123" s="8"/>
    </row>
    <row r="124" spans="1:78" ht="13" customHeight="1" x14ac:dyDescent="0.15">
      <c r="A124" s="8" t="s">
        <v>6188</v>
      </c>
      <c r="B124" s="8" t="s">
        <v>74</v>
      </c>
      <c r="C124" s="9">
        <v>2016</v>
      </c>
      <c r="D124" s="8" t="s">
        <v>2481</v>
      </c>
      <c r="E124" s="8" t="s">
        <v>2482</v>
      </c>
      <c r="F124" s="8" t="s">
        <v>2483</v>
      </c>
      <c r="G124" s="8" t="str" cm="1">
        <f t="array" ref="G124">LOWER(CleanCode(F124))</f>
        <v>aframeworkfortranslatinganevidencebasedinterventionfromenglishtospanish</v>
      </c>
      <c r="H124" s="8"/>
      <c r="I124" s="8"/>
      <c r="J124" s="8" t="s">
        <v>2486</v>
      </c>
      <c r="K124" s="8"/>
      <c r="L124" s="8"/>
      <c r="M124" s="8" t="s">
        <v>1451</v>
      </c>
      <c r="N124" s="8" t="str">
        <f t="shared" si="1"/>
        <v>Hispanic Journal Of Behavioral Sciences</v>
      </c>
      <c r="O124" s="8" t="s">
        <v>1461</v>
      </c>
      <c r="P124" s="8" t="s">
        <v>1462</v>
      </c>
      <c r="Q124" s="8" t="s">
        <v>69</v>
      </c>
      <c r="R124" s="8"/>
      <c r="S124" s="8">
        <v>38</v>
      </c>
      <c r="T124" s="8">
        <v>1</v>
      </c>
      <c r="U124" s="8">
        <v>117</v>
      </c>
      <c r="V124" s="8">
        <v>133</v>
      </c>
      <c r="W124" s="8">
        <v>17</v>
      </c>
      <c r="X124" s="8"/>
      <c r="Y124" s="8">
        <v>36</v>
      </c>
      <c r="Z124" s="8">
        <v>4</v>
      </c>
      <c r="AA124" s="8">
        <v>4</v>
      </c>
      <c r="AB124" s="8">
        <v>0</v>
      </c>
      <c r="AC124" s="8">
        <v>7</v>
      </c>
      <c r="AD124" s="8" t="s">
        <v>2496</v>
      </c>
      <c r="AE124" s="8" t="s">
        <v>2494</v>
      </c>
      <c r="AF124" s="8">
        <v>32694881</v>
      </c>
      <c r="AG124" s="8" t="s">
        <v>180</v>
      </c>
      <c r="AH124" s="8" t="s">
        <v>181</v>
      </c>
      <c r="AI124" s="8" t="s">
        <v>182</v>
      </c>
      <c r="AJ124" s="8" t="s">
        <v>2485</v>
      </c>
      <c r="AK124" s="8" t="s">
        <v>2484</v>
      </c>
      <c r="AL124" s="8"/>
      <c r="AM124" s="8"/>
      <c r="AN124" s="8"/>
      <c r="AO124" s="8"/>
      <c r="AP124" s="8"/>
      <c r="AQ124" s="8"/>
      <c r="AR124" s="8"/>
      <c r="AS124" s="8"/>
      <c r="AT124" s="8"/>
      <c r="AU124" s="8"/>
      <c r="AV124" s="8"/>
      <c r="AW124" s="8"/>
      <c r="AX124" s="8"/>
      <c r="AY124" s="8"/>
      <c r="AZ124" s="8"/>
      <c r="BA124" s="8"/>
      <c r="BB124" s="8"/>
      <c r="BC124" s="8"/>
      <c r="BD124" s="8"/>
      <c r="BE124" s="8"/>
      <c r="BF124" s="8"/>
      <c r="BG124" s="8"/>
      <c r="BH124" s="8"/>
      <c r="BI124" s="8"/>
      <c r="BJ124" s="8"/>
      <c r="BK124" s="8"/>
      <c r="BL124" s="8"/>
      <c r="BM124" s="8"/>
      <c r="BN124" s="8"/>
      <c r="BO124" s="8"/>
      <c r="BP124" s="8"/>
      <c r="BQ124" s="8"/>
      <c r="BR124" s="8"/>
      <c r="BS124" s="8"/>
      <c r="BT124" s="8"/>
      <c r="BU124" s="8"/>
      <c r="BV124" s="8"/>
      <c r="BW124" s="8"/>
      <c r="BX124" s="8"/>
      <c r="BY124" s="8"/>
      <c r="BZ124" s="8"/>
    </row>
    <row r="125" spans="1:78" ht="13" customHeight="1" x14ac:dyDescent="0.15">
      <c r="A125" s="8" t="s">
        <v>6188</v>
      </c>
      <c r="B125" s="8" t="s">
        <v>74</v>
      </c>
      <c r="C125" s="9">
        <v>2016</v>
      </c>
      <c r="D125" s="8" t="s">
        <v>2497</v>
      </c>
      <c r="E125" s="8" t="s">
        <v>2498</v>
      </c>
      <c r="F125" s="8" t="s">
        <v>2499</v>
      </c>
      <c r="G125" s="8" t="str" cm="1">
        <f t="array" ref="G125">LOWER(CleanCode(F125))</f>
        <v>conceptualizingpsychologicalprocessesinresponsetoglobalizationcomponentsantecedentsandconsequencesofglobalorientations</v>
      </c>
      <c r="H125" s="8"/>
      <c r="I125" s="8"/>
      <c r="J125" s="8" t="s">
        <v>2503</v>
      </c>
      <c r="K125" s="8"/>
      <c r="L125" s="8"/>
      <c r="M125" s="8" t="s">
        <v>2500</v>
      </c>
      <c r="N125" s="8" t="str">
        <f t="shared" si="1"/>
        <v>Journal Of Personality And Social Psychology</v>
      </c>
      <c r="O125" s="8" t="s">
        <v>2511</v>
      </c>
      <c r="P125" s="8" t="s">
        <v>2512</v>
      </c>
      <c r="Q125" s="8" t="s">
        <v>69</v>
      </c>
      <c r="R125" s="8"/>
      <c r="S125" s="8">
        <v>110</v>
      </c>
      <c r="T125" s="8">
        <v>2</v>
      </c>
      <c r="U125" s="8">
        <v>302</v>
      </c>
      <c r="V125" s="8">
        <v>331</v>
      </c>
      <c r="W125" s="8">
        <v>30</v>
      </c>
      <c r="X125" s="8"/>
      <c r="Y125" s="8">
        <v>132</v>
      </c>
      <c r="Z125" s="8">
        <v>31</v>
      </c>
      <c r="AA125" s="8">
        <v>32</v>
      </c>
      <c r="AB125" s="8">
        <v>3</v>
      </c>
      <c r="AC125" s="8">
        <v>87</v>
      </c>
      <c r="AD125" s="8" t="s">
        <v>2517</v>
      </c>
      <c r="AE125" s="8" t="s">
        <v>2515</v>
      </c>
      <c r="AF125" s="8">
        <v>26302436</v>
      </c>
      <c r="AG125" s="8" t="s">
        <v>1183</v>
      </c>
      <c r="AH125" s="8" t="s">
        <v>1184</v>
      </c>
      <c r="AI125" s="8" t="s">
        <v>1185</v>
      </c>
      <c r="AJ125" s="8" t="s">
        <v>2502</v>
      </c>
      <c r="AK125" s="8" t="s">
        <v>2501</v>
      </c>
      <c r="AL125" s="8"/>
      <c r="AM125" s="8"/>
      <c r="AN125" s="8"/>
      <c r="AO125" s="8"/>
      <c r="AP125" s="8"/>
      <c r="AQ125" s="8"/>
      <c r="AR125" s="8"/>
      <c r="AS125" s="8"/>
      <c r="AT125" s="8"/>
      <c r="AU125" s="8"/>
      <c r="AV125" s="8"/>
      <c r="AW125" s="8"/>
      <c r="AX125" s="8"/>
      <c r="AY125" s="8"/>
      <c r="AZ125" s="8"/>
      <c r="BA125" s="8"/>
      <c r="BB125" s="8"/>
      <c r="BC125" s="8"/>
      <c r="BD125" s="8"/>
      <c r="BE125" s="8"/>
      <c r="BF125" s="8"/>
      <c r="BG125" s="8"/>
      <c r="BH125" s="8"/>
      <c r="BI125" s="8"/>
      <c r="BJ125" s="8"/>
      <c r="BK125" s="8"/>
      <c r="BL125" s="8"/>
      <c r="BM125" s="8"/>
      <c r="BN125" s="8"/>
      <c r="BO125" s="8"/>
      <c r="BP125" s="8"/>
      <c r="BQ125" s="8"/>
      <c r="BR125" s="8"/>
      <c r="BS125" s="8"/>
      <c r="BT125" s="8"/>
      <c r="BU125" s="8"/>
      <c r="BV125" s="8"/>
      <c r="BW125" s="8"/>
      <c r="BX125" s="8"/>
      <c r="BY125" s="8"/>
      <c r="BZ125" s="8"/>
    </row>
    <row r="126" spans="1:78" ht="13" customHeight="1" x14ac:dyDescent="0.15">
      <c r="A126" s="8" t="s">
        <v>6188</v>
      </c>
      <c r="B126" s="8" t="s">
        <v>74</v>
      </c>
      <c r="C126" s="9">
        <v>2016</v>
      </c>
      <c r="D126" s="8" t="s">
        <v>2518</v>
      </c>
      <c r="E126" s="8" t="s">
        <v>2519</v>
      </c>
      <c r="F126" s="8" t="s">
        <v>2520</v>
      </c>
      <c r="G126" s="8" t="str" cm="1">
        <f t="array" ref="G126">LOWER(CleanCode(F126))</f>
        <v>modesofincorporationaconceptualandempiricalcritique</v>
      </c>
      <c r="H126" s="8"/>
      <c r="I126" s="8"/>
      <c r="J126" s="8" t="s">
        <v>2523</v>
      </c>
      <c r="K126" s="8"/>
      <c r="L126" s="8"/>
      <c r="M126" s="8" t="s">
        <v>1726</v>
      </c>
      <c r="N126" s="8" t="str">
        <f t="shared" si="1"/>
        <v>Journal Of Ethnic And Migration Studies</v>
      </c>
      <c r="O126" s="8" t="s">
        <v>1734</v>
      </c>
      <c r="P126" s="8" t="s">
        <v>1735</v>
      </c>
      <c r="Q126" s="8" t="s">
        <v>69</v>
      </c>
      <c r="R126" s="8"/>
      <c r="S126" s="8">
        <v>42</v>
      </c>
      <c r="T126" s="8">
        <v>1</v>
      </c>
      <c r="U126" s="8">
        <v>23</v>
      </c>
      <c r="V126" s="8">
        <v>53</v>
      </c>
      <c r="W126" s="8">
        <v>31</v>
      </c>
      <c r="X126" s="8"/>
      <c r="Y126" s="8">
        <v>40</v>
      </c>
      <c r="Z126" s="8">
        <v>17</v>
      </c>
      <c r="AA126" s="8">
        <v>17</v>
      </c>
      <c r="AB126" s="8">
        <v>0</v>
      </c>
      <c r="AC126" s="8">
        <v>11</v>
      </c>
      <c r="AD126" s="8" t="s">
        <v>2529</v>
      </c>
      <c r="AE126" s="8" t="s">
        <v>2527</v>
      </c>
      <c r="AF126" s="8" t="s">
        <v>69</v>
      </c>
      <c r="AG126" s="8" t="s">
        <v>108</v>
      </c>
      <c r="AH126" s="8" t="s">
        <v>109</v>
      </c>
      <c r="AI126" s="8" t="s">
        <v>110</v>
      </c>
      <c r="AJ126" s="8" t="s">
        <v>2522</v>
      </c>
      <c r="AK126" s="8" t="s">
        <v>2521</v>
      </c>
      <c r="AL126" s="8"/>
      <c r="AM126" s="8"/>
      <c r="AN126" s="8"/>
      <c r="AO126" s="8"/>
      <c r="AP126" s="8"/>
      <c r="AQ126" s="8"/>
      <c r="AR126" s="8"/>
      <c r="AS126" s="8"/>
      <c r="AT126" s="8"/>
      <c r="AU126" s="8"/>
      <c r="AV126" s="8"/>
      <c r="AW126" s="8"/>
      <c r="AX126" s="8"/>
      <c r="AY126" s="8"/>
      <c r="AZ126" s="8"/>
      <c r="BA126" s="8"/>
      <c r="BB126" s="8"/>
      <c r="BC126" s="8"/>
      <c r="BD126" s="8"/>
      <c r="BE126" s="8"/>
      <c r="BF126" s="8"/>
      <c r="BG126" s="8"/>
      <c r="BH126" s="8"/>
      <c r="BI126" s="8"/>
      <c r="BJ126" s="8"/>
      <c r="BK126" s="8"/>
      <c r="BL126" s="8"/>
      <c r="BM126" s="8"/>
      <c r="BN126" s="8"/>
      <c r="BO126" s="8"/>
      <c r="BP126" s="8"/>
      <c r="BQ126" s="8"/>
      <c r="BR126" s="8"/>
      <c r="BS126" s="8"/>
      <c r="BT126" s="8"/>
      <c r="BU126" s="8"/>
      <c r="BV126" s="8"/>
      <c r="BW126" s="8"/>
      <c r="BX126" s="8"/>
      <c r="BY126" s="8"/>
      <c r="BZ126" s="8"/>
    </row>
    <row r="127" spans="1:78" ht="13" customHeight="1" x14ac:dyDescent="0.15">
      <c r="A127" s="8" t="s">
        <v>6188</v>
      </c>
      <c r="B127" s="8" t="s">
        <v>74</v>
      </c>
      <c r="C127" s="9">
        <v>2016</v>
      </c>
      <c r="D127" s="8" t="s">
        <v>2530</v>
      </c>
      <c r="E127" s="8" t="s">
        <v>2531</v>
      </c>
      <c r="F127" s="8" t="s">
        <v>2532</v>
      </c>
      <c r="G127" s="8" t="str" cm="1">
        <f t="array" ref="G127">LOWER(CleanCode(F127))</f>
        <v>suicidalityamongimmigrantsapplicationoftheinterpersonalpsychologicaltheory</v>
      </c>
      <c r="H127" s="8"/>
      <c r="I127" s="8"/>
      <c r="J127" s="8" t="s">
        <v>2535</v>
      </c>
      <c r="K127" s="8"/>
      <c r="L127" s="8"/>
      <c r="M127" s="8" t="s">
        <v>2533</v>
      </c>
      <c r="N127" s="8" t="str">
        <f t="shared" si="1"/>
        <v>Death Studies</v>
      </c>
      <c r="O127" s="8" t="s">
        <v>2539</v>
      </c>
      <c r="P127" s="8" t="s">
        <v>2540</v>
      </c>
      <c r="Q127" s="8" t="s">
        <v>69</v>
      </c>
      <c r="R127" s="8"/>
      <c r="S127" s="8">
        <v>40</v>
      </c>
      <c r="T127" s="8">
        <v>6</v>
      </c>
      <c r="U127" s="8">
        <v>373</v>
      </c>
      <c r="V127" s="8">
        <v>382</v>
      </c>
      <c r="W127" s="8">
        <v>10</v>
      </c>
      <c r="X127" s="8"/>
      <c r="Y127" s="8">
        <v>75</v>
      </c>
      <c r="Z127" s="8">
        <v>3</v>
      </c>
      <c r="AA127" s="8">
        <v>3</v>
      </c>
      <c r="AB127" s="8">
        <v>0</v>
      </c>
      <c r="AC127" s="8">
        <v>15</v>
      </c>
      <c r="AD127" s="8" t="s">
        <v>2547</v>
      </c>
      <c r="AE127" s="8" t="s">
        <v>2543</v>
      </c>
      <c r="AF127" s="8">
        <v>26890379</v>
      </c>
      <c r="AG127" s="8" t="s">
        <v>108</v>
      </c>
      <c r="AH127" s="8" t="s">
        <v>109</v>
      </c>
      <c r="AI127" s="8" t="s">
        <v>110</v>
      </c>
      <c r="AJ127" s="8" t="s">
        <v>2534</v>
      </c>
      <c r="AK127" s="8" t="s">
        <v>69</v>
      </c>
      <c r="AL127" s="8"/>
      <c r="AM127" s="8"/>
      <c r="AN127" s="8"/>
      <c r="AO127" s="8"/>
      <c r="AP127" s="8"/>
      <c r="AQ127" s="8"/>
      <c r="AR127" s="8"/>
      <c r="AS127" s="8"/>
      <c r="AT127" s="8"/>
      <c r="AU127" s="8"/>
      <c r="AV127" s="8"/>
      <c r="AW127" s="8"/>
      <c r="AX127" s="8"/>
      <c r="AY127" s="8"/>
      <c r="AZ127" s="8"/>
      <c r="BA127" s="8"/>
      <c r="BB127" s="8"/>
      <c r="BC127" s="8"/>
      <c r="BD127" s="8"/>
      <c r="BE127" s="8"/>
      <c r="BF127" s="8"/>
      <c r="BG127" s="8"/>
      <c r="BH127" s="8"/>
      <c r="BI127" s="8"/>
      <c r="BJ127" s="8"/>
      <c r="BK127" s="8"/>
      <c r="BL127" s="8"/>
      <c r="BM127" s="8"/>
      <c r="BN127" s="8"/>
      <c r="BO127" s="8"/>
      <c r="BP127" s="8"/>
      <c r="BQ127" s="8"/>
      <c r="BR127" s="8"/>
      <c r="BS127" s="8"/>
      <c r="BT127" s="8"/>
      <c r="BU127" s="8"/>
      <c r="BV127" s="8"/>
      <c r="BW127" s="8"/>
      <c r="BX127" s="8"/>
      <c r="BY127" s="8"/>
      <c r="BZ127" s="8"/>
    </row>
    <row r="128" spans="1:78" ht="13" customHeight="1" x14ac:dyDescent="0.15">
      <c r="A128" s="8" t="s">
        <v>6188</v>
      </c>
      <c r="B128" s="8" t="s">
        <v>74</v>
      </c>
      <c r="C128" s="9">
        <v>2015</v>
      </c>
      <c r="D128" s="8" t="s">
        <v>2548</v>
      </c>
      <c r="E128" s="8" t="s">
        <v>2549</v>
      </c>
      <c r="F128" s="8" t="s">
        <v>2550</v>
      </c>
      <c r="G128" s="8" t="str" cm="1">
        <f t="array" ref="G128">LOWER(CleanCode(F128))</f>
        <v>lifedoesnotmakeiteasytobreastfeedusingthesocioecologicalframeworktodeterminesocialbreastfeedingobstaclesinalowincomepopulationintijuanamexico</v>
      </c>
      <c r="H128" s="8"/>
      <c r="I128" s="8"/>
      <c r="J128" s="8" t="s">
        <v>2554</v>
      </c>
      <c r="K128" s="8"/>
      <c r="L128" s="8"/>
      <c r="M128" s="8" t="s">
        <v>2551</v>
      </c>
      <c r="N128" s="8" t="str">
        <f t="shared" si="1"/>
        <v>Public Health Nutrition</v>
      </c>
      <c r="O128" s="8" t="s">
        <v>2562</v>
      </c>
      <c r="P128" s="8" t="s">
        <v>2563</v>
      </c>
      <c r="Q128" s="8" t="s">
        <v>69</v>
      </c>
      <c r="R128" s="8"/>
      <c r="S128" s="8">
        <v>18</v>
      </c>
      <c r="T128" s="8">
        <v>18</v>
      </c>
      <c r="U128" s="8">
        <v>3371</v>
      </c>
      <c r="V128" s="8">
        <v>3385</v>
      </c>
      <c r="W128" s="8">
        <v>15</v>
      </c>
      <c r="X128" s="8"/>
      <c r="Y128" s="8">
        <v>67</v>
      </c>
      <c r="Z128" s="8">
        <v>6</v>
      </c>
      <c r="AA128" s="8">
        <v>6</v>
      </c>
      <c r="AB128" s="8">
        <v>0</v>
      </c>
      <c r="AC128" s="8">
        <v>12</v>
      </c>
      <c r="AD128" s="8" t="s">
        <v>2569</v>
      </c>
      <c r="AE128" s="8" t="s">
        <v>2566</v>
      </c>
      <c r="AF128" s="8">
        <v>25740254</v>
      </c>
      <c r="AG128" s="8" t="s">
        <v>1833</v>
      </c>
      <c r="AH128" s="8" t="s">
        <v>2560</v>
      </c>
      <c r="AI128" s="8" t="s">
        <v>2561</v>
      </c>
      <c r="AJ128" s="8" t="s">
        <v>2553</v>
      </c>
      <c r="AK128" s="8" t="s">
        <v>2552</v>
      </c>
      <c r="AL128" s="8"/>
      <c r="AM128" s="8"/>
      <c r="AN128" s="8"/>
      <c r="AO128" s="8"/>
      <c r="AP128" s="8"/>
      <c r="AQ128" s="8"/>
      <c r="AR128" s="8"/>
      <c r="AS128" s="8"/>
      <c r="AT128" s="8"/>
      <c r="AU128" s="8"/>
      <c r="AV128" s="8"/>
      <c r="AW128" s="8"/>
      <c r="AX128" s="8"/>
      <c r="AY128" s="8"/>
      <c r="AZ128" s="8"/>
      <c r="BA128" s="8"/>
      <c r="BB128" s="8"/>
      <c r="BC128" s="8"/>
      <c r="BD128" s="8"/>
      <c r="BE128" s="8"/>
      <c r="BF128" s="8"/>
      <c r="BG128" s="8"/>
      <c r="BH128" s="8"/>
      <c r="BI128" s="8"/>
      <c r="BJ128" s="8"/>
      <c r="BK128" s="8"/>
      <c r="BL128" s="8"/>
      <c r="BM128" s="8"/>
      <c r="BN128" s="8"/>
      <c r="BO128" s="8"/>
      <c r="BP128" s="8"/>
      <c r="BQ128" s="8"/>
      <c r="BR128" s="8"/>
      <c r="BS128" s="8"/>
      <c r="BT128" s="8"/>
      <c r="BU128" s="8"/>
      <c r="BV128" s="8"/>
      <c r="BW128" s="8"/>
      <c r="BX128" s="8"/>
      <c r="BY128" s="8"/>
      <c r="BZ128" s="8"/>
    </row>
    <row r="129" spans="1:78" ht="13" customHeight="1" x14ac:dyDescent="0.15">
      <c r="A129" s="8" t="s">
        <v>6188</v>
      </c>
      <c r="B129" s="8" t="s">
        <v>74</v>
      </c>
      <c r="C129" s="9">
        <v>2015</v>
      </c>
      <c r="D129" s="8" t="s">
        <v>2570</v>
      </c>
      <c r="E129" s="8" t="s">
        <v>2571</v>
      </c>
      <c r="F129" s="8" t="s">
        <v>2572</v>
      </c>
      <c r="G129" s="8" t="str" cm="1">
        <f t="array" ref="G129">LOWER(CleanCode(F129))</f>
        <v>acculturationandpsychologicaladjustmentofvietnameserefugeesanecologicalacculturationframework</v>
      </c>
      <c r="H129" s="8"/>
      <c r="I129" s="8"/>
      <c r="J129" s="8" t="s">
        <v>2575</v>
      </c>
      <c r="K129" s="8"/>
      <c r="L129" s="8"/>
      <c r="M129" s="8" t="s">
        <v>365</v>
      </c>
      <c r="N129" s="8" t="str">
        <f t="shared" si="1"/>
        <v>American Journal Of Community Psychology</v>
      </c>
      <c r="O129" s="8" t="s">
        <v>375</v>
      </c>
      <c r="P129" s="8" t="s">
        <v>376</v>
      </c>
      <c r="Q129" s="8" t="s">
        <v>69</v>
      </c>
      <c r="R129" s="8"/>
      <c r="S129" s="8">
        <v>56</v>
      </c>
      <c r="T129" s="8" t="s">
        <v>379</v>
      </c>
      <c r="U129" s="8">
        <v>395</v>
      </c>
      <c r="V129" s="8">
        <v>407</v>
      </c>
      <c r="W129" s="8">
        <v>13</v>
      </c>
      <c r="X129" s="8"/>
      <c r="Y129" s="8">
        <v>84</v>
      </c>
      <c r="Z129" s="8">
        <v>16</v>
      </c>
      <c r="AA129" s="8">
        <v>16</v>
      </c>
      <c r="AB129" s="8">
        <v>1</v>
      </c>
      <c r="AC129" s="8">
        <v>41</v>
      </c>
      <c r="AD129" s="8" t="s">
        <v>2583</v>
      </c>
      <c r="AE129" s="8" t="s">
        <v>2581</v>
      </c>
      <c r="AF129" s="8">
        <v>26443380</v>
      </c>
      <c r="AG129" s="8" t="s">
        <v>223</v>
      </c>
      <c r="AH129" s="8" t="s">
        <v>224</v>
      </c>
      <c r="AI129" s="8" t="s">
        <v>225</v>
      </c>
      <c r="AJ129" s="8" t="s">
        <v>2574</v>
      </c>
      <c r="AK129" s="8" t="s">
        <v>2573</v>
      </c>
      <c r="AL129" s="8"/>
      <c r="AM129" s="8"/>
      <c r="AN129" s="8"/>
      <c r="AO129" s="8"/>
      <c r="AP129" s="8"/>
      <c r="AQ129" s="8"/>
      <c r="AR129" s="8"/>
      <c r="AS129" s="8"/>
      <c r="AT129" s="8"/>
      <c r="AU129" s="8"/>
      <c r="AV129" s="8"/>
      <c r="AW129" s="8"/>
      <c r="AX129" s="8"/>
      <c r="AY129" s="8"/>
      <c r="AZ129" s="8"/>
      <c r="BA129" s="8"/>
      <c r="BB129" s="8"/>
      <c r="BC129" s="8"/>
      <c r="BD129" s="8"/>
      <c r="BE129" s="8"/>
      <c r="BF129" s="8"/>
      <c r="BG129" s="8"/>
      <c r="BH129" s="8"/>
      <c r="BI129" s="8"/>
      <c r="BJ129" s="8"/>
      <c r="BK129" s="8"/>
      <c r="BL129" s="8"/>
      <c r="BM129" s="8"/>
      <c r="BN129" s="8"/>
      <c r="BO129" s="8"/>
      <c r="BP129" s="8"/>
      <c r="BQ129" s="8"/>
      <c r="BR129" s="8"/>
      <c r="BS129" s="8"/>
      <c r="BT129" s="8"/>
      <c r="BU129" s="8"/>
      <c r="BV129" s="8"/>
      <c r="BW129" s="8"/>
      <c r="BX129" s="8"/>
      <c r="BY129" s="8"/>
      <c r="BZ129" s="8"/>
    </row>
    <row r="130" spans="1:78" ht="13" customHeight="1" x14ac:dyDescent="0.15">
      <c r="A130" s="8" t="s">
        <v>6188</v>
      </c>
      <c r="B130" s="8" t="s">
        <v>74</v>
      </c>
      <c r="C130" s="9">
        <v>2015</v>
      </c>
      <c r="D130" s="8" t="s">
        <v>2584</v>
      </c>
      <c r="E130" s="8" t="s">
        <v>2585</v>
      </c>
      <c r="F130" s="8" t="s">
        <v>2586</v>
      </c>
      <c r="G130" s="8" t="str" cm="1">
        <f t="array" ref="G130">LOWER(CleanCode(F130))</f>
        <v>effectoflengthofstayonsmokingamongturkishandeasterneuropeanimmigrantsingermanyinterpretationinthelightofthesmokingepidemicmodelandtheacculturationtheory</v>
      </c>
      <c r="H130" s="8"/>
      <c r="I130" s="8"/>
      <c r="J130" s="8" t="s">
        <v>2590</v>
      </c>
      <c r="K130" s="8"/>
      <c r="L130" s="8"/>
      <c r="M130" s="8" t="s">
        <v>2587</v>
      </c>
      <c r="N130" s="8" t="str">
        <f t="shared" si="1"/>
        <v>International Journal Of Environmental Research And Public Health</v>
      </c>
      <c r="O130" s="8" t="s">
        <v>69</v>
      </c>
      <c r="P130" s="8" t="s">
        <v>2595</v>
      </c>
      <c r="Q130" s="8" t="s">
        <v>69</v>
      </c>
      <c r="R130" s="8"/>
      <c r="S130" s="8">
        <v>12</v>
      </c>
      <c r="T130" s="8">
        <v>12</v>
      </c>
      <c r="U130" s="8">
        <v>15925</v>
      </c>
      <c r="V130" s="8">
        <v>15936</v>
      </c>
      <c r="W130" s="8">
        <v>12</v>
      </c>
      <c r="X130" s="8"/>
      <c r="Y130" s="8">
        <v>53</v>
      </c>
      <c r="Z130" s="8">
        <v>12</v>
      </c>
      <c r="AA130" s="8">
        <v>12</v>
      </c>
      <c r="AB130" s="8">
        <v>0</v>
      </c>
      <c r="AC130" s="8">
        <v>9</v>
      </c>
      <c r="AD130" s="8" t="s">
        <v>2602</v>
      </c>
      <c r="AE130" s="8" t="s">
        <v>2598</v>
      </c>
      <c r="AF130" s="8">
        <v>26694430</v>
      </c>
      <c r="AG130" s="8" t="s">
        <v>82</v>
      </c>
      <c r="AH130" s="8" t="s">
        <v>83</v>
      </c>
      <c r="AI130" s="8" t="s">
        <v>84</v>
      </c>
      <c r="AJ130" s="8" t="s">
        <v>2589</v>
      </c>
      <c r="AK130" s="8" t="s">
        <v>2588</v>
      </c>
      <c r="AL130" s="8"/>
      <c r="AM130" s="8"/>
      <c r="AN130" s="8"/>
      <c r="AO130" s="8"/>
      <c r="AP130" s="8"/>
      <c r="AQ130" s="8"/>
      <c r="AR130" s="8"/>
      <c r="AS130" s="8"/>
      <c r="AT130" s="8"/>
      <c r="AU130" s="8"/>
      <c r="AV130" s="8"/>
      <c r="AW130" s="8"/>
      <c r="AX130" s="8"/>
      <c r="AY130" s="8"/>
      <c r="AZ130" s="8"/>
      <c r="BA130" s="8"/>
      <c r="BB130" s="8"/>
      <c r="BC130" s="8"/>
      <c r="BD130" s="8"/>
      <c r="BE130" s="8"/>
      <c r="BF130" s="8"/>
      <c r="BG130" s="8"/>
      <c r="BH130" s="8"/>
      <c r="BI130" s="8"/>
      <c r="BJ130" s="8"/>
      <c r="BK130" s="8"/>
      <c r="BL130" s="8"/>
      <c r="BM130" s="8"/>
      <c r="BN130" s="8"/>
      <c r="BO130" s="8"/>
      <c r="BP130" s="8"/>
      <c r="BQ130" s="8"/>
      <c r="BR130" s="8"/>
      <c r="BS130" s="8"/>
      <c r="BT130" s="8"/>
      <c r="BU130" s="8"/>
      <c r="BV130" s="8"/>
      <c r="BW130" s="8"/>
      <c r="BX130" s="8"/>
      <c r="BY130" s="8"/>
      <c r="BZ130" s="8"/>
    </row>
    <row r="131" spans="1:78" ht="13" customHeight="1" x14ac:dyDescent="0.15">
      <c r="A131" s="8" t="s">
        <v>6188</v>
      </c>
      <c r="B131" s="8" t="s">
        <v>74</v>
      </c>
      <c r="C131" s="9">
        <v>2015</v>
      </c>
      <c r="D131" s="8" t="s">
        <v>2603</v>
      </c>
      <c r="E131" s="8" t="s">
        <v>2604</v>
      </c>
      <c r="F131" s="8" t="s">
        <v>2605</v>
      </c>
      <c r="G131" s="8" t="str" cm="1">
        <f t="array" ref="G131">LOWER(CleanCode(F131))</f>
        <v>durationofusstayandbodymassindexamonglatinoandasianimmigrantsatestoftheoreticalpathways</v>
      </c>
      <c r="H131" s="8"/>
      <c r="I131" s="8"/>
      <c r="J131" s="8" t="s">
        <v>2609</v>
      </c>
      <c r="K131" s="8"/>
      <c r="L131" s="8"/>
      <c r="M131" s="8" t="s">
        <v>2606</v>
      </c>
      <c r="N131" s="8" t="str">
        <f t="shared" ref="N131:N194" si="2">PROPER(M131)</f>
        <v>Social Science &amp; Medicine</v>
      </c>
      <c r="O131" s="8" t="s">
        <v>2615</v>
      </c>
      <c r="P131" s="8" t="s">
        <v>2616</v>
      </c>
      <c r="Q131" s="8" t="s">
        <v>69</v>
      </c>
      <c r="R131" s="8"/>
      <c r="S131" s="8">
        <v>144</v>
      </c>
      <c r="T131" s="8" t="s">
        <v>69</v>
      </c>
      <c r="U131" s="8">
        <v>39</v>
      </c>
      <c r="V131" s="8">
        <v>47</v>
      </c>
      <c r="W131" s="8">
        <v>9</v>
      </c>
      <c r="X131" s="8"/>
      <c r="Y131" s="8">
        <v>82</v>
      </c>
      <c r="Z131" s="8">
        <v>28</v>
      </c>
      <c r="AA131" s="8">
        <v>28</v>
      </c>
      <c r="AB131" s="8">
        <v>0</v>
      </c>
      <c r="AC131" s="8">
        <v>23</v>
      </c>
      <c r="AD131" s="8" t="s">
        <v>2623</v>
      </c>
      <c r="AE131" s="8" t="s">
        <v>2619</v>
      </c>
      <c r="AF131" s="8">
        <v>26387078</v>
      </c>
      <c r="AG131" s="8" t="s">
        <v>771</v>
      </c>
      <c r="AH131" s="8" t="s">
        <v>772</v>
      </c>
      <c r="AI131" s="8" t="s">
        <v>773</v>
      </c>
      <c r="AJ131" s="8" t="s">
        <v>2608</v>
      </c>
      <c r="AK131" s="8" t="s">
        <v>2607</v>
      </c>
      <c r="AL131" s="8"/>
      <c r="AM131" s="8"/>
      <c r="AN131" s="8"/>
      <c r="AO131" s="8"/>
      <c r="AP131" s="8"/>
      <c r="AQ131" s="8"/>
      <c r="AR131" s="8"/>
      <c r="AS131" s="8"/>
      <c r="AT131" s="8"/>
      <c r="AU131" s="8"/>
      <c r="AV131" s="8"/>
      <c r="AW131" s="8"/>
      <c r="AX131" s="8"/>
      <c r="AY131" s="8"/>
      <c r="AZ131" s="8"/>
      <c r="BA131" s="8"/>
      <c r="BB131" s="8"/>
      <c r="BC131" s="8"/>
      <c r="BD131" s="8"/>
      <c r="BE131" s="8"/>
      <c r="BF131" s="8"/>
      <c r="BG131" s="8"/>
      <c r="BH131" s="8"/>
      <c r="BI131" s="8"/>
      <c r="BJ131" s="8"/>
      <c r="BK131" s="8"/>
      <c r="BL131" s="8"/>
      <c r="BM131" s="8"/>
      <c r="BN131" s="8"/>
      <c r="BO131" s="8"/>
      <c r="BP131" s="8"/>
      <c r="BQ131" s="8"/>
      <c r="BR131" s="8"/>
      <c r="BS131" s="8"/>
      <c r="BT131" s="8"/>
      <c r="BU131" s="8"/>
      <c r="BV131" s="8"/>
      <c r="BW131" s="8"/>
      <c r="BX131" s="8"/>
      <c r="BY131" s="8"/>
      <c r="BZ131" s="8"/>
    </row>
    <row r="132" spans="1:78" ht="13" customHeight="1" x14ac:dyDescent="0.15">
      <c r="A132" s="8" t="s">
        <v>6188</v>
      </c>
      <c r="B132" s="8" t="s">
        <v>74</v>
      </c>
      <c r="C132" s="9">
        <v>2015</v>
      </c>
      <c r="D132" s="8" t="s">
        <v>2624</v>
      </c>
      <c r="E132" s="8" t="s">
        <v>2625</v>
      </c>
      <c r="F132" s="8" t="s">
        <v>2626</v>
      </c>
      <c r="G132" s="8" t="str" cm="1">
        <f t="array" ref="G132">LOWER(CleanCode(F132))</f>
        <v>determinantsofhostsocietyacculturationanditsrelationshipwithhealthbehaviorsandoutcomesanewresearchandinterventionframework</v>
      </c>
      <c r="H132" s="8"/>
      <c r="I132" s="8"/>
      <c r="J132" s="8" t="s">
        <v>2630</v>
      </c>
      <c r="K132" s="8"/>
      <c r="L132" s="8"/>
      <c r="M132" s="8" t="s">
        <v>2627</v>
      </c>
      <c r="N132" s="8" t="str">
        <f t="shared" si="2"/>
        <v>Journal Of Immigrant And Minority Health</v>
      </c>
      <c r="O132" s="8" t="s">
        <v>2638</v>
      </c>
      <c r="P132" s="8" t="s">
        <v>2639</v>
      </c>
      <c r="Q132" s="8" t="s">
        <v>69</v>
      </c>
      <c r="R132" s="8"/>
      <c r="S132" s="8">
        <v>17</v>
      </c>
      <c r="T132" s="8">
        <v>5</v>
      </c>
      <c r="U132" s="8">
        <v>1420</v>
      </c>
      <c r="V132" s="8">
        <v>1426</v>
      </c>
      <c r="W132" s="8">
        <v>7</v>
      </c>
      <c r="X132" s="8"/>
      <c r="Y132" s="8">
        <v>63</v>
      </c>
      <c r="Z132" s="8">
        <v>5</v>
      </c>
      <c r="AA132" s="8">
        <v>5</v>
      </c>
      <c r="AB132" s="8">
        <v>2</v>
      </c>
      <c r="AC132" s="8">
        <v>7</v>
      </c>
      <c r="AD132" s="8" t="s">
        <v>2644</v>
      </c>
      <c r="AE132" s="8" t="s">
        <v>2642</v>
      </c>
      <c r="AF132" s="8">
        <v>25225079</v>
      </c>
      <c r="AG132" s="8" t="s">
        <v>572</v>
      </c>
      <c r="AH132" s="8" t="s">
        <v>573</v>
      </c>
      <c r="AI132" s="8" t="s">
        <v>636</v>
      </c>
      <c r="AJ132" s="8" t="s">
        <v>2629</v>
      </c>
      <c r="AK132" s="8" t="s">
        <v>2628</v>
      </c>
      <c r="AL132" s="8"/>
      <c r="AM132" s="8"/>
      <c r="AN132" s="8"/>
      <c r="AO132" s="8"/>
      <c r="AP132" s="8"/>
      <c r="AQ132" s="8"/>
      <c r="AR132" s="8"/>
      <c r="AS132" s="8"/>
      <c r="AT132" s="8"/>
      <c r="AU132" s="8"/>
      <c r="AV132" s="8"/>
      <c r="AW132" s="8"/>
      <c r="AX132" s="8"/>
      <c r="AY132" s="8"/>
      <c r="AZ132" s="8"/>
      <c r="BA132" s="8"/>
      <c r="BB132" s="8"/>
      <c r="BC132" s="8"/>
      <c r="BD132" s="8"/>
      <c r="BE132" s="8"/>
      <c r="BF132" s="8"/>
      <c r="BG132" s="8"/>
      <c r="BH132" s="8"/>
      <c r="BI132" s="8"/>
      <c r="BJ132" s="8"/>
      <c r="BK132" s="8"/>
      <c r="BL132" s="8"/>
      <c r="BM132" s="8"/>
      <c r="BN132" s="8"/>
      <c r="BO132" s="8"/>
      <c r="BP132" s="8"/>
      <c r="BQ132" s="8"/>
      <c r="BR132" s="8"/>
      <c r="BS132" s="8"/>
      <c r="BT132" s="8"/>
      <c r="BU132" s="8"/>
      <c r="BV132" s="8"/>
      <c r="BW132" s="8"/>
      <c r="BX132" s="8"/>
      <c r="BY132" s="8"/>
      <c r="BZ132" s="8"/>
    </row>
    <row r="133" spans="1:78" ht="13" customHeight="1" x14ac:dyDescent="0.15">
      <c r="A133" s="8" t="s">
        <v>6188</v>
      </c>
      <c r="B133" s="8" t="s">
        <v>74</v>
      </c>
      <c r="C133" s="9">
        <v>2015</v>
      </c>
      <c r="D133" s="8" t="s">
        <v>2645</v>
      </c>
      <c r="E133" s="8" t="s">
        <v>2646</v>
      </c>
      <c r="F133" s="8" t="s">
        <v>2647</v>
      </c>
      <c r="G133" s="8" t="str" cm="1">
        <f t="array" ref="G133">LOWER(CleanCode(F133))</f>
        <v>assimilationinamericanlifeanempiricalassessmentofmiltongordonsmultidimensionaltheory</v>
      </c>
      <c r="H133" s="8"/>
      <c r="I133" s="8"/>
      <c r="J133" s="8" t="s">
        <v>2650</v>
      </c>
      <c r="K133" s="8"/>
      <c r="L133" s="8"/>
      <c r="M133" s="8" t="s">
        <v>2648</v>
      </c>
      <c r="N133" s="8" t="str">
        <f t="shared" si="2"/>
        <v>Journal Of Contemporary Religion</v>
      </c>
      <c r="O133" s="8" t="s">
        <v>2655</v>
      </c>
      <c r="P133" s="8" t="s">
        <v>2656</v>
      </c>
      <c r="Q133" s="8" t="s">
        <v>69</v>
      </c>
      <c r="R133" s="8"/>
      <c r="S133" s="8">
        <v>30</v>
      </c>
      <c r="T133" s="8">
        <v>3</v>
      </c>
      <c r="U133" s="8">
        <v>473</v>
      </c>
      <c r="V133" s="8">
        <v>496</v>
      </c>
      <c r="W133" s="8">
        <v>24</v>
      </c>
      <c r="X133" s="8"/>
      <c r="Y133" s="8">
        <v>67</v>
      </c>
      <c r="Z133" s="8">
        <v>1</v>
      </c>
      <c r="AA133" s="8">
        <v>1</v>
      </c>
      <c r="AB133" s="8">
        <v>1</v>
      </c>
      <c r="AC133" s="8">
        <v>11</v>
      </c>
      <c r="AD133" s="8" t="s">
        <v>2662</v>
      </c>
      <c r="AE133" s="8" t="s">
        <v>2660</v>
      </c>
      <c r="AF133" s="8" t="s">
        <v>69</v>
      </c>
      <c r="AG133" s="8" t="s">
        <v>108</v>
      </c>
      <c r="AH133" s="8" t="s">
        <v>109</v>
      </c>
      <c r="AI133" s="8" t="s">
        <v>110</v>
      </c>
      <c r="AJ133" s="8" t="s">
        <v>2649</v>
      </c>
      <c r="AK133" s="8" t="s">
        <v>69</v>
      </c>
      <c r="AL133" s="8"/>
      <c r="AM133" s="8"/>
      <c r="AN133" s="8"/>
      <c r="AO133" s="8"/>
      <c r="AP133" s="8"/>
      <c r="AQ133" s="8"/>
      <c r="AR133" s="8"/>
      <c r="AS133" s="8"/>
      <c r="AT133" s="8"/>
      <c r="AU133" s="8"/>
      <c r="AV133" s="8"/>
      <c r="AW133" s="8"/>
      <c r="AX133" s="8"/>
      <c r="AY133" s="8"/>
      <c r="AZ133" s="8"/>
      <c r="BA133" s="8"/>
      <c r="BB133" s="8"/>
      <c r="BC133" s="8"/>
      <c r="BD133" s="8"/>
      <c r="BE133" s="8"/>
      <c r="BF133" s="8"/>
      <c r="BG133" s="8"/>
      <c r="BH133" s="8"/>
      <c r="BI133" s="8"/>
      <c r="BJ133" s="8"/>
      <c r="BK133" s="8"/>
      <c r="BL133" s="8"/>
      <c r="BM133" s="8"/>
      <c r="BN133" s="8"/>
      <c r="BO133" s="8"/>
      <c r="BP133" s="8"/>
      <c r="BQ133" s="8"/>
      <c r="BR133" s="8"/>
      <c r="BS133" s="8"/>
      <c r="BT133" s="8"/>
      <c r="BU133" s="8"/>
      <c r="BV133" s="8"/>
      <c r="BW133" s="8"/>
      <c r="BX133" s="8"/>
      <c r="BY133" s="8"/>
      <c r="BZ133" s="8"/>
    </row>
    <row r="134" spans="1:78" ht="13" customHeight="1" x14ac:dyDescent="0.15">
      <c r="A134" s="8" t="s">
        <v>6188</v>
      </c>
      <c r="B134" s="8" t="s">
        <v>74</v>
      </c>
      <c r="C134" s="9">
        <v>2015</v>
      </c>
      <c r="D134" s="8" t="s">
        <v>2663</v>
      </c>
      <c r="E134" s="8" t="s">
        <v>2664</v>
      </c>
      <c r="F134" s="8" t="s">
        <v>2665</v>
      </c>
      <c r="G134" s="8" t="str" cm="1">
        <f t="array" ref="G134">LOWER(CleanCode(F134))</f>
        <v>mappingmigrantsinclusionananalyticalframeworkforexaminingpolicyoutput</v>
      </c>
      <c r="H134" s="8"/>
      <c r="I134" s="8"/>
      <c r="J134" s="8" t="s">
        <v>2668</v>
      </c>
      <c r="K134" s="8"/>
      <c r="L134" s="8"/>
      <c r="M134" s="8" t="s">
        <v>197</v>
      </c>
      <c r="N134" s="8" t="str">
        <f t="shared" si="2"/>
        <v>Ethnic And Racial Studies</v>
      </c>
      <c r="O134" s="8" t="s">
        <v>205</v>
      </c>
      <c r="P134" s="8" t="s">
        <v>206</v>
      </c>
      <c r="Q134" s="8" t="s">
        <v>69</v>
      </c>
      <c r="R134" s="8"/>
      <c r="S134" s="8">
        <v>38</v>
      </c>
      <c r="T134" s="8">
        <v>10</v>
      </c>
      <c r="U134" s="8">
        <v>1707</v>
      </c>
      <c r="V134" s="8">
        <v>1723</v>
      </c>
      <c r="W134" s="8">
        <v>17</v>
      </c>
      <c r="X134" s="8"/>
      <c r="Y134" s="8">
        <v>57</v>
      </c>
      <c r="Z134" s="8">
        <v>0</v>
      </c>
      <c r="AA134" s="8">
        <v>0</v>
      </c>
      <c r="AB134" s="8">
        <v>0</v>
      </c>
      <c r="AC134" s="8">
        <v>21</v>
      </c>
      <c r="AD134" s="8" t="s">
        <v>2677</v>
      </c>
      <c r="AE134" s="8" t="s">
        <v>2675</v>
      </c>
      <c r="AF134" s="8" t="s">
        <v>69</v>
      </c>
      <c r="AG134" s="8" t="s">
        <v>108</v>
      </c>
      <c r="AH134" s="8" t="s">
        <v>109</v>
      </c>
      <c r="AI134" s="8" t="s">
        <v>110</v>
      </c>
      <c r="AJ134" s="8" t="s">
        <v>2667</v>
      </c>
      <c r="AK134" s="8" t="s">
        <v>2666</v>
      </c>
      <c r="AL134" s="8"/>
      <c r="AM134" s="8"/>
      <c r="AN134" s="8"/>
      <c r="AO134" s="8"/>
      <c r="AP134" s="8"/>
      <c r="AQ134" s="8"/>
      <c r="AR134" s="8"/>
      <c r="AS134" s="8"/>
      <c r="AT134" s="8"/>
      <c r="AU134" s="8"/>
      <c r="AV134" s="8"/>
      <c r="AW134" s="8"/>
      <c r="AX134" s="8"/>
      <c r="AY134" s="8"/>
      <c r="AZ134" s="8"/>
      <c r="BA134" s="8"/>
      <c r="BB134" s="8"/>
      <c r="BC134" s="8"/>
      <c r="BD134" s="8"/>
      <c r="BE134" s="8"/>
      <c r="BF134" s="8"/>
      <c r="BG134" s="8"/>
      <c r="BH134" s="8"/>
      <c r="BI134" s="8"/>
      <c r="BJ134" s="8"/>
      <c r="BK134" s="8"/>
      <c r="BL134" s="8"/>
      <c r="BM134" s="8"/>
      <c r="BN134" s="8"/>
      <c r="BO134" s="8"/>
      <c r="BP134" s="8"/>
      <c r="BQ134" s="8"/>
      <c r="BR134" s="8"/>
      <c r="BS134" s="8"/>
      <c r="BT134" s="8"/>
      <c r="BU134" s="8"/>
      <c r="BV134" s="8"/>
      <c r="BW134" s="8"/>
      <c r="BX134" s="8"/>
      <c r="BY134" s="8"/>
      <c r="BZ134" s="8"/>
    </row>
    <row r="135" spans="1:78" ht="13" customHeight="1" x14ac:dyDescent="0.15">
      <c r="A135" s="8" t="s">
        <v>6188</v>
      </c>
      <c r="B135" s="8" t="s">
        <v>74</v>
      </c>
      <c r="C135" s="9">
        <v>2015</v>
      </c>
      <c r="D135" s="8" t="s">
        <v>2678</v>
      </c>
      <c r="E135" s="8" t="s">
        <v>2679</v>
      </c>
      <c r="F135" s="8" t="s">
        <v>2680</v>
      </c>
      <c r="G135" s="8" t="str" cm="1">
        <f t="array" ref="G135">LOWER(CleanCode(F135))</f>
        <v>thespectreofjapantheinfluenceofforeignrelationsonracerelationstheory190524</v>
      </c>
      <c r="H135" s="8"/>
      <c r="I135" s="8"/>
      <c r="J135" s="8" t="s">
        <v>2684</v>
      </c>
      <c r="K135" s="8"/>
      <c r="L135" s="8"/>
      <c r="M135" s="8" t="s">
        <v>2681</v>
      </c>
      <c r="N135" s="8" t="str">
        <f t="shared" si="2"/>
        <v>Patterns Of Prejudice</v>
      </c>
      <c r="O135" s="8" t="s">
        <v>2688</v>
      </c>
      <c r="P135" s="8" t="s">
        <v>2689</v>
      </c>
      <c r="Q135" s="8" t="s">
        <v>69</v>
      </c>
      <c r="R135" s="8"/>
      <c r="S135" s="8">
        <v>49</v>
      </c>
      <c r="T135" s="8">
        <v>4</v>
      </c>
      <c r="U135" s="8">
        <v>317</v>
      </c>
      <c r="V135" s="8">
        <v>342</v>
      </c>
      <c r="W135" s="8">
        <v>26</v>
      </c>
      <c r="X135" s="8"/>
      <c r="Y135" s="8">
        <v>111</v>
      </c>
      <c r="Z135" s="8">
        <v>0</v>
      </c>
      <c r="AA135" s="8">
        <v>0</v>
      </c>
      <c r="AB135" s="8">
        <v>0</v>
      </c>
      <c r="AC135" s="8">
        <v>6</v>
      </c>
      <c r="AD135" s="8" t="s">
        <v>2697</v>
      </c>
      <c r="AE135" s="8" t="s">
        <v>2693</v>
      </c>
      <c r="AF135" s="8" t="s">
        <v>69</v>
      </c>
      <c r="AG135" s="8" t="s">
        <v>108</v>
      </c>
      <c r="AH135" s="8" t="s">
        <v>109</v>
      </c>
      <c r="AI135" s="8" t="s">
        <v>110</v>
      </c>
      <c r="AJ135" s="8" t="s">
        <v>2683</v>
      </c>
      <c r="AK135" s="8" t="s">
        <v>2682</v>
      </c>
      <c r="AL135" s="8"/>
      <c r="AM135" s="8"/>
      <c r="AN135" s="8"/>
      <c r="AO135" s="8"/>
      <c r="AP135" s="8"/>
      <c r="AQ135" s="8"/>
      <c r="AR135" s="8"/>
      <c r="AS135" s="8"/>
      <c r="AT135" s="8"/>
      <c r="AU135" s="8"/>
      <c r="AV135" s="8"/>
      <c r="AW135" s="8"/>
      <c r="AX135" s="8"/>
      <c r="AY135" s="8"/>
      <c r="AZ135" s="8"/>
      <c r="BA135" s="8"/>
      <c r="BB135" s="8"/>
      <c r="BC135" s="8"/>
      <c r="BD135" s="8"/>
      <c r="BE135" s="8"/>
      <c r="BF135" s="8"/>
      <c r="BG135" s="8"/>
      <c r="BH135" s="8"/>
      <c r="BI135" s="8"/>
      <c r="BJ135" s="8"/>
      <c r="BK135" s="8"/>
      <c r="BL135" s="8"/>
      <c r="BM135" s="8"/>
      <c r="BN135" s="8"/>
      <c r="BO135" s="8"/>
      <c r="BP135" s="8"/>
      <c r="BQ135" s="8"/>
      <c r="BR135" s="8"/>
      <c r="BS135" s="8"/>
      <c r="BT135" s="8"/>
      <c r="BU135" s="8"/>
      <c r="BV135" s="8"/>
      <c r="BW135" s="8"/>
      <c r="BX135" s="8"/>
      <c r="BY135" s="8"/>
      <c r="BZ135" s="8"/>
    </row>
    <row r="136" spans="1:78" ht="13" customHeight="1" x14ac:dyDescent="0.15">
      <c r="A136" s="8" t="s">
        <v>6188</v>
      </c>
      <c r="B136" s="8" t="s">
        <v>2244</v>
      </c>
      <c r="C136" s="9">
        <v>2015</v>
      </c>
      <c r="D136" s="8" t="s">
        <v>2698</v>
      </c>
      <c r="E136" s="8" t="s">
        <v>2699</v>
      </c>
      <c r="F136" s="8" t="s">
        <v>2700</v>
      </c>
      <c r="G136" s="8" t="str" cm="1">
        <f t="array" ref="G136">LOWER(CleanCode(F136))</f>
        <v>immigrationandtheartsatheoreticalinquiry</v>
      </c>
      <c r="H136" s="8"/>
      <c r="I136" s="8"/>
      <c r="J136" s="8" t="s">
        <v>2702</v>
      </c>
      <c r="K136" s="8"/>
      <c r="L136" s="8"/>
      <c r="M136" s="8" t="s">
        <v>197</v>
      </c>
      <c r="N136" s="8" t="str">
        <f t="shared" si="2"/>
        <v>Ethnic And Racial Studies</v>
      </c>
      <c r="O136" s="8" t="s">
        <v>205</v>
      </c>
      <c r="P136" s="8" t="s">
        <v>206</v>
      </c>
      <c r="Q136" s="8" t="s">
        <v>69</v>
      </c>
      <c r="R136" s="8"/>
      <c r="S136" s="8">
        <v>38</v>
      </c>
      <c r="T136" s="8">
        <v>8</v>
      </c>
      <c r="U136" s="8">
        <v>1236</v>
      </c>
      <c r="V136" s="8">
        <v>1244</v>
      </c>
      <c r="W136" s="8">
        <v>9</v>
      </c>
      <c r="X136" s="8"/>
      <c r="Y136" s="8">
        <v>17</v>
      </c>
      <c r="Z136" s="8">
        <v>8</v>
      </c>
      <c r="AA136" s="8">
        <v>8</v>
      </c>
      <c r="AB136" s="8">
        <v>0</v>
      </c>
      <c r="AC136" s="8">
        <v>12</v>
      </c>
      <c r="AD136" s="8" t="s">
        <v>2710</v>
      </c>
      <c r="AE136" s="8" t="s">
        <v>2708</v>
      </c>
      <c r="AF136" s="8" t="s">
        <v>69</v>
      </c>
      <c r="AG136" s="8" t="s">
        <v>108</v>
      </c>
      <c r="AH136" s="8" t="s">
        <v>109</v>
      </c>
      <c r="AI136" s="8" t="s">
        <v>2706</v>
      </c>
      <c r="AJ136" s="8" t="s">
        <v>69</v>
      </c>
      <c r="AK136" s="8" t="s">
        <v>2701</v>
      </c>
      <c r="AL136" s="8"/>
      <c r="AM136" s="8"/>
      <c r="AN136" s="8"/>
      <c r="AO136" s="8"/>
      <c r="AP136" s="8"/>
      <c r="AQ136" s="8"/>
      <c r="AR136" s="8"/>
      <c r="AS136" s="8"/>
      <c r="AT136" s="8"/>
      <c r="AU136" s="8"/>
      <c r="AV136" s="8"/>
      <c r="AW136" s="8"/>
      <c r="AX136" s="8"/>
      <c r="AY136" s="8"/>
      <c r="AZ136" s="8"/>
      <c r="BA136" s="8"/>
      <c r="BB136" s="8"/>
      <c r="BC136" s="8"/>
      <c r="BD136" s="8"/>
      <c r="BE136" s="8"/>
      <c r="BF136" s="8"/>
      <c r="BG136" s="8"/>
      <c r="BH136" s="8"/>
      <c r="BI136" s="8"/>
      <c r="BJ136" s="8"/>
      <c r="BK136" s="8"/>
      <c r="BL136" s="8"/>
      <c r="BM136" s="8"/>
      <c r="BN136" s="8"/>
      <c r="BO136" s="8"/>
      <c r="BP136" s="8"/>
      <c r="BQ136" s="8"/>
      <c r="BR136" s="8"/>
      <c r="BS136" s="8"/>
      <c r="BT136" s="8"/>
      <c r="BU136" s="8"/>
      <c r="BV136" s="8"/>
      <c r="BW136" s="8"/>
      <c r="BX136" s="8"/>
      <c r="BY136" s="8"/>
      <c r="BZ136" s="8"/>
    </row>
    <row r="137" spans="1:78" ht="13" customHeight="1" x14ac:dyDescent="0.15">
      <c r="A137" s="8" t="s">
        <v>6188</v>
      </c>
      <c r="B137" s="8" t="s">
        <v>74</v>
      </c>
      <c r="C137" s="9">
        <v>2015</v>
      </c>
      <c r="D137" s="8" t="s">
        <v>2711</v>
      </c>
      <c r="E137" s="8" t="s">
        <v>2712</v>
      </c>
      <c r="F137" s="8" t="s">
        <v>2713</v>
      </c>
      <c r="G137" s="8" t="str" cm="1">
        <f t="array" ref="G137">LOWER(CleanCode(F137))</f>
        <v>psychologicalhelpseekingamonglatinamericanimmigrantsincanadatestingaculturallyexpandedmodelofthetheoryofreasonedactionusingpathanalysis</v>
      </c>
      <c r="H137" s="8"/>
      <c r="I137" s="8"/>
      <c r="J137" s="8" t="s">
        <v>2716</v>
      </c>
      <c r="K137" s="8"/>
      <c r="L137" s="8"/>
      <c r="M137" s="8" t="s">
        <v>2714</v>
      </c>
      <c r="N137" s="8" t="str">
        <f t="shared" si="2"/>
        <v>International Journal For The Advancement Of Counselling</v>
      </c>
      <c r="O137" s="8" t="s">
        <v>2721</v>
      </c>
      <c r="P137" s="8" t="s">
        <v>2722</v>
      </c>
      <c r="Q137" s="8" t="s">
        <v>69</v>
      </c>
      <c r="R137" s="8"/>
      <c r="S137" s="8">
        <v>37</v>
      </c>
      <c r="T137" s="8">
        <v>2</v>
      </c>
      <c r="U137" s="8">
        <v>179</v>
      </c>
      <c r="V137" s="8">
        <v>197</v>
      </c>
      <c r="W137" s="8">
        <v>19</v>
      </c>
      <c r="X137" s="8"/>
      <c r="Y137" s="8">
        <v>46</v>
      </c>
      <c r="Z137" s="8">
        <v>7</v>
      </c>
      <c r="AA137" s="8">
        <v>8</v>
      </c>
      <c r="AB137" s="8">
        <v>0</v>
      </c>
      <c r="AC137" s="8">
        <v>2</v>
      </c>
      <c r="AD137" s="8" t="s">
        <v>2727</v>
      </c>
      <c r="AE137" s="8" t="s">
        <v>2725</v>
      </c>
      <c r="AF137" s="8" t="s">
        <v>69</v>
      </c>
      <c r="AG137" s="8" t="s">
        <v>572</v>
      </c>
      <c r="AH137" s="8" t="s">
        <v>573</v>
      </c>
      <c r="AI137" s="8" t="s">
        <v>636</v>
      </c>
      <c r="AJ137" s="8" t="s">
        <v>69</v>
      </c>
      <c r="AK137" s="8" t="s">
        <v>2715</v>
      </c>
      <c r="AL137" s="8"/>
      <c r="AM137" s="8"/>
      <c r="AN137" s="8"/>
      <c r="AO137" s="8"/>
      <c r="AP137" s="8"/>
      <c r="AQ137" s="8"/>
      <c r="AR137" s="8"/>
      <c r="AS137" s="8"/>
      <c r="AT137" s="8"/>
      <c r="AU137" s="8"/>
      <c r="AV137" s="8"/>
      <c r="AW137" s="8"/>
      <c r="AX137" s="8"/>
      <c r="AY137" s="8"/>
      <c r="AZ137" s="8"/>
      <c r="BA137" s="8"/>
      <c r="BB137" s="8"/>
      <c r="BC137" s="8"/>
      <c r="BD137" s="8"/>
      <c r="BE137" s="8"/>
      <c r="BF137" s="8"/>
      <c r="BG137" s="8"/>
      <c r="BH137" s="8"/>
      <c r="BI137" s="8"/>
      <c r="BJ137" s="8"/>
      <c r="BK137" s="8"/>
      <c r="BL137" s="8"/>
      <c r="BM137" s="8"/>
      <c r="BN137" s="8"/>
      <c r="BO137" s="8"/>
      <c r="BP137" s="8"/>
      <c r="BQ137" s="8"/>
      <c r="BR137" s="8"/>
      <c r="BS137" s="8"/>
      <c r="BT137" s="8"/>
      <c r="BU137" s="8"/>
      <c r="BV137" s="8"/>
      <c r="BW137" s="8"/>
      <c r="BX137" s="8"/>
      <c r="BY137" s="8"/>
      <c r="BZ137" s="8"/>
    </row>
    <row r="138" spans="1:78" ht="13" customHeight="1" x14ac:dyDescent="0.15">
      <c r="A138" s="8" t="s">
        <v>6188</v>
      </c>
      <c r="B138" s="8" t="s">
        <v>74</v>
      </c>
      <c r="C138" s="9">
        <v>2015</v>
      </c>
      <c r="D138" s="8" t="s">
        <v>2728</v>
      </c>
      <c r="E138" s="8" t="s">
        <v>2729</v>
      </c>
      <c r="F138" s="8" t="s">
        <v>2730</v>
      </c>
      <c r="G138" s="8" t="str" cm="1">
        <f t="array" ref="G138">LOWER(CleanCode(F138))</f>
        <v>homogeneityversusheterogeneityofculturalvaluesanitemresponsetheoreticalapproachapplyinghofstedesculturaldimensionsinasinglenation</v>
      </c>
      <c r="H138" s="8"/>
      <c r="I138" s="8"/>
      <c r="J138" s="8" t="s">
        <v>2734</v>
      </c>
      <c r="K138" s="8"/>
      <c r="L138" s="8"/>
      <c r="M138" s="8" t="s">
        <v>2731</v>
      </c>
      <c r="N138" s="8" t="str">
        <f t="shared" si="2"/>
        <v>Tourism Management</v>
      </c>
      <c r="O138" s="8" t="s">
        <v>2740</v>
      </c>
      <c r="P138" s="8" t="s">
        <v>2741</v>
      </c>
      <c r="Q138" s="8" t="s">
        <v>69</v>
      </c>
      <c r="R138" s="8"/>
      <c r="S138" s="8">
        <v>48</v>
      </c>
      <c r="T138" s="8" t="s">
        <v>69</v>
      </c>
      <c r="U138" s="8">
        <v>299</v>
      </c>
      <c r="V138" s="8">
        <v>304</v>
      </c>
      <c r="W138" s="8">
        <v>6</v>
      </c>
      <c r="X138" s="8"/>
      <c r="Y138" s="8">
        <v>45</v>
      </c>
      <c r="Z138" s="8">
        <v>28</v>
      </c>
      <c r="AA138" s="8">
        <v>29</v>
      </c>
      <c r="AB138" s="8">
        <v>5</v>
      </c>
      <c r="AC138" s="8">
        <v>62</v>
      </c>
      <c r="AD138" s="8" t="s">
        <v>2748</v>
      </c>
      <c r="AE138" s="8" t="s">
        <v>2744</v>
      </c>
      <c r="AF138" s="8" t="s">
        <v>69</v>
      </c>
      <c r="AG138" s="8" t="s">
        <v>1994</v>
      </c>
      <c r="AH138" s="8" t="s">
        <v>772</v>
      </c>
      <c r="AI138" s="8" t="s">
        <v>1995</v>
      </c>
      <c r="AJ138" s="8" t="s">
        <v>2733</v>
      </c>
      <c r="AK138" s="8" t="s">
        <v>2732</v>
      </c>
      <c r="AL138" s="8"/>
      <c r="AM138" s="8"/>
      <c r="AN138" s="8"/>
      <c r="AO138" s="8"/>
      <c r="AP138" s="8"/>
      <c r="AQ138" s="8"/>
      <c r="AR138" s="8"/>
      <c r="AS138" s="8"/>
      <c r="AT138" s="8"/>
      <c r="AU138" s="8"/>
      <c r="AV138" s="8"/>
      <c r="AW138" s="8"/>
      <c r="AX138" s="8"/>
      <c r="AY138" s="8"/>
      <c r="AZ138" s="8"/>
      <c r="BA138" s="8"/>
      <c r="BB138" s="8"/>
      <c r="BC138" s="8"/>
      <c r="BD138" s="8"/>
      <c r="BE138" s="8"/>
      <c r="BF138" s="8"/>
      <c r="BG138" s="8"/>
      <c r="BH138" s="8"/>
      <c r="BI138" s="8"/>
      <c r="BJ138" s="8"/>
      <c r="BK138" s="8"/>
      <c r="BL138" s="8"/>
      <c r="BM138" s="8"/>
      <c r="BN138" s="8"/>
      <c r="BO138" s="8"/>
      <c r="BP138" s="8"/>
      <c r="BQ138" s="8"/>
      <c r="BR138" s="8"/>
      <c r="BS138" s="8"/>
      <c r="BT138" s="8"/>
      <c r="BU138" s="8"/>
      <c r="BV138" s="8"/>
      <c r="BW138" s="8"/>
      <c r="BX138" s="8"/>
      <c r="BY138" s="8"/>
      <c r="BZ138" s="8"/>
    </row>
    <row r="139" spans="1:78" ht="13" customHeight="1" x14ac:dyDescent="0.15">
      <c r="A139" s="8" t="s">
        <v>6188</v>
      </c>
      <c r="B139" s="8" t="s">
        <v>2244</v>
      </c>
      <c r="C139" s="9">
        <v>2015</v>
      </c>
      <c r="D139" s="8" t="s">
        <v>2749</v>
      </c>
      <c r="E139" s="8" t="s">
        <v>2750</v>
      </c>
      <c r="F139" s="8" t="s">
        <v>2751</v>
      </c>
      <c r="G139" s="8" t="str" cm="1">
        <f t="array" ref="G139">LOWER(CleanCode(F139))</f>
        <v>humanresourcemanagementofinternationalmigrantscurrenttheoriesandfutureresearchintroduction</v>
      </c>
      <c r="H139" s="8"/>
      <c r="I139" s="8"/>
      <c r="J139" s="8" t="s">
        <v>2755</v>
      </c>
      <c r="K139" s="8"/>
      <c r="L139" s="8"/>
      <c r="M139" s="8" t="s">
        <v>2752</v>
      </c>
      <c r="N139" s="8" t="str">
        <f t="shared" si="2"/>
        <v>International Journal Of Human Resource Management</v>
      </c>
      <c r="O139" s="8" t="s">
        <v>2759</v>
      </c>
      <c r="P139" s="8" t="s">
        <v>2760</v>
      </c>
      <c r="Q139" s="8" t="s">
        <v>69</v>
      </c>
      <c r="R139" s="8"/>
      <c r="S139" s="8">
        <v>26</v>
      </c>
      <c r="T139" s="8">
        <v>10</v>
      </c>
      <c r="U139" s="8">
        <v>1287</v>
      </c>
      <c r="V139" s="8">
        <v>1297</v>
      </c>
      <c r="W139" s="8">
        <v>11</v>
      </c>
      <c r="X139" s="8"/>
      <c r="Y139" s="8">
        <v>42</v>
      </c>
      <c r="Z139" s="8">
        <v>47</v>
      </c>
      <c r="AA139" s="8">
        <v>47</v>
      </c>
      <c r="AB139" s="8">
        <v>0</v>
      </c>
      <c r="AC139" s="8">
        <v>60</v>
      </c>
      <c r="AD139" s="8" t="s">
        <v>2766</v>
      </c>
      <c r="AE139" s="8" t="s">
        <v>2764</v>
      </c>
      <c r="AF139" s="8" t="s">
        <v>69</v>
      </c>
      <c r="AG139" s="8" t="s">
        <v>108</v>
      </c>
      <c r="AH139" s="8" t="s">
        <v>109</v>
      </c>
      <c r="AI139" s="8" t="s">
        <v>2706</v>
      </c>
      <c r="AJ139" s="8" t="s">
        <v>2754</v>
      </c>
      <c r="AK139" s="8" t="s">
        <v>2753</v>
      </c>
      <c r="AL139" s="8"/>
      <c r="AM139" s="8"/>
      <c r="AN139" s="8"/>
      <c r="AO139" s="8"/>
      <c r="AP139" s="8"/>
      <c r="AQ139" s="8"/>
      <c r="AR139" s="8"/>
      <c r="AS139" s="8"/>
      <c r="AT139" s="8"/>
      <c r="AU139" s="8"/>
      <c r="AV139" s="8"/>
      <c r="AW139" s="8"/>
      <c r="AX139" s="8"/>
      <c r="AY139" s="8"/>
      <c r="AZ139" s="8"/>
      <c r="BA139" s="8"/>
      <c r="BB139" s="8"/>
      <c r="BC139" s="8"/>
      <c r="BD139" s="8"/>
      <c r="BE139" s="8"/>
      <c r="BF139" s="8"/>
      <c r="BG139" s="8"/>
      <c r="BH139" s="8"/>
      <c r="BI139" s="8"/>
      <c r="BJ139" s="8"/>
      <c r="BK139" s="8"/>
      <c r="BL139" s="8"/>
      <c r="BM139" s="8"/>
      <c r="BN139" s="8"/>
      <c r="BO139" s="8"/>
      <c r="BP139" s="8"/>
      <c r="BQ139" s="8"/>
      <c r="BR139" s="8"/>
      <c r="BS139" s="8"/>
      <c r="BT139" s="8"/>
      <c r="BU139" s="8"/>
      <c r="BV139" s="8"/>
      <c r="BW139" s="8"/>
      <c r="BX139" s="8"/>
      <c r="BY139" s="8"/>
      <c r="BZ139" s="8"/>
    </row>
    <row r="140" spans="1:78" ht="13" customHeight="1" x14ac:dyDescent="0.15">
      <c r="A140" s="8" t="s">
        <v>6188</v>
      </c>
      <c r="B140" s="8" t="s">
        <v>74</v>
      </c>
      <c r="C140" s="9">
        <v>2015</v>
      </c>
      <c r="D140" s="8" t="s">
        <v>2767</v>
      </c>
      <c r="E140" s="8" t="s">
        <v>2768</v>
      </c>
      <c r="F140" s="8" t="s">
        <v>2769</v>
      </c>
      <c r="G140" s="8" t="str" cm="1">
        <f t="array" ref="G140">LOWER(CleanCode(F140))</f>
        <v>socioculturalinfluencesonthebehaviourofsouthasianwomenwithdiabetesinpregnancyqualitativestudyusingamultileveltheoreticalapproach</v>
      </c>
      <c r="H140" s="8"/>
      <c r="I140" s="8"/>
      <c r="J140" s="8" t="s">
        <v>2773</v>
      </c>
      <c r="K140" s="8"/>
      <c r="L140" s="8"/>
      <c r="M140" s="8" t="s">
        <v>2770</v>
      </c>
      <c r="N140" s="8" t="str">
        <f t="shared" si="2"/>
        <v>Bmc Medicine</v>
      </c>
      <c r="O140" s="8" t="s">
        <v>2780</v>
      </c>
      <c r="P140" s="8" t="s">
        <v>69</v>
      </c>
      <c r="Q140" s="8" t="s">
        <v>69</v>
      </c>
      <c r="R140" s="8"/>
      <c r="S140" s="8">
        <v>13</v>
      </c>
      <c r="T140" s="8" t="s">
        <v>69</v>
      </c>
      <c r="U140" s="8" t="s">
        <v>69</v>
      </c>
      <c r="V140" s="8" t="s">
        <v>69</v>
      </c>
      <c r="W140" s="8">
        <v>15</v>
      </c>
      <c r="X140" s="8"/>
      <c r="Y140" s="8">
        <v>86</v>
      </c>
      <c r="Z140" s="8">
        <v>34</v>
      </c>
      <c r="AA140" s="8">
        <v>34</v>
      </c>
      <c r="AB140" s="8">
        <v>0</v>
      </c>
      <c r="AC140" s="8">
        <v>43</v>
      </c>
      <c r="AD140" s="8" t="s">
        <v>2786</v>
      </c>
      <c r="AE140" s="8" t="s">
        <v>2784</v>
      </c>
      <c r="AF140" s="8">
        <v>25998551</v>
      </c>
      <c r="AG140" s="8" t="s">
        <v>1414</v>
      </c>
      <c r="AH140" s="8" t="s">
        <v>156</v>
      </c>
      <c r="AI140" s="8" t="s">
        <v>1415</v>
      </c>
      <c r="AJ140" s="8" t="s">
        <v>2772</v>
      </c>
      <c r="AK140" s="8" t="s">
        <v>2771</v>
      </c>
      <c r="AL140" s="8"/>
      <c r="AM140" s="8"/>
      <c r="AN140" s="8"/>
      <c r="AO140" s="8"/>
      <c r="AP140" s="8"/>
      <c r="AQ140" s="8"/>
      <c r="AR140" s="8"/>
      <c r="AS140" s="8"/>
      <c r="AT140" s="8"/>
      <c r="AU140" s="8"/>
      <c r="AV140" s="8"/>
      <c r="AW140" s="8"/>
      <c r="AX140" s="8"/>
      <c r="AY140" s="8"/>
      <c r="AZ140" s="8"/>
      <c r="BA140" s="8"/>
      <c r="BB140" s="8"/>
      <c r="BC140" s="8"/>
      <c r="BD140" s="8"/>
      <c r="BE140" s="8"/>
      <c r="BF140" s="8"/>
      <c r="BG140" s="8"/>
      <c r="BH140" s="8"/>
      <c r="BI140" s="8"/>
      <c r="BJ140" s="8"/>
      <c r="BK140" s="8"/>
      <c r="BL140" s="8"/>
      <c r="BM140" s="8"/>
      <c r="BN140" s="8"/>
      <c r="BO140" s="8"/>
      <c r="BP140" s="8"/>
      <c r="BQ140" s="8"/>
      <c r="BR140" s="8"/>
      <c r="BS140" s="8"/>
      <c r="BT140" s="8"/>
      <c r="BU140" s="8"/>
      <c r="BV140" s="8"/>
      <c r="BW140" s="8"/>
      <c r="BX140" s="8"/>
      <c r="BY140" s="8"/>
      <c r="BZ140" s="8"/>
    </row>
    <row r="141" spans="1:78" ht="13" customHeight="1" x14ac:dyDescent="0.15">
      <c r="A141" s="8" t="s">
        <v>6188</v>
      </c>
      <c r="B141" s="8" t="s">
        <v>74</v>
      </c>
      <c r="C141" s="9">
        <v>2015</v>
      </c>
      <c r="D141" s="8" t="s">
        <v>2787</v>
      </c>
      <c r="E141" s="8" t="s">
        <v>2788</v>
      </c>
      <c r="F141" s="8" t="s">
        <v>2789</v>
      </c>
      <c r="G141" s="8" t="str" cm="1">
        <f t="array" ref="G141">LOWER(CleanCode(F141))</f>
        <v>theimpactoftheassimilationofmigrantsonthewellbeingofnativeinhabitantsatheory</v>
      </c>
      <c r="H141" s="8"/>
      <c r="I141" s="8"/>
      <c r="J141" s="8" t="s">
        <v>2792</v>
      </c>
      <c r="K141" s="8"/>
      <c r="L141" s="8"/>
      <c r="M141" s="8" t="s">
        <v>2790</v>
      </c>
      <c r="N141" s="8" t="str">
        <f t="shared" si="2"/>
        <v>Journal Of Economic Behavior &amp; Organization</v>
      </c>
      <c r="O141" s="8" t="s">
        <v>2800</v>
      </c>
      <c r="P141" s="8" t="s">
        <v>2801</v>
      </c>
      <c r="Q141" s="8" t="s">
        <v>69</v>
      </c>
      <c r="R141" s="8"/>
      <c r="S141" s="8">
        <v>111</v>
      </c>
      <c r="T141" s="8" t="s">
        <v>69</v>
      </c>
      <c r="U141" s="8">
        <v>71</v>
      </c>
      <c r="V141" s="8">
        <v>78</v>
      </c>
      <c r="W141" s="8">
        <v>8</v>
      </c>
      <c r="X141" s="8"/>
      <c r="Y141" s="8">
        <v>6</v>
      </c>
      <c r="Z141" s="8">
        <v>2</v>
      </c>
      <c r="AA141" s="8">
        <v>2</v>
      </c>
      <c r="AB141" s="8">
        <v>2</v>
      </c>
      <c r="AC141" s="8">
        <v>12</v>
      </c>
      <c r="AD141" s="8" t="s">
        <v>2806</v>
      </c>
      <c r="AE141" s="8" t="s">
        <v>2804</v>
      </c>
      <c r="AF141" s="8" t="s">
        <v>69</v>
      </c>
      <c r="AG141" s="8" t="s">
        <v>953</v>
      </c>
      <c r="AH141" s="8" t="s">
        <v>954</v>
      </c>
      <c r="AI141" s="8" t="s">
        <v>955</v>
      </c>
      <c r="AJ141" s="8" t="s">
        <v>69</v>
      </c>
      <c r="AK141" s="8" t="s">
        <v>2791</v>
      </c>
      <c r="AL141" s="8"/>
      <c r="AM141" s="8"/>
      <c r="AN141" s="8"/>
      <c r="AO141" s="8"/>
      <c r="AP141" s="8"/>
      <c r="AQ141" s="8"/>
      <c r="AR141" s="8"/>
      <c r="AS141" s="8"/>
      <c r="AT141" s="8"/>
      <c r="AU141" s="8"/>
      <c r="AV141" s="8"/>
      <c r="AW141" s="8"/>
      <c r="AX141" s="8"/>
      <c r="AY141" s="8"/>
      <c r="AZ141" s="8"/>
      <c r="BA141" s="8"/>
      <c r="BB141" s="8"/>
      <c r="BC141" s="8"/>
      <c r="BD141" s="8"/>
      <c r="BE141" s="8"/>
      <c r="BF141" s="8"/>
      <c r="BG141" s="8"/>
      <c r="BH141" s="8"/>
      <c r="BI141" s="8"/>
      <c r="BJ141" s="8"/>
      <c r="BK141" s="8"/>
      <c r="BL141" s="8"/>
      <c r="BM141" s="8"/>
      <c r="BN141" s="8"/>
      <c r="BO141" s="8"/>
      <c r="BP141" s="8"/>
      <c r="BQ141" s="8"/>
      <c r="BR141" s="8"/>
      <c r="BS141" s="8"/>
      <c r="BT141" s="8"/>
      <c r="BU141" s="8"/>
      <c r="BV141" s="8"/>
      <c r="BW141" s="8"/>
      <c r="BX141" s="8"/>
      <c r="BY141" s="8"/>
      <c r="BZ141" s="8"/>
    </row>
    <row r="142" spans="1:78" ht="13" customHeight="1" x14ac:dyDescent="0.15">
      <c r="A142" s="8" t="s">
        <v>6188</v>
      </c>
      <c r="B142" s="8" t="s">
        <v>74</v>
      </c>
      <c r="C142" s="9">
        <v>2015</v>
      </c>
      <c r="D142" s="8" t="s">
        <v>2807</v>
      </c>
      <c r="E142" s="8" t="s">
        <v>2808</v>
      </c>
      <c r="F142" s="8" t="s">
        <v>2809</v>
      </c>
      <c r="G142" s="8" t="str" cm="1">
        <f t="array" ref="G142">LOWER(CleanCode(F142))</f>
        <v>incorporatingimmigrantsintegratingtheoreticalframeworksofadaptation</v>
      </c>
      <c r="H142" s="8"/>
      <c r="I142" s="8"/>
      <c r="J142" s="8" t="s">
        <v>2813</v>
      </c>
      <c r="K142" s="8"/>
      <c r="L142" s="8"/>
      <c r="M142" s="8" t="s">
        <v>2810</v>
      </c>
      <c r="N142" s="8" t="str">
        <f t="shared" si="2"/>
        <v>Journals Of Gerontology Series B-Psychological Sciences And Social Sciences</v>
      </c>
      <c r="O142" s="8" t="s">
        <v>2817</v>
      </c>
      <c r="P142" s="8" t="s">
        <v>2818</v>
      </c>
      <c r="Q142" s="8" t="s">
        <v>69</v>
      </c>
      <c r="R142" s="8"/>
      <c r="S142" s="8">
        <v>70</v>
      </c>
      <c r="T142" s="8">
        <v>2</v>
      </c>
      <c r="U142" s="8">
        <v>269</v>
      </c>
      <c r="V142" s="8">
        <v>278</v>
      </c>
      <c r="W142" s="8">
        <v>10</v>
      </c>
      <c r="X142" s="8"/>
      <c r="Y142" s="8">
        <v>98</v>
      </c>
      <c r="Z142" s="8">
        <v>21</v>
      </c>
      <c r="AA142" s="8">
        <v>21</v>
      </c>
      <c r="AB142" s="8">
        <v>0</v>
      </c>
      <c r="AC142" s="8">
        <v>16</v>
      </c>
      <c r="AD142" s="8" t="s">
        <v>2825</v>
      </c>
      <c r="AE142" s="8" t="s">
        <v>2821</v>
      </c>
      <c r="AF142" s="8">
        <v>24906396</v>
      </c>
      <c r="AG142" s="8" t="s">
        <v>1087</v>
      </c>
      <c r="AH142" s="8" t="s">
        <v>1088</v>
      </c>
      <c r="AI142" s="8" t="s">
        <v>1089</v>
      </c>
      <c r="AJ142" s="8" t="s">
        <v>2812</v>
      </c>
      <c r="AK142" s="8" t="s">
        <v>2811</v>
      </c>
      <c r="AL142" s="8"/>
      <c r="AM142" s="8"/>
      <c r="AN142" s="8"/>
      <c r="AO142" s="8"/>
      <c r="AP142" s="8"/>
      <c r="AQ142" s="8"/>
      <c r="AR142" s="8"/>
      <c r="AS142" s="8"/>
      <c r="AT142" s="8"/>
      <c r="AU142" s="8"/>
      <c r="AV142" s="8"/>
      <c r="AW142" s="8"/>
      <c r="AX142" s="8"/>
      <c r="AY142" s="8"/>
      <c r="AZ142" s="8"/>
      <c r="BA142" s="8"/>
      <c r="BB142" s="8"/>
      <c r="BC142" s="8"/>
      <c r="BD142" s="8"/>
      <c r="BE142" s="8"/>
      <c r="BF142" s="8"/>
      <c r="BG142" s="8"/>
      <c r="BH142" s="8"/>
      <c r="BI142" s="8"/>
      <c r="BJ142" s="8"/>
      <c r="BK142" s="8"/>
      <c r="BL142" s="8"/>
      <c r="BM142" s="8"/>
      <c r="BN142" s="8"/>
      <c r="BO142" s="8"/>
      <c r="BP142" s="8"/>
      <c r="BQ142" s="8"/>
      <c r="BR142" s="8"/>
      <c r="BS142" s="8"/>
      <c r="BT142" s="8"/>
      <c r="BU142" s="8"/>
      <c r="BV142" s="8"/>
      <c r="BW142" s="8"/>
      <c r="BX142" s="8"/>
      <c r="BY142" s="8"/>
      <c r="BZ142" s="8"/>
    </row>
    <row r="143" spans="1:78" ht="13" customHeight="1" x14ac:dyDescent="0.15">
      <c r="A143" s="8" t="s">
        <v>6188</v>
      </c>
      <c r="B143" s="8" t="s">
        <v>74</v>
      </c>
      <c r="C143" s="9">
        <v>2015</v>
      </c>
      <c r="D143" s="8" t="s">
        <v>2826</v>
      </c>
      <c r="E143" s="8" t="s">
        <v>2827</v>
      </c>
      <c r="F143" s="8" t="s">
        <v>2828</v>
      </c>
      <c r="G143" s="8" t="str" cm="1">
        <f t="array" ref="G143">LOWER(CleanCode(F143))</f>
        <v>testingatheoreticalmodelofimmigrationtransitionandphysicalactivity</v>
      </c>
      <c r="H143" s="8"/>
      <c r="I143" s="8"/>
      <c r="J143" s="8" t="s">
        <v>2832</v>
      </c>
      <c r="K143" s="8"/>
      <c r="L143" s="8"/>
      <c r="M143" s="8" t="s">
        <v>2829</v>
      </c>
      <c r="N143" s="8" t="str">
        <f t="shared" si="2"/>
        <v>Research And Theory For Nursing Practice</v>
      </c>
      <c r="O143" s="8" t="s">
        <v>2841</v>
      </c>
      <c r="P143" s="8" t="s">
        <v>2842</v>
      </c>
      <c r="Q143" s="8" t="s">
        <v>69</v>
      </c>
      <c r="R143" s="8"/>
      <c r="S143" s="8">
        <v>29</v>
      </c>
      <c r="T143" s="8">
        <v>3</v>
      </c>
      <c r="U143" s="8">
        <v>177</v>
      </c>
      <c r="V143" s="8">
        <v>188</v>
      </c>
      <c r="W143" s="8">
        <v>12</v>
      </c>
      <c r="X143" s="8"/>
      <c r="Y143" s="8">
        <v>26</v>
      </c>
      <c r="Z143" s="8">
        <v>2</v>
      </c>
      <c r="AA143" s="8">
        <v>2</v>
      </c>
      <c r="AB143" s="8">
        <v>0</v>
      </c>
      <c r="AC143" s="8">
        <v>6</v>
      </c>
      <c r="AD143" s="8" t="s">
        <v>2847</v>
      </c>
      <c r="AE143" s="8" t="s">
        <v>2845</v>
      </c>
      <c r="AF143" s="8">
        <v>26502554</v>
      </c>
      <c r="AG143" s="8" t="s">
        <v>2839</v>
      </c>
      <c r="AH143" s="8" t="s">
        <v>573</v>
      </c>
      <c r="AI143" s="8" t="s">
        <v>2840</v>
      </c>
      <c r="AJ143" s="8" t="s">
        <v>2831</v>
      </c>
      <c r="AK143" s="8" t="s">
        <v>2830</v>
      </c>
      <c r="AL143" s="8"/>
      <c r="AM143" s="8"/>
      <c r="AN143" s="8"/>
      <c r="AO143" s="8"/>
      <c r="AP143" s="8"/>
      <c r="AQ143" s="8"/>
      <c r="AR143" s="8"/>
      <c r="AS143" s="8"/>
      <c r="AT143" s="8"/>
      <c r="AU143" s="8"/>
      <c r="AV143" s="8"/>
      <c r="AW143" s="8"/>
      <c r="AX143" s="8"/>
      <c r="AY143" s="8"/>
      <c r="AZ143" s="8"/>
      <c r="BA143" s="8"/>
      <c r="BB143" s="8"/>
      <c r="BC143" s="8"/>
      <c r="BD143" s="8"/>
      <c r="BE143" s="8"/>
      <c r="BF143" s="8"/>
      <c r="BG143" s="8"/>
      <c r="BH143" s="8"/>
      <c r="BI143" s="8"/>
      <c r="BJ143" s="8"/>
      <c r="BK143" s="8"/>
      <c r="BL143" s="8"/>
      <c r="BM143" s="8"/>
      <c r="BN143" s="8"/>
      <c r="BO143" s="8"/>
      <c r="BP143" s="8"/>
      <c r="BQ143" s="8"/>
      <c r="BR143" s="8"/>
      <c r="BS143" s="8"/>
      <c r="BT143" s="8"/>
      <c r="BU143" s="8"/>
      <c r="BV143" s="8"/>
      <c r="BW143" s="8"/>
      <c r="BX143" s="8"/>
      <c r="BY143" s="8"/>
      <c r="BZ143" s="8"/>
    </row>
    <row r="144" spans="1:78" ht="13" customHeight="1" x14ac:dyDescent="0.15">
      <c r="A144" s="8" t="s">
        <v>6188</v>
      </c>
      <c r="B144" s="8" t="s">
        <v>74</v>
      </c>
      <c r="C144" s="9">
        <v>2015</v>
      </c>
      <c r="D144" s="8" t="s">
        <v>2848</v>
      </c>
      <c r="E144" s="8" t="s">
        <v>2849</v>
      </c>
      <c r="F144" s="8" t="s">
        <v>2850</v>
      </c>
      <c r="G144" s="8" t="str" cm="1">
        <f t="array" ref="G144">LOWER(CleanCode(F144))</f>
        <v>liminalityinculturaltransitionapplyingideatoadvanceaconceptintotheorybasedpractice</v>
      </c>
      <c r="H144" s="8"/>
      <c r="I144" s="8"/>
      <c r="J144" s="8" t="s">
        <v>2853</v>
      </c>
      <c r="K144" s="8"/>
      <c r="L144" s="8"/>
      <c r="M144" s="8" t="s">
        <v>2829</v>
      </c>
      <c r="N144" s="8" t="str">
        <f t="shared" si="2"/>
        <v>Research And Theory For Nursing Practice</v>
      </c>
      <c r="O144" s="8" t="s">
        <v>2841</v>
      </c>
      <c r="P144" s="8" t="s">
        <v>2842</v>
      </c>
      <c r="Q144" s="8" t="s">
        <v>69</v>
      </c>
      <c r="R144" s="8"/>
      <c r="S144" s="8">
        <v>29</v>
      </c>
      <c r="T144" s="8">
        <v>1</v>
      </c>
      <c r="U144" s="8">
        <v>25</v>
      </c>
      <c r="V144" s="8">
        <v>37</v>
      </c>
      <c r="W144" s="8">
        <v>13</v>
      </c>
      <c r="X144" s="8"/>
      <c r="Y144" s="8">
        <v>24</v>
      </c>
      <c r="Z144" s="8">
        <v>9</v>
      </c>
      <c r="AA144" s="8">
        <v>9</v>
      </c>
      <c r="AB144" s="8">
        <v>0</v>
      </c>
      <c r="AC144" s="8">
        <v>5</v>
      </c>
      <c r="AD144" s="8" t="s">
        <v>2859</v>
      </c>
      <c r="AE144" s="8" t="s">
        <v>2857</v>
      </c>
      <c r="AF144" s="8">
        <v>25799694</v>
      </c>
      <c r="AG144" s="8" t="s">
        <v>2839</v>
      </c>
      <c r="AH144" s="8" t="s">
        <v>573</v>
      </c>
      <c r="AI144" s="8" t="s">
        <v>2840</v>
      </c>
      <c r="AJ144" s="8" t="s">
        <v>2852</v>
      </c>
      <c r="AK144" s="8" t="s">
        <v>2851</v>
      </c>
      <c r="AL144" s="8"/>
      <c r="AM144" s="8"/>
      <c r="AN144" s="8"/>
      <c r="AO144" s="8"/>
      <c r="AP144" s="8"/>
      <c r="AQ144" s="8"/>
      <c r="AR144" s="8"/>
      <c r="AS144" s="8"/>
      <c r="AT144" s="8"/>
      <c r="AU144" s="8"/>
      <c r="AV144" s="8"/>
      <c r="AW144" s="8"/>
      <c r="AX144" s="8"/>
      <c r="AY144" s="8"/>
      <c r="AZ144" s="8"/>
      <c r="BA144" s="8"/>
      <c r="BB144" s="8"/>
      <c r="BC144" s="8"/>
      <c r="BD144" s="8"/>
      <c r="BE144" s="8"/>
      <c r="BF144" s="8"/>
      <c r="BG144" s="8"/>
      <c r="BH144" s="8"/>
      <c r="BI144" s="8"/>
      <c r="BJ144" s="8"/>
      <c r="BK144" s="8"/>
      <c r="BL144" s="8"/>
      <c r="BM144" s="8"/>
      <c r="BN144" s="8"/>
      <c r="BO144" s="8"/>
      <c r="BP144" s="8"/>
      <c r="BQ144" s="8"/>
      <c r="BR144" s="8"/>
      <c r="BS144" s="8"/>
      <c r="BT144" s="8"/>
      <c r="BU144" s="8"/>
      <c r="BV144" s="8"/>
      <c r="BW144" s="8"/>
      <c r="BX144" s="8"/>
      <c r="BY144" s="8"/>
      <c r="BZ144" s="8"/>
    </row>
    <row r="145" spans="1:78" ht="13" customHeight="1" x14ac:dyDescent="0.15">
      <c r="A145" s="8" t="s">
        <v>6188</v>
      </c>
      <c r="B145" s="8" t="s">
        <v>74</v>
      </c>
      <c r="C145" s="9">
        <v>2015</v>
      </c>
      <c r="D145" s="8" t="s">
        <v>2860</v>
      </c>
      <c r="E145" s="8" t="s">
        <v>2861</v>
      </c>
      <c r="F145" s="8" t="s">
        <v>2862</v>
      </c>
      <c r="G145" s="8" t="str" cm="1">
        <f t="array" ref="G145">LOWER(CleanCode(F145))</f>
        <v>ethnicidentityatheoreticalframework</v>
      </c>
      <c r="H145" s="8"/>
      <c r="I145" s="8"/>
      <c r="J145" s="8" t="s">
        <v>2865</v>
      </c>
      <c r="K145" s="8"/>
      <c r="L145" s="8"/>
      <c r="M145" s="8" t="s">
        <v>2863</v>
      </c>
      <c r="N145" s="8" t="str">
        <f t="shared" si="2"/>
        <v>Iza Journal Of Migration</v>
      </c>
      <c r="O145" s="8" t="s">
        <v>2869</v>
      </c>
      <c r="P145" s="8" t="s">
        <v>69</v>
      </c>
      <c r="Q145" s="8" t="s">
        <v>69</v>
      </c>
      <c r="R145" s="8"/>
      <c r="S145" s="8">
        <v>4</v>
      </c>
      <c r="T145" s="8" t="s">
        <v>69</v>
      </c>
      <c r="U145" s="8" t="s">
        <v>69</v>
      </c>
      <c r="V145" s="8" t="s">
        <v>69</v>
      </c>
      <c r="W145" s="8">
        <v>11</v>
      </c>
      <c r="X145" s="8"/>
      <c r="Y145" s="8">
        <v>30</v>
      </c>
      <c r="Z145" s="8">
        <v>6</v>
      </c>
      <c r="AA145" s="8">
        <v>6</v>
      </c>
      <c r="AB145" s="8">
        <v>0</v>
      </c>
      <c r="AC145" s="8">
        <v>0</v>
      </c>
      <c r="AD145" s="8" t="s">
        <v>2874</v>
      </c>
      <c r="AE145" s="8" t="s">
        <v>2872</v>
      </c>
      <c r="AF145" s="8" t="s">
        <v>69</v>
      </c>
      <c r="AG145" s="8" t="s">
        <v>1480</v>
      </c>
      <c r="AH145" s="8" t="s">
        <v>1481</v>
      </c>
      <c r="AI145" s="8" t="s">
        <v>1482</v>
      </c>
      <c r="AJ145" s="8" t="s">
        <v>69</v>
      </c>
      <c r="AK145" s="8" t="s">
        <v>2864</v>
      </c>
      <c r="AL145" s="8"/>
      <c r="AM145" s="8"/>
      <c r="AN145" s="8"/>
      <c r="AO145" s="8"/>
      <c r="AP145" s="8"/>
      <c r="AQ145" s="8"/>
      <c r="AR145" s="8"/>
      <c r="AS145" s="8"/>
      <c r="AT145" s="8"/>
      <c r="AU145" s="8"/>
      <c r="AV145" s="8"/>
      <c r="AW145" s="8"/>
      <c r="AX145" s="8"/>
      <c r="AY145" s="8"/>
      <c r="AZ145" s="8"/>
      <c r="BA145" s="8"/>
      <c r="BB145" s="8"/>
      <c r="BC145" s="8"/>
      <c r="BD145" s="8"/>
      <c r="BE145" s="8"/>
      <c r="BF145" s="8"/>
      <c r="BG145" s="8"/>
      <c r="BH145" s="8"/>
      <c r="BI145" s="8"/>
      <c r="BJ145" s="8"/>
      <c r="BK145" s="8"/>
      <c r="BL145" s="8"/>
      <c r="BM145" s="8"/>
      <c r="BN145" s="8"/>
      <c r="BO145" s="8"/>
      <c r="BP145" s="8"/>
      <c r="BQ145" s="8"/>
      <c r="BR145" s="8"/>
      <c r="BS145" s="8"/>
      <c r="BT145" s="8"/>
      <c r="BU145" s="8"/>
      <c r="BV145" s="8"/>
      <c r="BW145" s="8"/>
      <c r="BX145" s="8"/>
      <c r="BY145" s="8"/>
      <c r="BZ145" s="8"/>
    </row>
    <row r="146" spans="1:78" ht="13" customHeight="1" x14ac:dyDescent="0.15">
      <c r="A146" s="8" t="s">
        <v>6188</v>
      </c>
      <c r="B146" s="8" t="s">
        <v>74</v>
      </c>
      <c r="C146" s="9">
        <v>2014</v>
      </c>
      <c r="D146" s="8" t="s">
        <v>2875</v>
      </c>
      <c r="E146" s="8" t="s">
        <v>2876</v>
      </c>
      <c r="F146" s="8" t="s">
        <v>2877</v>
      </c>
      <c r="G146" s="8" t="str" cm="1">
        <f t="array" ref="G146">LOWER(CleanCode(F146))</f>
        <v>theconceptofmigratorycareerselementsforanewtheoreticalperspectiveofcontemporaryhumanmobility</v>
      </c>
      <c r="H146" s="8"/>
      <c r="I146" s="8"/>
      <c r="J146" s="8" t="s">
        <v>2881</v>
      </c>
      <c r="K146" s="8"/>
      <c r="L146" s="8"/>
      <c r="M146" s="8" t="s">
        <v>2878</v>
      </c>
      <c r="N146" s="8" t="str">
        <f t="shared" si="2"/>
        <v>Current Sociology</v>
      </c>
      <c r="O146" s="8" t="s">
        <v>2885</v>
      </c>
      <c r="P146" s="8" t="s">
        <v>2886</v>
      </c>
      <c r="Q146" s="8" t="s">
        <v>69</v>
      </c>
      <c r="R146" s="8"/>
      <c r="S146" s="8">
        <v>62</v>
      </c>
      <c r="T146" s="8">
        <v>7</v>
      </c>
      <c r="U146" s="8">
        <v>1079</v>
      </c>
      <c r="V146" s="8">
        <v>1096</v>
      </c>
      <c r="W146" s="8">
        <v>18</v>
      </c>
      <c r="X146" s="8"/>
      <c r="Y146" s="8">
        <v>73</v>
      </c>
      <c r="Z146" s="8">
        <v>25</v>
      </c>
      <c r="AA146" s="8">
        <v>26</v>
      </c>
      <c r="AB146" s="8">
        <v>0</v>
      </c>
      <c r="AC146" s="8">
        <v>19</v>
      </c>
      <c r="AD146" s="8" t="s">
        <v>2891</v>
      </c>
      <c r="AE146" s="8" t="s">
        <v>2889</v>
      </c>
      <c r="AF146" s="8" t="s">
        <v>69</v>
      </c>
      <c r="AG146" s="8" t="s">
        <v>155</v>
      </c>
      <c r="AH146" s="8" t="s">
        <v>156</v>
      </c>
      <c r="AI146" s="8" t="s">
        <v>157</v>
      </c>
      <c r="AJ146" s="8" t="s">
        <v>2880</v>
      </c>
      <c r="AK146" s="8" t="s">
        <v>2879</v>
      </c>
      <c r="AL146" s="8"/>
      <c r="AM146" s="8"/>
      <c r="AN146" s="8"/>
      <c r="AO146" s="8"/>
      <c r="AP146" s="8"/>
      <c r="AQ146" s="8"/>
      <c r="AR146" s="8"/>
      <c r="AS146" s="8"/>
      <c r="AT146" s="8"/>
      <c r="AU146" s="8"/>
      <c r="AV146" s="8"/>
      <c r="AW146" s="8"/>
      <c r="AX146" s="8"/>
      <c r="AY146" s="8"/>
      <c r="AZ146" s="8"/>
      <c r="BA146" s="8"/>
      <c r="BB146" s="8"/>
      <c r="BC146" s="8"/>
      <c r="BD146" s="8"/>
      <c r="BE146" s="8"/>
      <c r="BF146" s="8"/>
      <c r="BG146" s="8"/>
      <c r="BH146" s="8"/>
      <c r="BI146" s="8"/>
      <c r="BJ146" s="8"/>
      <c r="BK146" s="8"/>
      <c r="BL146" s="8"/>
      <c r="BM146" s="8"/>
      <c r="BN146" s="8"/>
      <c r="BO146" s="8"/>
      <c r="BP146" s="8"/>
      <c r="BQ146" s="8"/>
      <c r="BR146" s="8"/>
      <c r="BS146" s="8"/>
      <c r="BT146" s="8"/>
      <c r="BU146" s="8"/>
      <c r="BV146" s="8"/>
      <c r="BW146" s="8"/>
      <c r="BX146" s="8"/>
      <c r="BY146" s="8"/>
      <c r="BZ146" s="8"/>
    </row>
    <row r="147" spans="1:78" ht="13" customHeight="1" x14ac:dyDescent="0.15">
      <c r="A147" s="8" t="s">
        <v>6188</v>
      </c>
      <c r="B147" s="8" t="s">
        <v>74</v>
      </c>
      <c r="C147" s="9">
        <v>2014</v>
      </c>
      <c r="D147" s="8" t="s">
        <v>2892</v>
      </c>
      <c r="E147" s="8" t="s">
        <v>2893</v>
      </c>
      <c r="F147" s="8" t="s">
        <v>2894</v>
      </c>
      <c r="G147" s="8" t="str" cm="1">
        <f t="array" ref="G147">LOWER(CleanCode(F147))</f>
        <v>conceptualizingandevaluatingnewformsofcitizenshipbetweennationalismandcosmopolitanism</v>
      </c>
      <c r="H147" s="8"/>
      <c r="I147" s="8"/>
      <c r="J147" s="8" t="s">
        <v>2898</v>
      </c>
      <c r="K147" s="8"/>
      <c r="L147" s="8"/>
      <c r="M147" s="8" t="s">
        <v>2895</v>
      </c>
      <c r="N147" s="8" t="str">
        <f t="shared" si="2"/>
        <v>Democratization</v>
      </c>
      <c r="O147" s="8" t="s">
        <v>2902</v>
      </c>
      <c r="P147" s="8" t="s">
        <v>2903</v>
      </c>
      <c r="Q147" s="8" t="s">
        <v>69</v>
      </c>
      <c r="R147" s="8"/>
      <c r="S147" s="8">
        <v>21</v>
      </c>
      <c r="T147" s="8">
        <v>6</v>
      </c>
      <c r="U147" s="8">
        <v>1091</v>
      </c>
      <c r="V147" s="8">
        <v>1116</v>
      </c>
      <c r="W147" s="8">
        <v>26</v>
      </c>
      <c r="X147" s="8"/>
      <c r="Y147" s="8">
        <v>96</v>
      </c>
      <c r="Z147" s="8">
        <v>8</v>
      </c>
      <c r="AA147" s="8">
        <v>8</v>
      </c>
      <c r="AB147" s="8">
        <v>0</v>
      </c>
      <c r="AC147" s="8">
        <v>17</v>
      </c>
      <c r="AD147" s="8" t="s">
        <v>2909</v>
      </c>
      <c r="AE147" s="8" t="s">
        <v>2906</v>
      </c>
      <c r="AF147" s="8" t="s">
        <v>69</v>
      </c>
      <c r="AG147" s="8" t="s">
        <v>108</v>
      </c>
      <c r="AH147" s="8" t="s">
        <v>109</v>
      </c>
      <c r="AI147" s="8" t="s">
        <v>110</v>
      </c>
      <c r="AJ147" s="8" t="s">
        <v>2897</v>
      </c>
      <c r="AK147" s="8" t="s">
        <v>2896</v>
      </c>
      <c r="AL147" s="8"/>
      <c r="AM147" s="8"/>
      <c r="AN147" s="8"/>
      <c r="AO147" s="8"/>
      <c r="AP147" s="8"/>
      <c r="AQ147" s="8"/>
      <c r="AR147" s="8"/>
      <c r="AS147" s="8"/>
      <c r="AT147" s="8"/>
      <c r="AU147" s="8"/>
      <c r="AV147" s="8"/>
      <c r="AW147" s="8"/>
      <c r="AX147" s="8"/>
      <c r="AY147" s="8"/>
      <c r="AZ147" s="8"/>
      <c r="BA147" s="8"/>
      <c r="BB147" s="8"/>
      <c r="BC147" s="8"/>
      <c r="BD147" s="8"/>
      <c r="BE147" s="8"/>
      <c r="BF147" s="8"/>
      <c r="BG147" s="8"/>
      <c r="BH147" s="8"/>
      <c r="BI147" s="8"/>
      <c r="BJ147" s="8"/>
      <c r="BK147" s="8"/>
      <c r="BL147" s="8"/>
      <c r="BM147" s="8"/>
      <c r="BN147" s="8"/>
      <c r="BO147" s="8"/>
      <c r="BP147" s="8"/>
      <c r="BQ147" s="8"/>
      <c r="BR147" s="8"/>
      <c r="BS147" s="8"/>
      <c r="BT147" s="8"/>
      <c r="BU147" s="8"/>
      <c r="BV147" s="8"/>
      <c r="BW147" s="8"/>
      <c r="BX147" s="8"/>
      <c r="BY147" s="8"/>
      <c r="BZ147" s="8"/>
    </row>
    <row r="148" spans="1:78" ht="13" customHeight="1" x14ac:dyDescent="0.15">
      <c r="A148" s="8" t="s">
        <v>6188</v>
      </c>
      <c r="B148" s="8" t="s">
        <v>318</v>
      </c>
      <c r="C148" s="9">
        <v>2014</v>
      </c>
      <c r="D148" s="8" t="s">
        <v>2910</v>
      </c>
      <c r="E148" s="8" t="s">
        <v>2911</v>
      </c>
      <c r="F148" s="8" t="s">
        <v>2912</v>
      </c>
      <c r="G148" s="8" t="str" cm="1">
        <f t="array" ref="G148">LOWER(CleanCode(F148))</f>
        <v>thelongeryoustaytheworseyourhealthacriticalreviewofthenegativeacculturationtheoryamongasianimmigrants</v>
      </c>
      <c r="H148" s="8"/>
      <c r="I148" s="8"/>
      <c r="J148" s="8" t="s">
        <v>2915</v>
      </c>
      <c r="K148" s="8"/>
      <c r="L148" s="8"/>
      <c r="M148" s="8" t="s">
        <v>2587</v>
      </c>
      <c r="N148" s="8" t="str">
        <f t="shared" si="2"/>
        <v>International Journal Of Environmental Research And Public Health</v>
      </c>
      <c r="O148" s="8" t="s">
        <v>2595</v>
      </c>
      <c r="P148" s="8" t="s">
        <v>69</v>
      </c>
      <c r="Q148" s="8" t="s">
        <v>69</v>
      </c>
      <c r="R148" s="8"/>
      <c r="S148" s="8">
        <v>11</v>
      </c>
      <c r="T148" s="8">
        <v>8</v>
      </c>
      <c r="U148" s="8">
        <v>8038</v>
      </c>
      <c r="V148" s="8">
        <v>8057</v>
      </c>
      <c r="W148" s="8">
        <v>20</v>
      </c>
      <c r="X148" s="8"/>
      <c r="Y148" s="8">
        <v>68</v>
      </c>
      <c r="Z148" s="8">
        <v>34</v>
      </c>
      <c r="AA148" s="8">
        <v>34</v>
      </c>
      <c r="AB148" s="8">
        <v>0</v>
      </c>
      <c r="AC148" s="8">
        <v>19</v>
      </c>
      <c r="AD148" s="8" t="s">
        <v>2922</v>
      </c>
      <c r="AE148" s="8" t="s">
        <v>2920</v>
      </c>
      <c r="AF148" s="8">
        <v>25111874</v>
      </c>
      <c r="AG148" s="8" t="s">
        <v>82</v>
      </c>
      <c r="AH148" s="8" t="s">
        <v>83</v>
      </c>
      <c r="AI148" s="8" t="s">
        <v>84</v>
      </c>
      <c r="AJ148" s="8" t="s">
        <v>2914</v>
      </c>
      <c r="AK148" s="8" t="s">
        <v>2913</v>
      </c>
      <c r="AL148" s="8"/>
      <c r="AM148" s="8"/>
      <c r="AN148" s="8"/>
      <c r="AO148" s="8"/>
      <c r="AP148" s="8"/>
      <c r="AQ148" s="8"/>
      <c r="AR148" s="8"/>
      <c r="AS148" s="8"/>
      <c r="AT148" s="8"/>
      <c r="AU148" s="8"/>
      <c r="AV148" s="8"/>
      <c r="AW148" s="8"/>
      <c r="AX148" s="8"/>
      <c r="AY148" s="8"/>
      <c r="AZ148" s="8"/>
      <c r="BA148" s="8"/>
      <c r="BB148" s="8"/>
      <c r="BC148" s="8"/>
      <c r="BD148" s="8"/>
      <c r="BE148" s="8"/>
      <c r="BF148" s="8"/>
      <c r="BG148" s="8"/>
      <c r="BH148" s="8"/>
      <c r="BI148" s="8"/>
      <c r="BJ148" s="8"/>
      <c r="BK148" s="8"/>
      <c r="BL148" s="8"/>
      <c r="BM148" s="8"/>
      <c r="BN148" s="8"/>
      <c r="BO148" s="8"/>
      <c r="BP148" s="8"/>
      <c r="BQ148" s="8"/>
      <c r="BR148" s="8"/>
      <c r="BS148" s="8"/>
      <c r="BT148" s="8"/>
      <c r="BU148" s="8"/>
      <c r="BV148" s="8"/>
      <c r="BW148" s="8"/>
      <c r="BX148" s="8"/>
      <c r="BY148" s="8"/>
      <c r="BZ148" s="8"/>
    </row>
    <row r="149" spans="1:78" ht="13" customHeight="1" x14ac:dyDescent="0.15">
      <c r="A149" s="8" t="s">
        <v>6188</v>
      </c>
      <c r="B149" s="8" t="s">
        <v>74</v>
      </c>
      <c r="C149" s="9">
        <v>2014</v>
      </c>
      <c r="D149" s="8" t="s">
        <v>2923</v>
      </c>
      <c r="E149" s="8" t="s">
        <v>2924</v>
      </c>
      <c r="F149" s="8" t="s">
        <v>2925</v>
      </c>
      <c r="G149" s="8" t="str" cm="1">
        <f t="array" ref="G149">LOWER(CleanCode(F149))</f>
        <v>efficacyoftheorybasedhivbehavioralpreventionamongruraltourbanmigrantsinchinaarandomizedcontrolledtrial</v>
      </c>
      <c r="H149" s="8"/>
      <c r="I149" s="8"/>
      <c r="J149" s="8" t="s">
        <v>2928</v>
      </c>
      <c r="K149" s="8"/>
      <c r="L149" s="8"/>
      <c r="M149" s="8" t="s">
        <v>2926</v>
      </c>
      <c r="N149" s="8" t="str">
        <f t="shared" si="2"/>
        <v>Aids Education And Prevention</v>
      </c>
      <c r="O149" s="8" t="s">
        <v>2937</v>
      </c>
      <c r="P149" s="8" t="s">
        <v>2938</v>
      </c>
      <c r="Q149" s="8" t="s">
        <v>69</v>
      </c>
      <c r="R149" s="8"/>
      <c r="S149" s="8">
        <v>26</v>
      </c>
      <c r="T149" s="8">
        <v>4</v>
      </c>
      <c r="U149" s="8">
        <v>296</v>
      </c>
      <c r="V149" s="8">
        <v>316</v>
      </c>
      <c r="W149" s="8">
        <v>21</v>
      </c>
      <c r="X149" s="8"/>
      <c r="Y149" s="8">
        <v>51</v>
      </c>
      <c r="Z149" s="8">
        <v>9</v>
      </c>
      <c r="AA149" s="8">
        <v>9</v>
      </c>
      <c r="AB149" s="8">
        <v>5</v>
      </c>
      <c r="AC149" s="8">
        <v>25</v>
      </c>
      <c r="AD149" s="8" t="s">
        <v>2944</v>
      </c>
      <c r="AE149" s="8" t="s">
        <v>2941</v>
      </c>
      <c r="AF149" s="8">
        <v>25068178</v>
      </c>
      <c r="AG149" s="8" t="s">
        <v>2935</v>
      </c>
      <c r="AH149" s="8" t="s">
        <v>573</v>
      </c>
      <c r="AI149" s="8" t="s">
        <v>2936</v>
      </c>
      <c r="AJ149" s="8" t="s">
        <v>2927</v>
      </c>
      <c r="AK149" s="8" t="s">
        <v>69</v>
      </c>
      <c r="AL149" s="8"/>
      <c r="AM149" s="8"/>
      <c r="AN149" s="8"/>
      <c r="AO149" s="8"/>
      <c r="AP149" s="8"/>
      <c r="AQ149" s="8"/>
      <c r="AR149" s="8"/>
      <c r="AS149" s="8"/>
      <c r="AT149" s="8"/>
      <c r="AU149" s="8"/>
      <c r="AV149" s="8"/>
      <c r="AW149" s="8"/>
      <c r="AX149" s="8"/>
      <c r="AY149" s="8"/>
      <c r="AZ149" s="8"/>
      <c r="BA149" s="8"/>
      <c r="BB149" s="8"/>
      <c r="BC149" s="8"/>
      <c r="BD149" s="8"/>
      <c r="BE149" s="8"/>
      <c r="BF149" s="8"/>
      <c r="BG149" s="8"/>
      <c r="BH149" s="8"/>
      <c r="BI149" s="8"/>
      <c r="BJ149" s="8"/>
      <c r="BK149" s="8"/>
      <c r="BL149" s="8"/>
      <c r="BM149" s="8"/>
      <c r="BN149" s="8"/>
      <c r="BO149" s="8"/>
      <c r="BP149" s="8"/>
      <c r="BQ149" s="8"/>
      <c r="BR149" s="8"/>
      <c r="BS149" s="8"/>
      <c r="BT149" s="8"/>
      <c r="BU149" s="8"/>
      <c r="BV149" s="8"/>
      <c r="BW149" s="8"/>
      <c r="BX149" s="8"/>
      <c r="BY149" s="8"/>
      <c r="BZ149" s="8"/>
    </row>
    <row r="150" spans="1:78" ht="13" customHeight="1" x14ac:dyDescent="0.15">
      <c r="A150" s="8" t="s">
        <v>6188</v>
      </c>
      <c r="B150" s="8" t="s">
        <v>74</v>
      </c>
      <c r="C150" s="9">
        <v>2014</v>
      </c>
      <c r="D150" s="8" t="s">
        <v>2945</v>
      </c>
      <c r="E150" s="8" t="s">
        <v>2946</v>
      </c>
      <c r="F150" s="8" t="s">
        <v>2947</v>
      </c>
      <c r="G150" s="8" t="str" cm="1">
        <f t="array" ref="G150">LOWER(CleanCode(F150))</f>
        <v>conceptualisinginterdestinationtransnationalismthepresenceandimplicationofcoethnictiesbetweendestinationsocieties</v>
      </c>
      <c r="H150" s="8"/>
      <c r="I150" s="8"/>
      <c r="J150" s="8" t="s">
        <v>2950</v>
      </c>
      <c r="K150" s="8"/>
      <c r="L150" s="8"/>
      <c r="M150" s="8" t="s">
        <v>1726</v>
      </c>
      <c r="N150" s="8" t="str">
        <f t="shared" si="2"/>
        <v>Journal Of Ethnic And Migration Studies</v>
      </c>
      <c r="O150" s="8" t="s">
        <v>1734</v>
      </c>
      <c r="P150" s="8" t="s">
        <v>1735</v>
      </c>
      <c r="Q150" s="8" t="s">
        <v>69</v>
      </c>
      <c r="R150" s="8"/>
      <c r="S150" s="8">
        <v>40</v>
      </c>
      <c r="T150" s="8">
        <v>7</v>
      </c>
      <c r="U150" s="8">
        <v>1097</v>
      </c>
      <c r="V150" s="8">
        <v>1115</v>
      </c>
      <c r="W150" s="8">
        <v>19</v>
      </c>
      <c r="X150" s="8"/>
      <c r="Y150" s="8">
        <v>47</v>
      </c>
      <c r="Z150" s="8">
        <v>6</v>
      </c>
      <c r="AA150" s="8">
        <v>6</v>
      </c>
      <c r="AB150" s="8">
        <v>0</v>
      </c>
      <c r="AC150" s="8">
        <v>5</v>
      </c>
      <c r="AD150" s="8" t="s">
        <v>2957</v>
      </c>
      <c r="AE150" s="8" t="s">
        <v>2955</v>
      </c>
      <c r="AF150" s="8" t="s">
        <v>69</v>
      </c>
      <c r="AG150" s="8" t="s">
        <v>108</v>
      </c>
      <c r="AH150" s="8" t="s">
        <v>109</v>
      </c>
      <c r="AI150" s="8" t="s">
        <v>110</v>
      </c>
      <c r="AJ150" s="8" t="s">
        <v>2949</v>
      </c>
      <c r="AK150" s="8" t="s">
        <v>2948</v>
      </c>
      <c r="AL150" s="8"/>
      <c r="AM150" s="8"/>
      <c r="AN150" s="8"/>
      <c r="AO150" s="8"/>
      <c r="AP150" s="8"/>
      <c r="AQ150" s="8"/>
      <c r="AR150" s="8"/>
      <c r="AS150" s="8"/>
      <c r="AT150" s="8"/>
      <c r="AU150" s="8"/>
      <c r="AV150" s="8"/>
      <c r="AW150" s="8"/>
      <c r="AX150" s="8"/>
      <c r="AY150" s="8"/>
      <c r="AZ150" s="8"/>
      <c r="BA150" s="8"/>
      <c r="BB150" s="8"/>
      <c r="BC150" s="8"/>
      <c r="BD150" s="8"/>
      <c r="BE150" s="8"/>
      <c r="BF150" s="8"/>
      <c r="BG150" s="8"/>
      <c r="BH150" s="8"/>
      <c r="BI150" s="8"/>
      <c r="BJ150" s="8"/>
      <c r="BK150" s="8"/>
      <c r="BL150" s="8"/>
      <c r="BM150" s="8"/>
      <c r="BN150" s="8"/>
      <c r="BO150" s="8"/>
      <c r="BP150" s="8"/>
      <c r="BQ150" s="8"/>
      <c r="BR150" s="8"/>
      <c r="BS150" s="8"/>
      <c r="BT150" s="8"/>
      <c r="BU150" s="8"/>
      <c r="BV150" s="8"/>
      <c r="BW150" s="8"/>
      <c r="BX150" s="8"/>
      <c r="BY150" s="8"/>
      <c r="BZ150" s="8"/>
    </row>
    <row r="151" spans="1:78" ht="13" customHeight="1" x14ac:dyDescent="0.15">
      <c r="A151" s="8" t="s">
        <v>6188</v>
      </c>
      <c r="B151" s="8" t="s">
        <v>74</v>
      </c>
      <c r="C151" s="9">
        <v>2014</v>
      </c>
      <c r="D151" s="8" t="s">
        <v>2958</v>
      </c>
      <c r="E151" s="8" t="s">
        <v>2959</v>
      </c>
      <c r="F151" s="8" t="s">
        <v>2960</v>
      </c>
      <c r="G151" s="8" t="str" cm="1">
        <f t="array" ref="G151">LOWER(CleanCode(F151))</f>
        <v>acculturativefamilydistancingpsychometricanalysiswiththeextendedtwotieritemresponsetheory</v>
      </c>
      <c r="H151" s="8"/>
      <c r="I151" s="8"/>
      <c r="J151" s="8" t="s">
        <v>2964</v>
      </c>
      <c r="K151" s="8"/>
      <c r="L151" s="8"/>
      <c r="M151" s="8" t="s">
        <v>2961</v>
      </c>
      <c r="N151" s="8" t="str">
        <f t="shared" si="2"/>
        <v>Psychological Assessment</v>
      </c>
      <c r="O151" s="8" t="s">
        <v>2969</v>
      </c>
      <c r="P151" s="8" t="s">
        <v>2970</v>
      </c>
      <c r="Q151" s="8" t="s">
        <v>69</v>
      </c>
      <c r="R151" s="8"/>
      <c r="S151" s="8">
        <v>26</v>
      </c>
      <c r="T151" s="8">
        <v>2</v>
      </c>
      <c r="U151" s="8">
        <v>493</v>
      </c>
      <c r="V151" s="8">
        <v>512</v>
      </c>
      <c r="W151" s="8">
        <v>20</v>
      </c>
      <c r="X151" s="8"/>
      <c r="Y151" s="8">
        <v>46</v>
      </c>
      <c r="Z151" s="8">
        <v>1</v>
      </c>
      <c r="AA151" s="8">
        <v>1</v>
      </c>
      <c r="AB151" s="8">
        <v>1</v>
      </c>
      <c r="AC151" s="8">
        <v>9</v>
      </c>
      <c r="AD151" s="8" t="s">
        <v>2976</v>
      </c>
      <c r="AE151" s="8" t="s">
        <v>2973</v>
      </c>
      <c r="AF151" s="8">
        <v>24512424</v>
      </c>
      <c r="AG151" s="8" t="s">
        <v>1183</v>
      </c>
      <c r="AH151" s="8" t="s">
        <v>1184</v>
      </c>
      <c r="AI151" s="8" t="s">
        <v>1185</v>
      </c>
      <c r="AJ151" s="8" t="s">
        <v>2963</v>
      </c>
      <c r="AK151" s="8" t="s">
        <v>2962</v>
      </c>
      <c r="AL151" s="8"/>
      <c r="AM151" s="8"/>
      <c r="AN151" s="8"/>
      <c r="AO151" s="8"/>
      <c r="AP151" s="8"/>
      <c r="AQ151" s="8"/>
      <c r="AR151" s="8"/>
      <c r="AS151" s="8"/>
      <c r="AT151" s="8"/>
      <c r="AU151" s="8"/>
      <c r="AV151" s="8"/>
      <c r="AW151" s="8"/>
      <c r="AX151" s="8"/>
      <c r="AY151" s="8"/>
      <c r="AZ151" s="8"/>
      <c r="BA151" s="8"/>
      <c r="BB151" s="8"/>
      <c r="BC151" s="8"/>
      <c r="BD151" s="8"/>
      <c r="BE151" s="8"/>
      <c r="BF151" s="8"/>
      <c r="BG151" s="8"/>
      <c r="BH151" s="8"/>
      <c r="BI151" s="8"/>
      <c r="BJ151" s="8"/>
      <c r="BK151" s="8"/>
      <c r="BL151" s="8"/>
      <c r="BM151" s="8"/>
      <c r="BN151" s="8"/>
      <c r="BO151" s="8"/>
      <c r="BP151" s="8"/>
      <c r="BQ151" s="8"/>
      <c r="BR151" s="8"/>
      <c r="BS151" s="8"/>
      <c r="BT151" s="8"/>
      <c r="BU151" s="8"/>
      <c r="BV151" s="8"/>
      <c r="BW151" s="8"/>
      <c r="BX151" s="8"/>
      <c r="BY151" s="8"/>
      <c r="BZ151" s="8"/>
    </row>
    <row r="152" spans="1:78" ht="13" customHeight="1" x14ac:dyDescent="0.15">
      <c r="A152" s="8" t="s">
        <v>6188</v>
      </c>
      <c r="B152" s="8" t="s">
        <v>74</v>
      </c>
      <c r="C152" s="9">
        <v>2014</v>
      </c>
      <c r="D152" s="8" t="s">
        <v>2977</v>
      </c>
      <c r="E152" s="8" t="s">
        <v>2978</v>
      </c>
      <c r="F152" s="8" t="s">
        <v>2979</v>
      </c>
      <c r="G152" s="8" t="str" cm="1">
        <f t="array" ref="G152">LOWER(CleanCode(F152))</f>
        <v>whoisaselfinitiatedexpatriatetowardsconceptualclarityofacommonnotion</v>
      </c>
      <c r="H152" s="8"/>
      <c r="I152" s="8"/>
      <c r="J152" s="8" t="s">
        <v>2982</v>
      </c>
      <c r="K152" s="8"/>
      <c r="L152" s="8"/>
      <c r="M152" s="8" t="s">
        <v>2752</v>
      </c>
      <c r="N152" s="8" t="str">
        <f t="shared" si="2"/>
        <v>International Journal Of Human Resource Management</v>
      </c>
      <c r="O152" s="8" t="s">
        <v>2759</v>
      </c>
      <c r="P152" s="8" t="s">
        <v>2760</v>
      </c>
      <c r="Q152" s="8" t="s">
        <v>69</v>
      </c>
      <c r="R152" s="8"/>
      <c r="S152" s="8">
        <v>25</v>
      </c>
      <c r="T152" s="8">
        <v>9</v>
      </c>
      <c r="U152" s="8">
        <v>1281</v>
      </c>
      <c r="V152" s="8">
        <v>1301</v>
      </c>
      <c r="W152" s="8">
        <v>21</v>
      </c>
      <c r="X152" s="8"/>
      <c r="Y152" s="8">
        <v>85</v>
      </c>
      <c r="Z152" s="8">
        <v>104</v>
      </c>
      <c r="AA152" s="8">
        <v>105</v>
      </c>
      <c r="AB152" s="8">
        <v>1</v>
      </c>
      <c r="AC152" s="8">
        <v>42</v>
      </c>
      <c r="AD152" s="8" t="s">
        <v>2989</v>
      </c>
      <c r="AE152" s="8" t="s">
        <v>2987</v>
      </c>
      <c r="AF152" s="8" t="s">
        <v>69</v>
      </c>
      <c r="AG152" s="8" t="s">
        <v>108</v>
      </c>
      <c r="AH152" s="8" t="s">
        <v>109</v>
      </c>
      <c r="AI152" s="8" t="s">
        <v>2706</v>
      </c>
      <c r="AJ152" s="8" t="s">
        <v>2981</v>
      </c>
      <c r="AK152" s="8" t="s">
        <v>2980</v>
      </c>
      <c r="AL152" s="8"/>
      <c r="AM152" s="8"/>
      <c r="AN152" s="8"/>
      <c r="AO152" s="8"/>
      <c r="AP152" s="8"/>
      <c r="AQ152" s="8"/>
      <c r="AR152" s="8"/>
      <c r="AS152" s="8"/>
      <c r="AT152" s="8"/>
      <c r="AU152" s="8"/>
      <c r="AV152" s="8"/>
      <c r="AW152" s="8"/>
      <c r="AX152" s="8"/>
      <c r="AY152" s="8"/>
      <c r="AZ152" s="8"/>
      <c r="BA152" s="8"/>
      <c r="BB152" s="8"/>
      <c r="BC152" s="8"/>
      <c r="BD152" s="8"/>
      <c r="BE152" s="8"/>
      <c r="BF152" s="8"/>
      <c r="BG152" s="8"/>
      <c r="BH152" s="8"/>
      <c r="BI152" s="8"/>
      <c r="BJ152" s="8"/>
      <c r="BK152" s="8"/>
      <c r="BL152" s="8"/>
      <c r="BM152" s="8"/>
      <c r="BN152" s="8"/>
      <c r="BO152" s="8"/>
      <c r="BP152" s="8"/>
      <c r="BQ152" s="8"/>
      <c r="BR152" s="8"/>
      <c r="BS152" s="8"/>
      <c r="BT152" s="8"/>
      <c r="BU152" s="8"/>
      <c r="BV152" s="8"/>
      <c r="BW152" s="8"/>
      <c r="BX152" s="8"/>
      <c r="BY152" s="8"/>
      <c r="BZ152" s="8"/>
    </row>
    <row r="153" spans="1:78" ht="13" customHeight="1" x14ac:dyDescent="0.15">
      <c r="A153" s="8" t="s">
        <v>6188</v>
      </c>
      <c r="B153" s="8" t="s">
        <v>74</v>
      </c>
      <c r="C153" s="9">
        <v>2014</v>
      </c>
      <c r="D153" s="8" t="s">
        <v>2990</v>
      </c>
      <c r="E153" s="8" t="s">
        <v>2991</v>
      </c>
      <c r="F153" s="8" t="s">
        <v>2992</v>
      </c>
      <c r="G153" s="8" t="str" cm="1">
        <f t="array" ref="G153">LOWER(CleanCode(F153))</f>
        <v>explainingtheimmigrationadvantageandthebiculturalismparadoxanapplicationofthetheoryofdemoralization</v>
      </c>
      <c r="H153" s="8"/>
      <c r="I153" s="8"/>
      <c r="J153" s="8" t="s">
        <v>2996</v>
      </c>
      <c r="K153" s="8"/>
      <c r="L153" s="8"/>
      <c r="M153" s="8" t="s">
        <v>2993</v>
      </c>
      <c r="N153" s="8" t="str">
        <f t="shared" si="2"/>
        <v>International Journal Of Social Psychiatry</v>
      </c>
      <c r="O153" s="8" t="s">
        <v>3001</v>
      </c>
      <c r="P153" s="8" t="s">
        <v>3002</v>
      </c>
      <c r="Q153" s="8" t="s">
        <v>69</v>
      </c>
      <c r="R153" s="8"/>
      <c r="S153" s="8">
        <v>60</v>
      </c>
      <c r="T153" s="8">
        <v>2</v>
      </c>
      <c r="U153" s="8">
        <v>175</v>
      </c>
      <c r="V153" s="8">
        <v>177</v>
      </c>
      <c r="W153" s="8">
        <v>3</v>
      </c>
      <c r="X153" s="8"/>
      <c r="Y153" s="8">
        <v>24</v>
      </c>
      <c r="Z153" s="8">
        <v>9</v>
      </c>
      <c r="AA153" s="8">
        <v>9</v>
      </c>
      <c r="AB153" s="8">
        <v>0</v>
      </c>
      <c r="AC153" s="8">
        <v>10</v>
      </c>
      <c r="AD153" s="8" t="s">
        <v>3007</v>
      </c>
      <c r="AE153" s="8" t="s">
        <v>3005</v>
      </c>
      <c r="AF153" s="8">
        <v>23463802</v>
      </c>
      <c r="AG153" s="8" t="s">
        <v>155</v>
      </c>
      <c r="AH153" s="8" t="s">
        <v>156</v>
      </c>
      <c r="AI153" s="8" t="s">
        <v>157</v>
      </c>
      <c r="AJ153" s="8" t="s">
        <v>2995</v>
      </c>
      <c r="AK153" s="8" t="s">
        <v>2994</v>
      </c>
      <c r="AL153" s="8"/>
      <c r="AM153" s="8"/>
      <c r="AN153" s="8"/>
      <c r="AO153" s="8"/>
      <c r="AP153" s="8"/>
      <c r="AQ153" s="8"/>
      <c r="AR153" s="8"/>
      <c r="AS153" s="8"/>
      <c r="AT153" s="8"/>
      <c r="AU153" s="8"/>
      <c r="AV153" s="8"/>
      <c r="AW153" s="8"/>
      <c r="AX153" s="8"/>
      <c r="AY153" s="8"/>
      <c r="AZ153" s="8"/>
      <c r="BA153" s="8"/>
      <c r="BB153" s="8"/>
      <c r="BC153" s="8"/>
      <c r="BD153" s="8"/>
      <c r="BE153" s="8"/>
      <c r="BF153" s="8"/>
      <c r="BG153" s="8"/>
      <c r="BH153" s="8"/>
      <c r="BI153" s="8"/>
      <c r="BJ153" s="8"/>
      <c r="BK153" s="8"/>
      <c r="BL153" s="8"/>
      <c r="BM153" s="8"/>
      <c r="BN153" s="8"/>
      <c r="BO153" s="8"/>
      <c r="BP153" s="8"/>
      <c r="BQ153" s="8"/>
      <c r="BR153" s="8"/>
      <c r="BS153" s="8"/>
      <c r="BT153" s="8"/>
      <c r="BU153" s="8"/>
      <c r="BV153" s="8"/>
      <c r="BW153" s="8"/>
      <c r="BX153" s="8"/>
      <c r="BY153" s="8"/>
      <c r="BZ153" s="8"/>
    </row>
    <row r="154" spans="1:78" ht="13" customHeight="1" x14ac:dyDescent="0.15">
      <c r="A154" s="8" t="s">
        <v>6188</v>
      </c>
      <c r="B154" s="8" t="s">
        <v>74</v>
      </c>
      <c r="C154" s="9">
        <v>2014</v>
      </c>
      <c r="D154" s="8" t="s">
        <v>3008</v>
      </c>
      <c r="E154" s="8" t="s">
        <v>3009</v>
      </c>
      <c r="F154" s="8" t="s">
        <v>3010</v>
      </c>
      <c r="G154" s="8" t="str" cm="1">
        <f t="array" ref="G154">LOWER(CleanCode(F154))</f>
        <v>perceivedcontextofreceptionamongrecenthispanicimmigrantsconceptualizationinstrumentdevelopmentandpreliminaryvalidation</v>
      </c>
      <c r="H154" s="8"/>
      <c r="I154" s="8"/>
      <c r="J154" s="8" t="s">
        <v>3013</v>
      </c>
      <c r="K154" s="8"/>
      <c r="L154" s="8"/>
      <c r="M154" s="8" t="s">
        <v>2427</v>
      </c>
      <c r="N154" s="8" t="str">
        <f t="shared" si="2"/>
        <v>Cultural Diversity &amp; Ethnic Minority Psychology</v>
      </c>
      <c r="O154" s="8" t="s">
        <v>2436</v>
      </c>
      <c r="P154" s="8" t="s">
        <v>2437</v>
      </c>
      <c r="Q154" s="8" t="s">
        <v>69</v>
      </c>
      <c r="R154" s="8"/>
      <c r="S154" s="8">
        <v>20</v>
      </c>
      <c r="T154" s="8">
        <v>1</v>
      </c>
      <c r="U154" s="8">
        <v>1</v>
      </c>
      <c r="V154" s="8">
        <v>15</v>
      </c>
      <c r="W154" s="8">
        <v>15</v>
      </c>
      <c r="X154" s="8"/>
      <c r="Y154" s="8">
        <v>84</v>
      </c>
      <c r="Z154" s="8">
        <v>57</v>
      </c>
      <c r="AA154" s="8">
        <v>57</v>
      </c>
      <c r="AB154" s="8">
        <v>1</v>
      </c>
      <c r="AC154" s="8">
        <v>23</v>
      </c>
      <c r="AD154" s="8" t="s">
        <v>3020</v>
      </c>
      <c r="AE154" s="8" t="s">
        <v>3018</v>
      </c>
      <c r="AF154" s="8">
        <v>24099485</v>
      </c>
      <c r="AG154" s="8" t="s">
        <v>2434</v>
      </c>
      <c r="AH154" s="8" t="s">
        <v>1184</v>
      </c>
      <c r="AI154" s="8" t="s">
        <v>2435</v>
      </c>
      <c r="AJ154" s="8" t="s">
        <v>3012</v>
      </c>
      <c r="AK154" s="8" t="s">
        <v>3011</v>
      </c>
      <c r="AL154" s="8"/>
      <c r="AM154" s="8"/>
      <c r="AN154" s="8"/>
      <c r="AO154" s="8"/>
      <c r="AP154" s="8"/>
      <c r="AQ154" s="8"/>
      <c r="AR154" s="8"/>
      <c r="AS154" s="8"/>
      <c r="AT154" s="8"/>
      <c r="AU154" s="8"/>
      <c r="AV154" s="8"/>
      <c r="AW154" s="8"/>
      <c r="AX154" s="8"/>
      <c r="AY154" s="8"/>
      <c r="AZ154" s="8"/>
      <c r="BA154" s="8"/>
      <c r="BB154" s="8"/>
      <c r="BC154" s="8"/>
      <c r="BD154" s="8"/>
      <c r="BE154" s="8"/>
      <c r="BF154" s="8"/>
      <c r="BG154" s="8"/>
      <c r="BH154" s="8"/>
      <c r="BI154" s="8"/>
      <c r="BJ154" s="8"/>
      <c r="BK154" s="8"/>
      <c r="BL154" s="8"/>
      <c r="BM154" s="8"/>
      <c r="BN154" s="8"/>
      <c r="BO154" s="8"/>
      <c r="BP154" s="8"/>
      <c r="BQ154" s="8"/>
      <c r="BR154" s="8"/>
      <c r="BS154" s="8"/>
      <c r="BT154" s="8"/>
      <c r="BU154" s="8"/>
      <c r="BV154" s="8"/>
      <c r="BW154" s="8"/>
      <c r="BX154" s="8"/>
      <c r="BY154" s="8"/>
      <c r="BZ154" s="8"/>
    </row>
    <row r="155" spans="1:78" ht="13" customHeight="1" x14ac:dyDescent="0.15">
      <c r="A155" s="8" t="s">
        <v>6188</v>
      </c>
      <c r="B155" s="8" t="s">
        <v>74</v>
      </c>
      <c r="C155" s="9">
        <v>2014</v>
      </c>
      <c r="D155" s="8" t="s">
        <v>3021</v>
      </c>
      <c r="E155" s="8" t="s">
        <v>3022</v>
      </c>
      <c r="F155" s="8" t="s">
        <v>3023</v>
      </c>
      <c r="G155" s="8" t="str" cm="1">
        <f t="array" ref="G155">LOWER(CleanCode(F155))</f>
        <v>socialmarkersofacculturationanewresearchframeworkoninterculturaladaptation</v>
      </c>
      <c r="H155" s="8"/>
      <c r="I155" s="8"/>
      <c r="J155" s="8" t="s">
        <v>3026</v>
      </c>
      <c r="K155" s="8"/>
      <c r="L155" s="8"/>
      <c r="M155" s="8" t="s">
        <v>762</v>
      </c>
      <c r="N155" s="8" t="str">
        <f t="shared" si="2"/>
        <v>International Journal Of Intercultural Relations</v>
      </c>
      <c r="O155" s="8" t="s">
        <v>774</v>
      </c>
      <c r="P155" s="8" t="s">
        <v>775</v>
      </c>
      <c r="Q155" s="8" t="s">
        <v>69</v>
      </c>
      <c r="R155" s="8"/>
      <c r="S155" s="8">
        <v>38</v>
      </c>
      <c r="T155" s="8" t="s">
        <v>69</v>
      </c>
      <c r="U155" s="8">
        <v>120</v>
      </c>
      <c r="V155" s="8">
        <v>132</v>
      </c>
      <c r="W155" s="8">
        <v>13</v>
      </c>
      <c r="X155" s="8"/>
      <c r="Y155" s="8">
        <v>46</v>
      </c>
      <c r="Z155" s="8">
        <v>20</v>
      </c>
      <c r="AA155" s="8">
        <v>20</v>
      </c>
      <c r="AB155" s="8">
        <v>0</v>
      </c>
      <c r="AC155" s="8">
        <v>22</v>
      </c>
      <c r="AD155" s="8" t="s">
        <v>3034</v>
      </c>
      <c r="AE155" s="8" t="s">
        <v>3032</v>
      </c>
      <c r="AF155" s="8" t="s">
        <v>69</v>
      </c>
      <c r="AG155" s="8" t="s">
        <v>771</v>
      </c>
      <c r="AH155" s="8" t="s">
        <v>772</v>
      </c>
      <c r="AI155" s="8" t="s">
        <v>773</v>
      </c>
      <c r="AJ155" s="8" t="s">
        <v>3025</v>
      </c>
      <c r="AK155" s="8" t="s">
        <v>3024</v>
      </c>
      <c r="AL155" s="8"/>
      <c r="AM155" s="8"/>
      <c r="AN155" s="8"/>
      <c r="AO155" s="8"/>
      <c r="AP155" s="8"/>
      <c r="AQ155" s="8"/>
      <c r="AR155" s="8"/>
      <c r="AS155" s="8"/>
      <c r="AT155" s="8"/>
      <c r="AU155" s="8"/>
      <c r="AV155" s="8"/>
      <c r="AW155" s="8"/>
      <c r="AX155" s="8"/>
      <c r="AY155" s="8"/>
      <c r="AZ155" s="8"/>
      <c r="BA155" s="8"/>
      <c r="BB155" s="8"/>
      <c r="BC155" s="8"/>
      <c r="BD155" s="8"/>
      <c r="BE155" s="8"/>
      <c r="BF155" s="8"/>
      <c r="BG155" s="8"/>
      <c r="BH155" s="8"/>
      <c r="BI155" s="8"/>
      <c r="BJ155" s="8"/>
      <c r="BK155" s="8"/>
      <c r="BL155" s="8"/>
      <c r="BM155" s="8"/>
      <c r="BN155" s="8"/>
      <c r="BO155" s="8"/>
      <c r="BP155" s="8"/>
      <c r="BQ155" s="8"/>
      <c r="BR155" s="8"/>
      <c r="BS155" s="8"/>
      <c r="BT155" s="8"/>
      <c r="BU155" s="8"/>
      <c r="BV155" s="8"/>
      <c r="BW155" s="8"/>
      <c r="BX155" s="8"/>
      <c r="BY155" s="8"/>
      <c r="BZ155" s="8"/>
    </row>
    <row r="156" spans="1:78" ht="13" customHeight="1" x14ac:dyDescent="0.15">
      <c r="A156" s="8" t="s">
        <v>6188</v>
      </c>
      <c r="B156" s="8" t="s">
        <v>74</v>
      </c>
      <c r="C156" s="9">
        <v>2013</v>
      </c>
      <c r="D156" s="8" t="s">
        <v>3035</v>
      </c>
      <c r="E156" s="8" t="s">
        <v>3036</v>
      </c>
      <c r="F156" s="8" t="s">
        <v>3037</v>
      </c>
      <c r="G156" s="8" t="str" cm="1">
        <f t="array" ref="G156">LOWER(CleanCode(F156))</f>
        <v>homeequityofnewlegalimmigrantsintheunitedstatesanevaluationofthreekeytheoreticalperspectives</v>
      </c>
      <c r="H156" s="8"/>
      <c r="I156" s="8"/>
      <c r="J156" s="8" t="s">
        <v>3040</v>
      </c>
      <c r="K156" s="8"/>
      <c r="L156" s="8"/>
      <c r="M156" s="8" t="s">
        <v>3038</v>
      </c>
      <c r="N156" s="8" t="str">
        <f t="shared" si="2"/>
        <v>International Migration Review</v>
      </c>
      <c r="O156" s="8" t="s">
        <v>3043</v>
      </c>
      <c r="P156" s="8" t="s">
        <v>3044</v>
      </c>
      <c r="Q156" s="8" t="s">
        <v>69</v>
      </c>
      <c r="R156" s="8"/>
      <c r="S156" s="8">
        <v>47</v>
      </c>
      <c r="T156" s="8">
        <v>3</v>
      </c>
      <c r="U156" s="8">
        <v>686</v>
      </c>
      <c r="V156" s="8">
        <v>729</v>
      </c>
      <c r="W156" s="8">
        <v>44</v>
      </c>
      <c r="X156" s="8"/>
      <c r="Y156" s="8">
        <v>82</v>
      </c>
      <c r="Z156" s="8">
        <v>4</v>
      </c>
      <c r="AA156" s="8">
        <v>4</v>
      </c>
      <c r="AB156" s="8">
        <v>0</v>
      </c>
      <c r="AC156" s="8">
        <v>10</v>
      </c>
      <c r="AD156" s="8" t="s">
        <v>3049</v>
      </c>
      <c r="AE156" s="8" t="s">
        <v>3047</v>
      </c>
      <c r="AF156" s="8" t="s">
        <v>69</v>
      </c>
      <c r="AG156" s="8" t="s">
        <v>180</v>
      </c>
      <c r="AH156" s="8" t="s">
        <v>181</v>
      </c>
      <c r="AI156" s="8" t="s">
        <v>182</v>
      </c>
      <c r="AJ156" s="8" t="s">
        <v>3039</v>
      </c>
      <c r="AK156" s="8" t="s">
        <v>69</v>
      </c>
      <c r="AL156" s="8"/>
      <c r="AM156" s="8"/>
      <c r="AN156" s="8"/>
      <c r="AO156" s="8"/>
      <c r="AP156" s="8"/>
      <c r="AQ156" s="8"/>
      <c r="AR156" s="8"/>
      <c r="AS156" s="8"/>
      <c r="AT156" s="8"/>
      <c r="AU156" s="8"/>
      <c r="AV156" s="8"/>
      <c r="AW156" s="8"/>
      <c r="AX156" s="8"/>
      <c r="AY156" s="8"/>
      <c r="AZ156" s="8"/>
      <c r="BA156" s="8"/>
      <c r="BB156" s="8"/>
      <c r="BC156" s="8"/>
      <c r="BD156" s="8"/>
      <c r="BE156" s="8"/>
      <c r="BF156" s="8"/>
      <c r="BG156" s="8"/>
      <c r="BH156" s="8"/>
      <c r="BI156" s="8"/>
      <c r="BJ156" s="8"/>
      <c r="BK156" s="8"/>
      <c r="BL156" s="8"/>
      <c r="BM156" s="8"/>
      <c r="BN156" s="8"/>
      <c r="BO156" s="8"/>
      <c r="BP156" s="8"/>
      <c r="BQ156" s="8"/>
      <c r="BR156" s="8"/>
      <c r="BS156" s="8"/>
      <c r="BT156" s="8"/>
      <c r="BU156" s="8"/>
      <c r="BV156" s="8"/>
      <c r="BW156" s="8"/>
      <c r="BX156" s="8"/>
      <c r="BY156" s="8"/>
      <c r="BZ156" s="8"/>
    </row>
    <row r="157" spans="1:78" ht="13" customHeight="1" x14ac:dyDescent="0.15">
      <c r="A157" s="8" t="s">
        <v>6188</v>
      </c>
      <c r="B157" s="8" t="s">
        <v>74</v>
      </c>
      <c r="C157" s="9">
        <v>2013</v>
      </c>
      <c r="D157" s="8" t="s">
        <v>3050</v>
      </c>
      <c r="E157" s="8" t="s">
        <v>3051</v>
      </c>
      <c r="F157" s="8" t="s">
        <v>3052</v>
      </c>
      <c r="G157" s="8" t="str" cm="1">
        <f t="array" ref="G157">LOWER(CleanCode(F157))</f>
        <v>thesocialecologyofresolvingfamilyconflictamongwestafricanimmigrantsinnewyorkagroundedtheoryapproach</v>
      </c>
      <c r="H157" s="8"/>
      <c r="I157" s="8"/>
      <c r="J157" s="8" t="s">
        <v>3055</v>
      </c>
      <c r="K157" s="8"/>
      <c r="L157" s="8"/>
      <c r="M157" s="8" t="s">
        <v>365</v>
      </c>
      <c r="N157" s="8" t="str">
        <f t="shared" si="2"/>
        <v>American Journal Of Community Psychology</v>
      </c>
      <c r="O157" s="8" t="s">
        <v>375</v>
      </c>
      <c r="P157" s="8" t="s">
        <v>376</v>
      </c>
      <c r="Q157" s="8" t="s">
        <v>69</v>
      </c>
      <c r="R157" s="8"/>
      <c r="S157" s="8">
        <v>52</v>
      </c>
      <c r="T157" s="8" t="s">
        <v>3061</v>
      </c>
      <c r="U157" s="8">
        <v>185</v>
      </c>
      <c r="V157" s="8">
        <v>196</v>
      </c>
      <c r="W157" s="8">
        <v>12</v>
      </c>
      <c r="X157" s="8"/>
      <c r="Y157" s="8">
        <v>43</v>
      </c>
      <c r="Z157" s="8">
        <v>5</v>
      </c>
      <c r="AA157" s="8">
        <v>5</v>
      </c>
      <c r="AB157" s="8">
        <v>0</v>
      </c>
      <c r="AC157" s="8">
        <v>33</v>
      </c>
      <c r="AD157" s="8" t="s">
        <v>3064</v>
      </c>
      <c r="AE157" s="8" t="s">
        <v>3062</v>
      </c>
      <c r="AF157" s="8">
        <v>23817792</v>
      </c>
      <c r="AG157" s="8" t="s">
        <v>223</v>
      </c>
      <c r="AH157" s="8" t="s">
        <v>224</v>
      </c>
      <c r="AI157" s="8" t="s">
        <v>225</v>
      </c>
      <c r="AJ157" s="8" t="s">
        <v>3054</v>
      </c>
      <c r="AK157" s="8" t="s">
        <v>3053</v>
      </c>
      <c r="AL157" s="8"/>
      <c r="AM157" s="8"/>
      <c r="AN157" s="8"/>
      <c r="AO157" s="8"/>
      <c r="AP157" s="8"/>
      <c r="AQ157" s="8"/>
      <c r="AR157" s="8"/>
      <c r="AS157" s="8"/>
      <c r="AT157" s="8"/>
      <c r="AU157" s="8"/>
      <c r="AV157" s="8"/>
      <c r="AW157" s="8"/>
      <c r="AX157" s="8"/>
      <c r="AY157" s="8"/>
      <c r="AZ157" s="8"/>
      <c r="BA157" s="8"/>
      <c r="BB157" s="8"/>
      <c r="BC157" s="8"/>
      <c r="BD157" s="8"/>
      <c r="BE157" s="8"/>
      <c r="BF157" s="8"/>
      <c r="BG157" s="8"/>
      <c r="BH157" s="8"/>
      <c r="BI157" s="8"/>
      <c r="BJ157" s="8"/>
      <c r="BK157" s="8"/>
      <c r="BL157" s="8"/>
      <c r="BM157" s="8"/>
      <c r="BN157" s="8"/>
      <c r="BO157" s="8"/>
      <c r="BP157" s="8"/>
      <c r="BQ157" s="8"/>
      <c r="BR157" s="8"/>
      <c r="BS157" s="8"/>
      <c r="BT157" s="8"/>
      <c r="BU157" s="8"/>
      <c r="BV157" s="8"/>
      <c r="BW157" s="8"/>
      <c r="BX157" s="8"/>
      <c r="BY157" s="8"/>
      <c r="BZ157" s="8"/>
    </row>
    <row r="158" spans="1:78" ht="13" customHeight="1" x14ac:dyDescent="0.15">
      <c r="A158" s="8" t="s">
        <v>6188</v>
      </c>
      <c r="B158" s="8" t="s">
        <v>74</v>
      </c>
      <c r="C158" s="9">
        <v>2013</v>
      </c>
      <c r="D158" s="8" t="s">
        <v>3065</v>
      </c>
      <c r="E158" s="8" t="s">
        <v>3066</v>
      </c>
      <c r="F158" s="8" t="s">
        <v>3067</v>
      </c>
      <c r="G158" s="8" t="str" cm="1">
        <f t="array" ref="G158">LOWER(CleanCode(F158))</f>
        <v>amultistudyanalysisofconceptualandmeasurementissuesrelatedtohealthresearchonacculturationinlatinos</v>
      </c>
      <c r="H158" s="8"/>
      <c r="I158" s="8"/>
      <c r="J158" s="8" t="s">
        <v>3070</v>
      </c>
      <c r="K158" s="8"/>
      <c r="L158" s="8"/>
      <c r="M158" s="8" t="s">
        <v>1966</v>
      </c>
      <c r="N158" s="8" t="str">
        <f t="shared" si="2"/>
        <v>Journal Of Transcultural Nursing</v>
      </c>
      <c r="O158" s="8" t="s">
        <v>1974</v>
      </c>
      <c r="P158" s="8" t="s">
        <v>1975</v>
      </c>
      <c r="Q158" s="8" t="s">
        <v>69</v>
      </c>
      <c r="R158" s="8"/>
      <c r="S158" s="8">
        <v>24</v>
      </c>
      <c r="T158" s="8">
        <v>2</v>
      </c>
      <c r="U158" s="8">
        <v>134</v>
      </c>
      <c r="V158" s="8">
        <v>143</v>
      </c>
      <c r="W158" s="8">
        <v>10</v>
      </c>
      <c r="X158" s="8"/>
      <c r="Y158" s="8">
        <v>37</v>
      </c>
      <c r="Z158" s="8">
        <v>12</v>
      </c>
      <c r="AA158" s="8">
        <v>12</v>
      </c>
      <c r="AB158" s="8">
        <v>0</v>
      </c>
      <c r="AC158" s="8">
        <v>11</v>
      </c>
      <c r="AD158" s="8" t="s">
        <v>3080</v>
      </c>
      <c r="AE158" s="8" t="s">
        <v>3078</v>
      </c>
      <c r="AF158" s="8">
        <v>23361579</v>
      </c>
      <c r="AG158" s="8" t="s">
        <v>180</v>
      </c>
      <c r="AH158" s="8" t="s">
        <v>181</v>
      </c>
      <c r="AI158" s="8" t="s">
        <v>182</v>
      </c>
      <c r="AJ158" s="8" t="s">
        <v>3069</v>
      </c>
      <c r="AK158" s="8" t="s">
        <v>3068</v>
      </c>
      <c r="AL158" s="8"/>
      <c r="AM158" s="8"/>
      <c r="AN158" s="8"/>
      <c r="AO158" s="8"/>
      <c r="AP158" s="8"/>
      <c r="AQ158" s="8"/>
      <c r="AR158" s="8"/>
      <c r="AS158" s="8"/>
      <c r="AT158" s="8"/>
      <c r="AU158" s="8"/>
      <c r="AV158" s="8"/>
      <c r="AW158" s="8"/>
      <c r="AX158" s="8"/>
      <c r="AY158" s="8"/>
      <c r="AZ158" s="8"/>
      <c r="BA158" s="8"/>
      <c r="BB158" s="8"/>
      <c r="BC158" s="8"/>
      <c r="BD158" s="8"/>
      <c r="BE158" s="8"/>
      <c r="BF158" s="8"/>
      <c r="BG158" s="8"/>
      <c r="BH158" s="8"/>
      <c r="BI158" s="8"/>
      <c r="BJ158" s="8"/>
      <c r="BK158" s="8"/>
      <c r="BL158" s="8"/>
      <c r="BM158" s="8"/>
      <c r="BN158" s="8"/>
      <c r="BO158" s="8"/>
      <c r="BP158" s="8"/>
      <c r="BQ158" s="8"/>
      <c r="BR158" s="8"/>
      <c r="BS158" s="8"/>
      <c r="BT158" s="8"/>
      <c r="BU158" s="8"/>
      <c r="BV158" s="8"/>
      <c r="BW158" s="8"/>
      <c r="BX158" s="8"/>
      <c r="BY158" s="8"/>
      <c r="BZ158" s="8"/>
    </row>
    <row r="159" spans="1:78" ht="13" customHeight="1" x14ac:dyDescent="0.15">
      <c r="A159" s="8" t="s">
        <v>6188</v>
      </c>
      <c r="B159" s="8" t="s">
        <v>74</v>
      </c>
      <c r="C159" s="9">
        <v>2013</v>
      </c>
      <c r="D159" s="8" t="s">
        <v>3081</v>
      </c>
      <c r="E159" s="8" t="s">
        <v>3082</v>
      </c>
      <c r="F159" s="8" t="s">
        <v>3083</v>
      </c>
      <c r="G159" s="8" t="str" cm="1">
        <f t="array" ref="G159">LOWER(CleanCode(F159))</f>
        <v>negotiatingidentitydevelopmentamongundocumentedimmigrantcollegestudentsagroundedtheorystudy</v>
      </c>
      <c r="H159" s="8"/>
      <c r="I159" s="8"/>
      <c r="J159" s="8" t="s">
        <v>3087</v>
      </c>
      <c r="K159" s="8"/>
      <c r="L159" s="8"/>
      <c r="M159" s="8" t="s">
        <v>3084</v>
      </c>
      <c r="N159" s="8" t="str">
        <f t="shared" si="2"/>
        <v>Journal Of Counseling Psychology</v>
      </c>
      <c r="O159" s="8" t="s">
        <v>3091</v>
      </c>
      <c r="P159" s="8" t="s">
        <v>3092</v>
      </c>
      <c r="Q159" s="8" t="s">
        <v>69</v>
      </c>
      <c r="R159" s="8"/>
      <c r="S159" s="8">
        <v>60</v>
      </c>
      <c r="T159" s="8">
        <v>2</v>
      </c>
      <c r="U159" s="8">
        <v>251</v>
      </c>
      <c r="V159" s="8">
        <v>264</v>
      </c>
      <c r="W159" s="8">
        <v>14</v>
      </c>
      <c r="X159" s="8"/>
      <c r="Y159" s="8">
        <v>45</v>
      </c>
      <c r="Z159" s="8">
        <v>41</v>
      </c>
      <c r="AA159" s="8">
        <v>41</v>
      </c>
      <c r="AB159" s="8">
        <v>0</v>
      </c>
      <c r="AC159" s="8">
        <v>31</v>
      </c>
      <c r="AD159" s="8" t="s">
        <v>3098</v>
      </c>
      <c r="AE159" s="8" t="s">
        <v>3095</v>
      </c>
      <c r="AF159" s="8">
        <v>23421773</v>
      </c>
      <c r="AG159" s="8" t="s">
        <v>1183</v>
      </c>
      <c r="AH159" s="8" t="s">
        <v>1184</v>
      </c>
      <c r="AI159" s="8" t="s">
        <v>1185</v>
      </c>
      <c r="AJ159" s="8" t="s">
        <v>3086</v>
      </c>
      <c r="AK159" s="8" t="s">
        <v>3085</v>
      </c>
      <c r="AL159" s="8"/>
      <c r="AM159" s="8"/>
      <c r="AN159" s="8"/>
      <c r="AO159" s="8"/>
      <c r="AP159" s="8"/>
      <c r="AQ159" s="8"/>
      <c r="AR159" s="8"/>
      <c r="AS159" s="8"/>
      <c r="AT159" s="8"/>
      <c r="AU159" s="8"/>
      <c r="AV159" s="8"/>
      <c r="AW159" s="8"/>
      <c r="AX159" s="8"/>
      <c r="AY159" s="8"/>
      <c r="AZ159" s="8"/>
      <c r="BA159" s="8"/>
      <c r="BB159" s="8"/>
      <c r="BC159" s="8"/>
      <c r="BD159" s="8"/>
      <c r="BE159" s="8"/>
      <c r="BF159" s="8"/>
      <c r="BG159" s="8"/>
      <c r="BH159" s="8"/>
      <c r="BI159" s="8"/>
      <c r="BJ159" s="8"/>
      <c r="BK159" s="8"/>
      <c r="BL159" s="8"/>
      <c r="BM159" s="8"/>
      <c r="BN159" s="8"/>
      <c r="BO159" s="8"/>
      <c r="BP159" s="8"/>
      <c r="BQ159" s="8"/>
      <c r="BR159" s="8"/>
      <c r="BS159" s="8"/>
      <c r="BT159" s="8"/>
      <c r="BU159" s="8"/>
      <c r="BV159" s="8"/>
      <c r="BW159" s="8"/>
      <c r="BX159" s="8"/>
      <c r="BY159" s="8"/>
      <c r="BZ159" s="8"/>
    </row>
    <row r="160" spans="1:78" ht="13" customHeight="1" x14ac:dyDescent="0.15">
      <c r="A160" s="8" t="s">
        <v>6188</v>
      </c>
      <c r="B160" s="8" t="s">
        <v>74</v>
      </c>
      <c r="C160" s="9">
        <v>2013</v>
      </c>
      <c r="D160" s="8" t="s">
        <v>2386</v>
      </c>
      <c r="E160" s="8" t="s">
        <v>2387</v>
      </c>
      <c r="F160" s="8" t="s">
        <v>3099</v>
      </c>
      <c r="G160" s="8" t="str" cm="1">
        <f t="array" ref="G160">LOWER(CleanCode(F160))</f>
        <v>integratedthreattheoryandacceptanceofimmigrantassimilationananalysisofmuslimimmigrationinwesterneurope</v>
      </c>
      <c r="H160" s="8"/>
      <c r="I160" s="8"/>
      <c r="J160" s="8" t="s">
        <v>3102</v>
      </c>
      <c r="K160" s="8"/>
      <c r="L160" s="8"/>
      <c r="M160" s="8" t="s">
        <v>1669</v>
      </c>
      <c r="N160" s="8" t="str">
        <f t="shared" si="2"/>
        <v>Communication Monographs</v>
      </c>
      <c r="O160" s="8" t="s">
        <v>1678</v>
      </c>
      <c r="P160" s="8" t="s">
        <v>1679</v>
      </c>
      <c r="Q160" s="8" t="s">
        <v>69</v>
      </c>
      <c r="R160" s="8"/>
      <c r="S160" s="8">
        <v>80</v>
      </c>
      <c r="T160" s="8">
        <v>1</v>
      </c>
      <c r="U160" s="8">
        <v>46</v>
      </c>
      <c r="V160" s="8">
        <v>62</v>
      </c>
      <c r="W160" s="8">
        <v>17</v>
      </c>
      <c r="X160" s="8"/>
      <c r="Y160" s="8">
        <v>54</v>
      </c>
      <c r="Z160" s="8">
        <v>39</v>
      </c>
      <c r="AA160" s="8">
        <v>39</v>
      </c>
      <c r="AB160" s="8">
        <v>2</v>
      </c>
      <c r="AC160" s="8">
        <v>67</v>
      </c>
      <c r="AD160" s="8" t="s">
        <v>3108</v>
      </c>
      <c r="AE160" s="8" t="s">
        <v>3106</v>
      </c>
      <c r="AF160" s="8" t="s">
        <v>69</v>
      </c>
      <c r="AG160" s="8" t="s">
        <v>108</v>
      </c>
      <c r="AH160" s="8" t="s">
        <v>109</v>
      </c>
      <c r="AI160" s="8" t="s">
        <v>110</v>
      </c>
      <c r="AJ160" s="8" t="s">
        <v>3101</v>
      </c>
      <c r="AK160" s="8" t="s">
        <v>3100</v>
      </c>
      <c r="AL160" s="8"/>
      <c r="AM160" s="8"/>
      <c r="AN160" s="8"/>
      <c r="AO160" s="8"/>
      <c r="AP160" s="8"/>
      <c r="AQ160" s="8"/>
      <c r="AR160" s="8"/>
      <c r="AS160" s="8"/>
      <c r="AT160" s="8"/>
      <c r="AU160" s="8"/>
      <c r="AV160" s="8"/>
      <c r="AW160" s="8"/>
      <c r="AX160" s="8"/>
      <c r="AY160" s="8"/>
      <c r="AZ160" s="8"/>
      <c r="BA160" s="8"/>
      <c r="BB160" s="8"/>
      <c r="BC160" s="8"/>
      <c r="BD160" s="8"/>
      <c r="BE160" s="8"/>
      <c r="BF160" s="8"/>
      <c r="BG160" s="8"/>
      <c r="BH160" s="8"/>
      <c r="BI160" s="8"/>
      <c r="BJ160" s="8"/>
      <c r="BK160" s="8"/>
      <c r="BL160" s="8"/>
      <c r="BM160" s="8"/>
      <c r="BN160" s="8"/>
      <c r="BO160" s="8"/>
      <c r="BP160" s="8"/>
      <c r="BQ160" s="8"/>
      <c r="BR160" s="8"/>
      <c r="BS160" s="8"/>
      <c r="BT160" s="8"/>
      <c r="BU160" s="8"/>
      <c r="BV160" s="8"/>
      <c r="BW160" s="8"/>
      <c r="BX160" s="8"/>
      <c r="BY160" s="8"/>
      <c r="BZ160" s="8"/>
    </row>
    <row r="161" spans="1:78" ht="13" customHeight="1" x14ac:dyDescent="0.15">
      <c r="A161" s="8" t="s">
        <v>6188</v>
      </c>
      <c r="B161" s="8" t="s">
        <v>74</v>
      </c>
      <c r="C161" s="9">
        <v>2013</v>
      </c>
      <c r="D161" s="8" t="s">
        <v>3109</v>
      </c>
      <c r="E161" s="8" t="s">
        <v>3110</v>
      </c>
      <c r="F161" s="8" t="s">
        <v>3111</v>
      </c>
      <c r="G161" s="8" t="str" cm="1">
        <f t="array" ref="G161">LOWER(CleanCode(F161))</f>
        <v>languageandurbanlabormarketsegmentationtheoryandevidence</v>
      </c>
      <c r="H161" s="8"/>
      <c r="I161" s="8"/>
      <c r="J161" s="8" t="s">
        <v>3115</v>
      </c>
      <c r="K161" s="8"/>
      <c r="L161" s="8"/>
      <c r="M161" s="8" t="s">
        <v>3112</v>
      </c>
      <c r="N161" s="8" t="str">
        <f t="shared" si="2"/>
        <v>Journal Of Urban Economics</v>
      </c>
      <c r="O161" s="8" t="s">
        <v>3121</v>
      </c>
      <c r="P161" s="8" t="s">
        <v>69</v>
      </c>
      <c r="Q161" s="8" t="s">
        <v>69</v>
      </c>
      <c r="R161" s="8"/>
      <c r="S161" s="8">
        <v>74</v>
      </c>
      <c r="T161" s="8" t="s">
        <v>69</v>
      </c>
      <c r="U161" s="8">
        <v>27</v>
      </c>
      <c r="V161" s="8">
        <v>46</v>
      </c>
      <c r="W161" s="8">
        <v>20</v>
      </c>
      <c r="X161" s="8"/>
      <c r="Y161" s="8">
        <v>41</v>
      </c>
      <c r="Z161" s="8">
        <v>2</v>
      </c>
      <c r="AA161" s="8">
        <v>2</v>
      </c>
      <c r="AB161" s="8">
        <v>2</v>
      </c>
      <c r="AC161" s="8">
        <v>43</v>
      </c>
      <c r="AD161" s="8" t="s">
        <v>3128</v>
      </c>
      <c r="AE161" s="8" t="s">
        <v>3124</v>
      </c>
      <c r="AF161" s="8" t="s">
        <v>69</v>
      </c>
      <c r="AG161" s="8" t="s">
        <v>2471</v>
      </c>
      <c r="AH161" s="8" t="s">
        <v>2472</v>
      </c>
      <c r="AI161" s="8" t="s">
        <v>2473</v>
      </c>
      <c r="AJ161" s="8" t="s">
        <v>3114</v>
      </c>
      <c r="AK161" s="8" t="s">
        <v>3113</v>
      </c>
      <c r="AL161" s="8"/>
      <c r="AM161" s="8"/>
      <c r="AN161" s="8"/>
      <c r="AO161" s="8"/>
      <c r="AP161" s="8"/>
      <c r="AQ161" s="8"/>
      <c r="AR161" s="8"/>
      <c r="AS161" s="8"/>
      <c r="AT161" s="8"/>
      <c r="AU161" s="8"/>
      <c r="AV161" s="8"/>
      <c r="AW161" s="8"/>
      <c r="AX161" s="8"/>
      <c r="AY161" s="8"/>
      <c r="AZ161" s="8"/>
      <c r="BA161" s="8"/>
      <c r="BB161" s="8"/>
      <c r="BC161" s="8"/>
      <c r="BD161" s="8"/>
      <c r="BE161" s="8"/>
      <c r="BF161" s="8"/>
      <c r="BG161" s="8"/>
      <c r="BH161" s="8"/>
      <c r="BI161" s="8"/>
      <c r="BJ161" s="8"/>
      <c r="BK161" s="8"/>
      <c r="BL161" s="8"/>
      <c r="BM161" s="8"/>
      <c r="BN161" s="8"/>
      <c r="BO161" s="8"/>
      <c r="BP161" s="8"/>
      <c r="BQ161" s="8"/>
      <c r="BR161" s="8"/>
      <c r="BS161" s="8"/>
      <c r="BT161" s="8"/>
      <c r="BU161" s="8"/>
      <c r="BV161" s="8"/>
      <c r="BW161" s="8"/>
      <c r="BX161" s="8"/>
      <c r="BY161" s="8"/>
      <c r="BZ161" s="8"/>
    </row>
    <row r="162" spans="1:78" ht="13" customHeight="1" x14ac:dyDescent="0.15">
      <c r="A162" s="8" t="s">
        <v>6188</v>
      </c>
      <c r="B162" s="8" t="s">
        <v>2244</v>
      </c>
      <c r="C162" s="9">
        <v>2013</v>
      </c>
      <c r="D162" s="8" t="s">
        <v>3129</v>
      </c>
      <c r="E162" s="8" t="s">
        <v>3130</v>
      </c>
      <c r="F162" s="8" t="s">
        <v>3131</v>
      </c>
      <c r="G162" s="8" t="str" cm="1">
        <f t="array" ref="G162">LOWER(CleanCode(F162))</f>
        <v>invitedcommentaryintegratingalifecourseperspectiveandsocialtheorytoadvanceresearchonresidentialsegregationandhealth</v>
      </c>
      <c r="H162" s="8"/>
      <c r="I162" s="8"/>
      <c r="J162" s="8" t="s">
        <v>3135</v>
      </c>
      <c r="K162" s="8"/>
      <c r="L162" s="8"/>
      <c r="M162" s="8" t="s">
        <v>3132</v>
      </c>
      <c r="N162" s="8" t="str">
        <f t="shared" si="2"/>
        <v>American Journal Of Epidemiology</v>
      </c>
      <c r="O162" s="8" t="s">
        <v>3141</v>
      </c>
      <c r="P162" s="8" t="s">
        <v>3142</v>
      </c>
      <c r="Q162" s="8" t="s">
        <v>69</v>
      </c>
      <c r="R162" s="8"/>
      <c r="S162" s="8">
        <v>177</v>
      </c>
      <c r="T162" s="8">
        <v>4</v>
      </c>
      <c r="U162" s="8">
        <v>310</v>
      </c>
      <c r="V162" s="8">
        <v>315</v>
      </c>
      <c r="W162" s="8">
        <v>6</v>
      </c>
      <c r="X162" s="8"/>
      <c r="Y162" s="8">
        <v>68</v>
      </c>
      <c r="Z162" s="8">
        <v>18</v>
      </c>
      <c r="AA162" s="8">
        <v>19</v>
      </c>
      <c r="AB162" s="8">
        <v>0</v>
      </c>
      <c r="AC162" s="8">
        <v>39</v>
      </c>
      <c r="AD162" s="8" t="s">
        <v>3148</v>
      </c>
      <c r="AE162" s="8" t="s">
        <v>3146</v>
      </c>
      <c r="AF162" s="8">
        <v>23337313</v>
      </c>
      <c r="AG162" s="8" t="s">
        <v>1087</v>
      </c>
      <c r="AH162" s="8" t="s">
        <v>1088</v>
      </c>
      <c r="AI162" s="8" t="s">
        <v>1089</v>
      </c>
      <c r="AJ162" s="8" t="s">
        <v>3134</v>
      </c>
      <c r="AK162" s="8" t="s">
        <v>3133</v>
      </c>
      <c r="AL162" s="8"/>
      <c r="AM162" s="8"/>
      <c r="AN162" s="8"/>
      <c r="AO162" s="8"/>
      <c r="AP162" s="8"/>
      <c r="AQ162" s="8"/>
      <c r="AR162" s="8"/>
      <c r="AS162" s="8"/>
      <c r="AT162" s="8"/>
      <c r="AU162" s="8"/>
      <c r="AV162" s="8"/>
      <c r="AW162" s="8"/>
      <c r="AX162" s="8"/>
      <c r="AY162" s="8"/>
      <c r="AZ162" s="8"/>
      <c r="BA162" s="8"/>
      <c r="BB162" s="8"/>
      <c r="BC162" s="8"/>
      <c r="BD162" s="8"/>
      <c r="BE162" s="8"/>
      <c r="BF162" s="8"/>
      <c r="BG162" s="8"/>
      <c r="BH162" s="8"/>
      <c r="BI162" s="8"/>
      <c r="BJ162" s="8"/>
      <c r="BK162" s="8"/>
      <c r="BL162" s="8"/>
      <c r="BM162" s="8"/>
      <c r="BN162" s="8"/>
      <c r="BO162" s="8"/>
      <c r="BP162" s="8"/>
      <c r="BQ162" s="8"/>
      <c r="BR162" s="8"/>
      <c r="BS162" s="8"/>
      <c r="BT162" s="8"/>
      <c r="BU162" s="8"/>
      <c r="BV162" s="8"/>
      <c r="BW162" s="8"/>
      <c r="BX162" s="8"/>
      <c r="BY162" s="8"/>
      <c r="BZ162" s="8"/>
    </row>
    <row r="163" spans="1:78" ht="13" customHeight="1" x14ac:dyDescent="0.15">
      <c r="A163" s="8" t="s">
        <v>6188</v>
      </c>
      <c r="B163" s="8" t="s">
        <v>74</v>
      </c>
      <c r="C163" s="9">
        <v>2012</v>
      </c>
      <c r="D163" s="8" t="s">
        <v>3149</v>
      </c>
      <c r="E163" s="8" t="s">
        <v>3150</v>
      </c>
      <c r="F163" s="8" t="s">
        <v>3151</v>
      </c>
      <c r="G163" s="8" t="str" cm="1">
        <f t="array" ref="G163">LOWER(CleanCode(F163))</f>
        <v>integratingsocialepidemiologyintoimmigranthealthresearchacrossnationalframework</v>
      </c>
      <c r="H163" s="8"/>
      <c r="I163" s="8"/>
      <c r="J163" s="8" t="s">
        <v>3154</v>
      </c>
      <c r="K163" s="8"/>
      <c r="L163" s="8"/>
      <c r="M163" s="8" t="s">
        <v>2606</v>
      </c>
      <c r="N163" s="8" t="str">
        <f t="shared" si="2"/>
        <v>Social Science &amp; Medicine</v>
      </c>
      <c r="O163" s="8" t="s">
        <v>2615</v>
      </c>
      <c r="P163" s="8" t="s">
        <v>69</v>
      </c>
      <c r="Q163" s="8" t="s">
        <v>69</v>
      </c>
      <c r="R163" s="8"/>
      <c r="S163" s="8">
        <v>75</v>
      </c>
      <c r="T163" s="8">
        <v>12</v>
      </c>
      <c r="U163" s="8">
        <v>2060</v>
      </c>
      <c r="V163" s="8">
        <v>2068</v>
      </c>
      <c r="W163" s="8">
        <v>9</v>
      </c>
      <c r="X163" s="8"/>
      <c r="Y163" s="8">
        <v>76</v>
      </c>
      <c r="Z163" s="8">
        <v>105</v>
      </c>
      <c r="AA163" s="8">
        <v>105</v>
      </c>
      <c r="AB163" s="8">
        <v>0</v>
      </c>
      <c r="AC163" s="8">
        <v>51</v>
      </c>
      <c r="AD163" s="8" t="s">
        <v>3162</v>
      </c>
      <c r="AE163" s="8" t="s">
        <v>3160</v>
      </c>
      <c r="AF163" s="8">
        <v>22721965</v>
      </c>
      <c r="AG163" s="8" t="s">
        <v>771</v>
      </c>
      <c r="AH163" s="8" t="s">
        <v>772</v>
      </c>
      <c r="AI163" s="8" t="s">
        <v>773</v>
      </c>
      <c r="AJ163" s="8" t="s">
        <v>3153</v>
      </c>
      <c r="AK163" s="8" t="s">
        <v>3152</v>
      </c>
      <c r="AL163" s="8"/>
      <c r="AM163" s="8"/>
      <c r="AN163" s="8"/>
      <c r="AO163" s="8"/>
      <c r="AP163" s="8"/>
      <c r="AQ163" s="8"/>
      <c r="AR163" s="8"/>
      <c r="AS163" s="8"/>
      <c r="AT163" s="8"/>
      <c r="AU163" s="8"/>
      <c r="AV163" s="8"/>
      <c r="AW163" s="8"/>
      <c r="AX163" s="8"/>
      <c r="AY163" s="8"/>
      <c r="AZ163" s="8"/>
      <c r="BA163" s="8"/>
      <c r="BB163" s="8"/>
      <c r="BC163" s="8"/>
      <c r="BD163" s="8"/>
      <c r="BE163" s="8"/>
      <c r="BF163" s="8"/>
      <c r="BG163" s="8"/>
      <c r="BH163" s="8"/>
      <c r="BI163" s="8"/>
      <c r="BJ163" s="8"/>
      <c r="BK163" s="8"/>
      <c r="BL163" s="8"/>
      <c r="BM163" s="8"/>
      <c r="BN163" s="8"/>
      <c r="BO163" s="8"/>
      <c r="BP163" s="8"/>
      <c r="BQ163" s="8"/>
      <c r="BR163" s="8"/>
      <c r="BS163" s="8"/>
      <c r="BT163" s="8"/>
      <c r="BU163" s="8"/>
      <c r="BV163" s="8"/>
      <c r="BW163" s="8"/>
      <c r="BX163" s="8"/>
      <c r="BY163" s="8"/>
      <c r="BZ163" s="8"/>
    </row>
    <row r="164" spans="1:78" ht="13" customHeight="1" x14ac:dyDescent="0.15">
      <c r="A164" s="8" t="s">
        <v>6188</v>
      </c>
      <c r="B164" s="8" t="s">
        <v>318</v>
      </c>
      <c r="C164" s="9">
        <v>2012</v>
      </c>
      <c r="D164" s="8" t="s">
        <v>3163</v>
      </c>
      <c r="E164" s="8" t="s">
        <v>3164</v>
      </c>
      <c r="F164" s="8" t="s">
        <v>3165</v>
      </c>
      <c r="G164" s="8" t="str" cm="1">
        <f t="array" ref="G164">LOWER(CleanCode(F164))</f>
        <v>morethanculturestructuralracismintersectionalitytheoryandimmigranthealth</v>
      </c>
      <c r="H164" s="8"/>
      <c r="I164" s="8"/>
      <c r="J164" s="8" t="s">
        <v>3168</v>
      </c>
      <c r="K164" s="8"/>
      <c r="L164" s="8"/>
      <c r="M164" s="8" t="s">
        <v>2606</v>
      </c>
      <c r="N164" s="8" t="str">
        <f t="shared" si="2"/>
        <v>Social Science &amp; Medicine</v>
      </c>
      <c r="O164" s="8" t="s">
        <v>2615</v>
      </c>
      <c r="P164" s="8" t="s">
        <v>69</v>
      </c>
      <c r="Q164" s="8" t="s">
        <v>69</v>
      </c>
      <c r="R164" s="8"/>
      <c r="S164" s="8">
        <v>75</v>
      </c>
      <c r="T164" s="8">
        <v>12</v>
      </c>
      <c r="U164" s="8">
        <v>2099</v>
      </c>
      <c r="V164" s="8">
        <v>2106</v>
      </c>
      <c r="W164" s="8">
        <v>8</v>
      </c>
      <c r="X164" s="8"/>
      <c r="Y164" s="8">
        <v>113</v>
      </c>
      <c r="Z164" s="8">
        <v>439</v>
      </c>
      <c r="AA164" s="8">
        <v>441</v>
      </c>
      <c r="AB164" s="8">
        <v>12</v>
      </c>
      <c r="AC164" s="8">
        <v>203</v>
      </c>
      <c r="AD164" s="8" t="s">
        <v>3176</v>
      </c>
      <c r="AE164" s="8" t="s">
        <v>3175</v>
      </c>
      <c r="AF164" s="8">
        <v>22386617</v>
      </c>
      <c r="AG164" s="8" t="s">
        <v>771</v>
      </c>
      <c r="AH164" s="8" t="s">
        <v>772</v>
      </c>
      <c r="AI164" s="8" t="s">
        <v>773</v>
      </c>
      <c r="AJ164" s="8" t="s">
        <v>3167</v>
      </c>
      <c r="AK164" s="8" t="s">
        <v>3166</v>
      </c>
      <c r="AL164" s="8"/>
      <c r="AM164" s="8"/>
      <c r="AN164" s="8"/>
      <c r="AO164" s="8"/>
      <c r="AP164" s="8"/>
      <c r="AQ164" s="8"/>
      <c r="AR164" s="8"/>
      <c r="AS164" s="8"/>
      <c r="AT164" s="8"/>
      <c r="AU164" s="8"/>
      <c r="AV164" s="8"/>
      <c r="AW164" s="8"/>
      <c r="AX164" s="8"/>
      <c r="AY164" s="8"/>
      <c r="AZ164" s="8"/>
      <c r="BA164" s="8"/>
      <c r="BB164" s="8"/>
      <c r="BC164" s="8"/>
      <c r="BD164" s="8"/>
      <c r="BE164" s="8"/>
      <c r="BF164" s="8"/>
      <c r="BG164" s="8"/>
      <c r="BH164" s="8"/>
      <c r="BI164" s="8"/>
      <c r="BJ164" s="8"/>
      <c r="BK164" s="8"/>
      <c r="BL164" s="8"/>
      <c r="BM164" s="8"/>
      <c r="BN164" s="8"/>
      <c r="BO164" s="8"/>
      <c r="BP164" s="8"/>
      <c r="BQ164" s="8"/>
      <c r="BR164" s="8"/>
      <c r="BS164" s="8"/>
      <c r="BT164" s="8"/>
      <c r="BU164" s="8"/>
      <c r="BV164" s="8"/>
      <c r="BW164" s="8"/>
      <c r="BX164" s="8"/>
      <c r="BY164" s="8"/>
      <c r="BZ164" s="8"/>
    </row>
    <row r="165" spans="1:78" ht="13" customHeight="1" x14ac:dyDescent="0.15">
      <c r="A165" s="8" t="s">
        <v>6188</v>
      </c>
      <c r="B165" s="8" t="s">
        <v>74</v>
      </c>
      <c r="C165" s="9">
        <v>2012</v>
      </c>
      <c r="D165" s="8" t="s">
        <v>3179</v>
      </c>
      <c r="E165" s="8" t="s">
        <v>3180</v>
      </c>
      <c r="F165" s="8" t="s">
        <v>3181</v>
      </c>
      <c r="G165" s="8" t="str" cm="1">
        <f t="array" ref="G165">LOWER(CleanCode(F165))</f>
        <v>testofaculturalframeworkofparentingwithlatinofamiliesofyoungchildren</v>
      </c>
      <c r="H165" s="8"/>
      <c r="I165" s="8"/>
      <c r="J165" s="8" t="s">
        <v>3184</v>
      </c>
      <c r="K165" s="8"/>
      <c r="L165" s="8"/>
      <c r="M165" s="8" t="s">
        <v>2427</v>
      </c>
      <c r="N165" s="8" t="str">
        <f t="shared" si="2"/>
        <v>Cultural Diversity &amp; Ethnic Minority Psychology</v>
      </c>
      <c r="O165" s="8" t="s">
        <v>2436</v>
      </c>
      <c r="P165" s="8" t="s">
        <v>2437</v>
      </c>
      <c r="Q165" s="8" t="s">
        <v>69</v>
      </c>
      <c r="R165" s="8"/>
      <c r="S165" s="8">
        <v>18</v>
      </c>
      <c r="T165" s="8">
        <v>3</v>
      </c>
      <c r="U165" s="8">
        <v>285</v>
      </c>
      <c r="V165" s="8">
        <v>296</v>
      </c>
      <c r="W165" s="8">
        <v>12</v>
      </c>
      <c r="X165" s="8"/>
      <c r="Y165" s="8">
        <v>71</v>
      </c>
      <c r="Z165" s="8">
        <v>71</v>
      </c>
      <c r="AA165" s="8">
        <v>71</v>
      </c>
      <c r="AB165" s="8">
        <v>0</v>
      </c>
      <c r="AC165" s="8">
        <v>19</v>
      </c>
      <c r="AD165" s="8" t="s">
        <v>3193</v>
      </c>
      <c r="AE165" s="8" t="s">
        <v>3191</v>
      </c>
      <c r="AF165" s="8">
        <v>22686147</v>
      </c>
      <c r="AG165" s="8" t="s">
        <v>2434</v>
      </c>
      <c r="AH165" s="8" t="s">
        <v>1184</v>
      </c>
      <c r="AI165" s="8" t="s">
        <v>2435</v>
      </c>
      <c r="AJ165" s="8" t="s">
        <v>3183</v>
      </c>
      <c r="AK165" s="8" t="s">
        <v>3182</v>
      </c>
      <c r="AL165" s="8"/>
      <c r="AM165" s="8"/>
      <c r="AN165" s="8"/>
      <c r="AO165" s="8"/>
      <c r="AP165" s="8"/>
      <c r="AQ165" s="8"/>
      <c r="AR165" s="8"/>
      <c r="AS165" s="8"/>
      <c r="AT165" s="8"/>
      <c r="AU165" s="8"/>
      <c r="AV165" s="8"/>
      <c r="AW165" s="8"/>
      <c r="AX165" s="8"/>
      <c r="AY165" s="8"/>
      <c r="AZ165" s="8"/>
      <c r="BA165" s="8"/>
      <c r="BB165" s="8"/>
      <c r="BC165" s="8"/>
      <c r="BD165" s="8"/>
      <c r="BE165" s="8"/>
      <c r="BF165" s="8"/>
      <c r="BG165" s="8"/>
      <c r="BH165" s="8"/>
      <c r="BI165" s="8"/>
      <c r="BJ165" s="8"/>
      <c r="BK165" s="8"/>
      <c r="BL165" s="8"/>
      <c r="BM165" s="8"/>
      <c r="BN165" s="8"/>
      <c r="BO165" s="8"/>
      <c r="BP165" s="8"/>
      <c r="BQ165" s="8"/>
      <c r="BR165" s="8"/>
      <c r="BS165" s="8"/>
      <c r="BT165" s="8"/>
      <c r="BU165" s="8"/>
      <c r="BV165" s="8"/>
      <c r="BW165" s="8"/>
      <c r="BX165" s="8"/>
      <c r="BY165" s="8"/>
      <c r="BZ165" s="8"/>
    </row>
    <row r="166" spans="1:78" ht="13" customHeight="1" x14ac:dyDescent="0.15">
      <c r="A166" s="8" t="s">
        <v>6188</v>
      </c>
      <c r="B166" s="8" t="s">
        <v>74</v>
      </c>
      <c r="C166" s="9">
        <v>2012</v>
      </c>
      <c r="D166" s="8" t="s">
        <v>3194</v>
      </c>
      <c r="E166" s="8" t="s">
        <v>3195</v>
      </c>
      <c r="F166" s="8" t="s">
        <v>3196</v>
      </c>
      <c r="G166" s="8" t="str" cm="1">
        <f t="array" ref="G166">LOWER(CleanCode(F166))</f>
        <v>hostcultureadoptionorinterculturalcontactcomparingdifferentacculturationconceptualizationsandtheireffectsonhostmembersattitudestowardsimmigrants</v>
      </c>
      <c r="H166" s="8"/>
      <c r="I166" s="8"/>
      <c r="J166" s="8" t="s">
        <v>3199</v>
      </c>
      <c r="K166" s="8"/>
      <c r="L166" s="8"/>
      <c r="M166" s="8" t="s">
        <v>762</v>
      </c>
      <c r="N166" s="8" t="str">
        <f t="shared" si="2"/>
        <v>International Journal Of Intercultural Relations</v>
      </c>
      <c r="O166" s="8" t="s">
        <v>774</v>
      </c>
      <c r="P166" s="8" t="s">
        <v>775</v>
      </c>
      <c r="Q166" s="8" t="s">
        <v>69</v>
      </c>
      <c r="R166" s="8"/>
      <c r="S166" s="8">
        <v>36</v>
      </c>
      <c r="T166" s="8">
        <v>4</v>
      </c>
      <c r="U166" s="8">
        <v>459</v>
      </c>
      <c r="V166" s="8">
        <v>471</v>
      </c>
      <c r="W166" s="8">
        <v>13</v>
      </c>
      <c r="X166" s="8"/>
      <c r="Y166" s="8">
        <v>43</v>
      </c>
      <c r="Z166" s="8">
        <v>29</v>
      </c>
      <c r="AA166" s="8">
        <v>29</v>
      </c>
      <c r="AB166" s="8">
        <v>0</v>
      </c>
      <c r="AC166" s="8">
        <v>28</v>
      </c>
      <c r="AD166" s="8" t="s">
        <v>3207</v>
      </c>
      <c r="AE166" s="8" t="s">
        <v>3205</v>
      </c>
      <c r="AF166" s="8" t="s">
        <v>69</v>
      </c>
      <c r="AG166" s="8" t="s">
        <v>771</v>
      </c>
      <c r="AH166" s="8" t="s">
        <v>772</v>
      </c>
      <c r="AI166" s="8" t="s">
        <v>773</v>
      </c>
      <c r="AJ166" s="8" t="s">
        <v>3198</v>
      </c>
      <c r="AK166" s="8" t="s">
        <v>3197</v>
      </c>
      <c r="AL166" s="8"/>
      <c r="AM166" s="8"/>
      <c r="AN166" s="8"/>
      <c r="AO166" s="8"/>
      <c r="AP166" s="8"/>
      <c r="AQ166" s="8"/>
      <c r="AR166" s="8"/>
      <c r="AS166" s="8"/>
      <c r="AT166" s="8"/>
      <c r="AU166" s="8"/>
      <c r="AV166" s="8"/>
      <c r="AW166" s="8"/>
      <c r="AX166" s="8"/>
      <c r="AY166" s="8"/>
      <c r="AZ166" s="8"/>
      <c r="BA166" s="8"/>
      <c r="BB166" s="8"/>
      <c r="BC166" s="8"/>
      <c r="BD166" s="8"/>
      <c r="BE166" s="8"/>
      <c r="BF166" s="8"/>
      <c r="BG166" s="8"/>
      <c r="BH166" s="8"/>
      <c r="BI166" s="8"/>
      <c r="BJ166" s="8"/>
      <c r="BK166" s="8"/>
      <c r="BL166" s="8"/>
      <c r="BM166" s="8"/>
      <c r="BN166" s="8"/>
      <c r="BO166" s="8"/>
      <c r="BP166" s="8"/>
      <c r="BQ166" s="8"/>
      <c r="BR166" s="8"/>
      <c r="BS166" s="8"/>
      <c r="BT166" s="8"/>
      <c r="BU166" s="8"/>
      <c r="BV166" s="8"/>
      <c r="BW166" s="8"/>
      <c r="BX166" s="8"/>
      <c r="BY166" s="8"/>
      <c r="BZ166" s="8"/>
    </row>
    <row r="167" spans="1:78" ht="13" customHeight="1" x14ac:dyDescent="0.15">
      <c r="A167" s="8" t="s">
        <v>6188</v>
      </c>
      <c r="B167" s="8" t="s">
        <v>74</v>
      </c>
      <c r="C167" s="9">
        <v>2012</v>
      </c>
      <c r="D167" s="8" t="s">
        <v>3208</v>
      </c>
      <c r="E167" s="8" t="s">
        <v>3209</v>
      </c>
      <c r="F167" s="8" t="s">
        <v>3210</v>
      </c>
      <c r="G167" s="8" t="str" cm="1">
        <f t="array" ref="G167">LOWER(CleanCode(F167))</f>
        <v>backtoandbeyondberrysbasicstheconceptualizationoperationalizationandclassificationofacculturation</v>
      </c>
      <c r="H167" s="8"/>
      <c r="I167" s="8"/>
      <c r="J167" s="8" t="s">
        <v>3213</v>
      </c>
      <c r="K167" s="8"/>
      <c r="L167" s="8"/>
      <c r="M167" s="8" t="s">
        <v>762</v>
      </c>
      <c r="N167" s="8" t="str">
        <f t="shared" si="2"/>
        <v>International Journal Of Intercultural Relations</v>
      </c>
      <c r="O167" s="8" t="s">
        <v>774</v>
      </c>
      <c r="P167" s="8" t="s">
        <v>775</v>
      </c>
      <c r="Q167" s="8" t="s">
        <v>69</v>
      </c>
      <c r="R167" s="8"/>
      <c r="S167" s="8">
        <v>36</v>
      </c>
      <c r="T167" s="8">
        <v>4</v>
      </c>
      <c r="U167" s="8">
        <v>472</v>
      </c>
      <c r="V167" s="8">
        <v>485</v>
      </c>
      <c r="W167" s="8">
        <v>14</v>
      </c>
      <c r="X167" s="8"/>
      <c r="Y167" s="8">
        <v>70</v>
      </c>
      <c r="Z167" s="8">
        <v>74</v>
      </c>
      <c r="AA167" s="8">
        <v>73</v>
      </c>
      <c r="AB167" s="8">
        <v>3</v>
      </c>
      <c r="AC167" s="8">
        <v>59</v>
      </c>
      <c r="AD167" s="8" t="s">
        <v>3219</v>
      </c>
      <c r="AE167" s="8" t="s">
        <v>3218</v>
      </c>
      <c r="AF167" s="8" t="s">
        <v>69</v>
      </c>
      <c r="AG167" s="8" t="s">
        <v>771</v>
      </c>
      <c r="AH167" s="8" t="s">
        <v>772</v>
      </c>
      <c r="AI167" s="8" t="s">
        <v>773</v>
      </c>
      <c r="AJ167" s="8" t="s">
        <v>3212</v>
      </c>
      <c r="AK167" s="8" t="s">
        <v>3211</v>
      </c>
      <c r="AL167" s="8"/>
      <c r="AM167" s="8"/>
      <c r="AN167" s="8"/>
      <c r="AO167" s="8"/>
      <c r="AP167" s="8"/>
      <c r="AQ167" s="8"/>
      <c r="AR167" s="8"/>
      <c r="AS167" s="8"/>
      <c r="AT167" s="8"/>
      <c r="AU167" s="8"/>
      <c r="AV167" s="8"/>
      <c r="AW167" s="8"/>
      <c r="AX167" s="8"/>
      <c r="AY167" s="8"/>
      <c r="AZ167" s="8"/>
      <c r="BA167" s="8"/>
      <c r="BB167" s="8"/>
      <c r="BC167" s="8"/>
      <c r="BD167" s="8"/>
      <c r="BE167" s="8"/>
      <c r="BF167" s="8"/>
      <c r="BG167" s="8"/>
      <c r="BH167" s="8"/>
      <c r="BI167" s="8"/>
      <c r="BJ167" s="8"/>
      <c r="BK167" s="8"/>
      <c r="BL167" s="8"/>
      <c r="BM167" s="8"/>
      <c r="BN167" s="8"/>
      <c r="BO167" s="8"/>
      <c r="BP167" s="8"/>
      <c r="BQ167" s="8"/>
      <c r="BR167" s="8"/>
      <c r="BS167" s="8"/>
      <c r="BT167" s="8"/>
      <c r="BU167" s="8"/>
      <c r="BV167" s="8"/>
      <c r="BW167" s="8"/>
      <c r="BX167" s="8"/>
      <c r="BY167" s="8"/>
      <c r="BZ167" s="8"/>
    </row>
    <row r="168" spans="1:78" ht="13" customHeight="1" x14ac:dyDescent="0.15">
      <c r="A168" s="8" t="s">
        <v>6188</v>
      </c>
      <c r="B168" s="8" t="s">
        <v>74</v>
      </c>
      <c r="C168" s="9">
        <v>2012</v>
      </c>
      <c r="D168" s="8" t="s">
        <v>3220</v>
      </c>
      <c r="E168" s="8" t="s">
        <v>3221</v>
      </c>
      <c r="F168" s="8" t="s">
        <v>3222</v>
      </c>
      <c r="G168" s="8" t="str" cm="1">
        <f t="array" ref="G168">LOWER(CleanCode(F168))</f>
        <v>applicationofthehealthliteracyframeworktodietrelatedcancerpreventionconversationsofolderimmigrantwomentocanada</v>
      </c>
      <c r="H168" s="8"/>
      <c r="I168" s="8"/>
      <c r="J168" s="8" t="s">
        <v>3226</v>
      </c>
      <c r="K168" s="8"/>
      <c r="L168" s="8"/>
      <c r="M168" s="8" t="s">
        <v>3223</v>
      </c>
      <c r="N168" s="8" t="str">
        <f t="shared" si="2"/>
        <v>Health Promotion International</v>
      </c>
      <c r="O168" s="8" t="s">
        <v>3231</v>
      </c>
      <c r="P168" s="8" t="s">
        <v>3232</v>
      </c>
      <c r="Q168" s="8" t="s">
        <v>69</v>
      </c>
      <c r="R168" s="8"/>
      <c r="S168" s="8">
        <v>27</v>
      </c>
      <c r="T168" s="8">
        <v>1</v>
      </c>
      <c r="U168" s="8">
        <v>33</v>
      </c>
      <c r="V168" s="8">
        <v>44</v>
      </c>
      <c r="W168" s="8">
        <v>12</v>
      </c>
      <c r="X168" s="8"/>
      <c r="Y168" s="8">
        <v>54</v>
      </c>
      <c r="Z168" s="8">
        <v>4</v>
      </c>
      <c r="AA168" s="8">
        <v>4</v>
      </c>
      <c r="AB168" s="8">
        <v>0</v>
      </c>
      <c r="AC168" s="8">
        <v>25</v>
      </c>
      <c r="AD168" s="8" t="s">
        <v>3239</v>
      </c>
      <c r="AE168" s="8" t="s">
        <v>3235</v>
      </c>
      <c r="AF168" s="8">
        <v>21421578</v>
      </c>
      <c r="AG168" s="8" t="s">
        <v>2032</v>
      </c>
      <c r="AH168" s="8" t="s">
        <v>772</v>
      </c>
      <c r="AI168" s="8" t="s">
        <v>2033</v>
      </c>
      <c r="AJ168" s="8" t="s">
        <v>3225</v>
      </c>
      <c r="AK168" s="8" t="s">
        <v>3224</v>
      </c>
      <c r="AL168" s="8"/>
      <c r="AM168" s="8"/>
      <c r="AN168" s="8"/>
      <c r="AO168" s="8"/>
      <c r="AP168" s="8"/>
      <c r="AQ168" s="8"/>
      <c r="AR168" s="8"/>
      <c r="AS168" s="8"/>
      <c r="AT168" s="8"/>
      <c r="AU168" s="8"/>
      <c r="AV168" s="8"/>
      <c r="AW168" s="8"/>
      <c r="AX168" s="8"/>
      <c r="AY168" s="8"/>
      <c r="AZ168" s="8"/>
      <c r="BA168" s="8"/>
      <c r="BB168" s="8"/>
      <c r="BC168" s="8"/>
      <c r="BD168" s="8"/>
      <c r="BE168" s="8"/>
      <c r="BF168" s="8"/>
      <c r="BG168" s="8"/>
      <c r="BH168" s="8"/>
      <c r="BI168" s="8"/>
      <c r="BJ168" s="8"/>
      <c r="BK168" s="8"/>
      <c r="BL168" s="8"/>
      <c r="BM168" s="8"/>
      <c r="BN168" s="8"/>
      <c r="BO168" s="8"/>
      <c r="BP168" s="8"/>
      <c r="BQ168" s="8"/>
      <c r="BR168" s="8"/>
      <c r="BS168" s="8"/>
      <c r="BT168" s="8"/>
      <c r="BU168" s="8"/>
      <c r="BV168" s="8"/>
      <c r="BW168" s="8"/>
      <c r="BX168" s="8"/>
      <c r="BY168" s="8"/>
      <c r="BZ168" s="8"/>
    </row>
    <row r="169" spans="1:78" ht="13" customHeight="1" x14ac:dyDescent="0.15">
      <c r="A169" s="8" t="s">
        <v>6188</v>
      </c>
      <c r="B169" s="8" t="s">
        <v>74</v>
      </c>
      <c r="C169" s="9">
        <v>2012</v>
      </c>
      <c r="D169" s="8" t="s">
        <v>3240</v>
      </c>
      <c r="E169" s="8" t="s">
        <v>3241</v>
      </c>
      <c r="F169" s="8" t="s">
        <v>3242</v>
      </c>
      <c r="G169" s="8" t="str" cm="1">
        <f t="array" ref="G169">LOWER(CleanCode(F169))</f>
        <v>mexicanimmigrantsurvivorsofintimatepartnerviolenceconceptualizationanddescriptionsofabuse</v>
      </c>
      <c r="H169" s="8"/>
      <c r="I169" s="8"/>
      <c r="J169" s="8" t="s">
        <v>3246</v>
      </c>
      <c r="K169" s="8"/>
      <c r="L169" s="8"/>
      <c r="M169" s="8" t="s">
        <v>3243</v>
      </c>
      <c r="N169" s="8" t="str">
        <f t="shared" si="2"/>
        <v>Violence And Victims</v>
      </c>
      <c r="O169" s="8" t="s">
        <v>3250</v>
      </c>
      <c r="P169" s="8" t="s">
        <v>3251</v>
      </c>
      <c r="Q169" s="8" t="s">
        <v>69</v>
      </c>
      <c r="R169" s="8"/>
      <c r="S169" s="8">
        <v>27</v>
      </c>
      <c r="T169" s="8">
        <v>4</v>
      </c>
      <c r="U169" s="8">
        <v>548</v>
      </c>
      <c r="V169" s="8">
        <v>562</v>
      </c>
      <c r="W169" s="8">
        <v>15</v>
      </c>
      <c r="X169" s="8"/>
      <c r="Y169" s="8">
        <v>29</v>
      </c>
      <c r="Z169" s="8">
        <v>13</v>
      </c>
      <c r="AA169" s="8">
        <v>14</v>
      </c>
      <c r="AB169" s="8">
        <v>0</v>
      </c>
      <c r="AC169" s="8">
        <v>16</v>
      </c>
      <c r="AD169" s="8" t="s">
        <v>3257</v>
      </c>
      <c r="AE169" s="8" t="s">
        <v>3254</v>
      </c>
      <c r="AF169" s="8">
        <v>22978074</v>
      </c>
      <c r="AG169" s="8" t="s">
        <v>2839</v>
      </c>
      <c r="AH169" s="8" t="s">
        <v>573</v>
      </c>
      <c r="AI169" s="8" t="s">
        <v>2840</v>
      </c>
      <c r="AJ169" s="8" t="s">
        <v>3245</v>
      </c>
      <c r="AK169" s="8" t="s">
        <v>3244</v>
      </c>
      <c r="AL169" s="8"/>
      <c r="AM169" s="8"/>
      <c r="AN169" s="8"/>
      <c r="AO169" s="8"/>
      <c r="AP169" s="8"/>
      <c r="AQ169" s="8"/>
      <c r="AR169" s="8"/>
      <c r="AS169" s="8"/>
      <c r="AT169" s="8"/>
      <c r="AU169" s="8"/>
      <c r="AV169" s="8"/>
      <c r="AW169" s="8"/>
      <c r="AX169" s="8"/>
      <c r="AY169" s="8"/>
      <c r="AZ169" s="8"/>
      <c r="BA169" s="8"/>
      <c r="BB169" s="8"/>
      <c r="BC169" s="8"/>
      <c r="BD169" s="8"/>
      <c r="BE169" s="8"/>
      <c r="BF169" s="8"/>
      <c r="BG169" s="8"/>
      <c r="BH169" s="8"/>
      <c r="BI169" s="8"/>
      <c r="BJ169" s="8"/>
      <c r="BK169" s="8"/>
      <c r="BL169" s="8"/>
      <c r="BM169" s="8"/>
      <c r="BN169" s="8"/>
      <c r="BO169" s="8"/>
      <c r="BP169" s="8"/>
      <c r="BQ169" s="8"/>
      <c r="BR169" s="8"/>
      <c r="BS169" s="8"/>
      <c r="BT169" s="8"/>
      <c r="BU169" s="8"/>
      <c r="BV169" s="8"/>
      <c r="BW169" s="8"/>
      <c r="BX169" s="8"/>
      <c r="BY169" s="8"/>
      <c r="BZ169" s="8"/>
    </row>
    <row r="170" spans="1:78" ht="13" customHeight="1" x14ac:dyDescent="0.15">
      <c r="A170" s="8" t="s">
        <v>6188</v>
      </c>
      <c r="B170" s="8" t="s">
        <v>74</v>
      </c>
      <c r="C170" s="9">
        <v>2012</v>
      </c>
      <c r="D170" s="8" t="s">
        <v>3258</v>
      </c>
      <c r="E170" s="8" t="s">
        <v>3259</v>
      </c>
      <c r="F170" s="8" t="s">
        <v>3260</v>
      </c>
      <c r="G170" s="8" t="str" cm="1">
        <f t="array" ref="G170">LOWER(CleanCode(F170))</f>
        <v>factorsaffectingimmigrantsacculturationintentionsatheoreticalmodelanditsassessmentamongadolescentimmigrantsfromrussiaandukraineinisrael</v>
      </c>
      <c r="H170" s="8"/>
      <c r="I170" s="8"/>
      <c r="J170" s="8" t="s">
        <v>3263</v>
      </c>
      <c r="K170" s="8"/>
      <c r="L170" s="8"/>
      <c r="M170" s="8" t="s">
        <v>762</v>
      </c>
      <c r="N170" s="8" t="str">
        <f t="shared" si="2"/>
        <v>International Journal Of Intercultural Relations</v>
      </c>
      <c r="O170" s="8" t="s">
        <v>774</v>
      </c>
      <c r="P170" s="8" t="s">
        <v>775</v>
      </c>
      <c r="Q170" s="8" t="s">
        <v>69</v>
      </c>
      <c r="R170" s="8"/>
      <c r="S170" s="8">
        <v>36</v>
      </c>
      <c r="T170" s="8">
        <v>1</v>
      </c>
      <c r="U170" s="8">
        <v>83</v>
      </c>
      <c r="V170" s="8">
        <v>99</v>
      </c>
      <c r="W170" s="8">
        <v>17</v>
      </c>
      <c r="X170" s="8"/>
      <c r="Y170" s="8">
        <v>78</v>
      </c>
      <c r="Z170" s="8">
        <v>30</v>
      </c>
      <c r="AA170" s="8">
        <v>30</v>
      </c>
      <c r="AB170" s="8">
        <v>0</v>
      </c>
      <c r="AC170" s="8">
        <v>20</v>
      </c>
      <c r="AD170" s="8" t="s">
        <v>3269</v>
      </c>
      <c r="AE170" s="8" t="s">
        <v>3267</v>
      </c>
      <c r="AF170" s="8" t="s">
        <v>69</v>
      </c>
      <c r="AG170" s="8" t="s">
        <v>771</v>
      </c>
      <c r="AH170" s="8" t="s">
        <v>772</v>
      </c>
      <c r="AI170" s="8" t="s">
        <v>773</v>
      </c>
      <c r="AJ170" s="8" t="s">
        <v>3262</v>
      </c>
      <c r="AK170" s="8" t="s">
        <v>3261</v>
      </c>
      <c r="AL170" s="8"/>
      <c r="AM170" s="8"/>
      <c r="AN170" s="8"/>
      <c r="AO170" s="8"/>
      <c r="AP170" s="8"/>
      <c r="AQ170" s="8"/>
      <c r="AR170" s="8"/>
      <c r="AS170" s="8"/>
      <c r="AT170" s="8"/>
      <c r="AU170" s="8"/>
      <c r="AV170" s="8"/>
      <c r="AW170" s="8"/>
      <c r="AX170" s="8"/>
      <c r="AY170" s="8"/>
      <c r="AZ170" s="8"/>
      <c r="BA170" s="8"/>
      <c r="BB170" s="8"/>
      <c r="BC170" s="8"/>
      <c r="BD170" s="8"/>
      <c r="BE170" s="8"/>
      <c r="BF170" s="8"/>
      <c r="BG170" s="8"/>
      <c r="BH170" s="8"/>
      <c r="BI170" s="8"/>
      <c r="BJ170" s="8"/>
      <c r="BK170" s="8"/>
      <c r="BL170" s="8"/>
      <c r="BM170" s="8"/>
      <c r="BN170" s="8"/>
      <c r="BO170" s="8"/>
      <c r="BP170" s="8"/>
      <c r="BQ170" s="8"/>
      <c r="BR170" s="8"/>
      <c r="BS170" s="8"/>
      <c r="BT170" s="8"/>
      <c r="BU170" s="8"/>
      <c r="BV170" s="8"/>
      <c r="BW170" s="8"/>
      <c r="BX170" s="8"/>
      <c r="BY170" s="8"/>
      <c r="BZ170" s="8"/>
    </row>
    <row r="171" spans="1:78" ht="13" customHeight="1" x14ac:dyDescent="0.15">
      <c r="A171" s="8" t="s">
        <v>6188</v>
      </c>
      <c r="B171" s="8" t="s">
        <v>74</v>
      </c>
      <c r="C171" s="9">
        <v>2012</v>
      </c>
      <c r="D171" s="8" t="s">
        <v>3270</v>
      </c>
      <c r="E171" s="8" t="s">
        <v>3271</v>
      </c>
      <c r="F171" s="8" t="s">
        <v>3272</v>
      </c>
      <c r="G171" s="8" t="str" cm="1">
        <f t="array" ref="G171">LOWER(CleanCode(F171))</f>
        <v>multiscalemeteorologicalconceptualanalysisofobservedactivefirehotspotactivityandsmokeopticaldepthinthemaritimecontinent</v>
      </c>
      <c r="H171" s="8"/>
      <c r="I171" s="8"/>
      <c r="J171" s="8" t="s">
        <v>3275</v>
      </c>
      <c r="K171" s="8"/>
      <c r="L171" s="8"/>
      <c r="M171" s="8" t="s">
        <v>3273</v>
      </c>
      <c r="N171" s="8" t="str">
        <f t="shared" si="2"/>
        <v>Atmospheric Chemistry And Physics</v>
      </c>
      <c r="O171" s="8" t="s">
        <v>3286</v>
      </c>
      <c r="P171" s="8" t="s">
        <v>3287</v>
      </c>
      <c r="Q171" s="8" t="s">
        <v>69</v>
      </c>
      <c r="R171" s="8"/>
      <c r="S171" s="8">
        <v>12</v>
      </c>
      <c r="T171" s="8">
        <v>4</v>
      </c>
      <c r="U171" s="8">
        <v>2117</v>
      </c>
      <c r="V171" s="8">
        <v>2147</v>
      </c>
      <c r="W171" s="8">
        <v>31</v>
      </c>
      <c r="X171" s="8"/>
      <c r="Y171" s="8">
        <v>140</v>
      </c>
      <c r="Z171" s="8">
        <v>85</v>
      </c>
      <c r="AA171" s="8">
        <v>85</v>
      </c>
      <c r="AB171" s="8">
        <v>0</v>
      </c>
      <c r="AC171" s="8">
        <v>30</v>
      </c>
      <c r="AD171" s="8" t="s">
        <v>3294</v>
      </c>
      <c r="AE171" s="8" t="s">
        <v>3290</v>
      </c>
      <c r="AF171" s="8" t="s">
        <v>69</v>
      </c>
      <c r="AG171" s="8" t="s">
        <v>3283</v>
      </c>
      <c r="AH171" s="8" t="s">
        <v>3284</v>
      </c>
      <c r="AI171" s="8" t="s">
        <v>3285</v>
      </c>
      <c r="AJ171" s="8" t="s">
        <v>3274</v>
      </c>
      <c r="AK171" s="8" t="s">
        <v>69</v>
      </c>
      <c r="AL171" s="8"/>
      <c r="AM171" s="8"/>
      <c r="AN171" s="8"/>
      <c r="AO171" s="8"/>
      <c r="AP171" s="8"/>
      <c r="AQ171" s="8"/>
      <c r="AR171" s="8"/>
      <c r="AS171" s="8"/>
      <c r="AT171" s="8"/>
      <c r="AU171" s="8"/>
      <c r="AV171" s="8"/>
      <c r="AW171" s="8"/>
      <c r="AX171" s="8"/>
      <c r="AY171" s="8"/>
      <c r="AZ171" s="8"/>
      <c r="BA171" s="8"/>
      <c r="BB171" s="8"/>
      <c r="BC171" s="8"/>
      <c r="BD171" s="8"/>
      <c r="BE171" s="8"/>
      <c r="BF171" s="8"/>
      <c r="BG171" s="8"/>
      <c r="BH171" s="8"/>
      <c r="BI171" s="8"/>
      <c r="BJ171" s="8"/>
      <c r="BK171" s="8"/>
      <c r="BL171" s="8"/>
      <c r="BM171" s="8"/>
      <c r="BN171" s="8"/>
      <c r="BO171" s="8"/>
      <c r="BP171" s="8"/>
      <c r="BQ171" s="8"/>
      <c r="BR171" s="8"/>
      <c r="BS171" s="8"/>
      <c r="BT171" s="8"/>
      <c r="BU171" s="8"/>
      <c r="BV171" s="8"/>
      <c r="BW171" s="8"/>
      <c r="BX171" s="8"/>
      <c r="BY171" s="8"/>
      <c r="BZ171" s="8"/>
    </row>
    <row r="172" spans="1:78" ht="13" customHeight="1" x14ac:dyDescent="0.15">
      <c r="A172" s="8" t="s">
        <v>6188</v>
      </c>
      <c r="B172" s="8" t="s">
        <v>74</v>
      </c>
      <c r="C172" s="9">
        <v>2012</v>
      </c>
      <c r="D172" s="8" t="s">
        <v>3295</v>
      </c>
      <c r="E172" s="8" t="s">
        <v>3296</v>
      </c>
      <c r="F172" s="8" t="s">
        <v>3297</v>
      </c>
      <c r="G172" s="8" t="str" cm="1">
        <f t="array" ref="G172">LOWER(CleanCode(F172))</f>
        <v>laytheoriestowardcancerandmyocardialinfarctionatransculturalcomparisonofgermansandspaniards</v>
      </c>
      <c r="H172" s="8"/>
      <c r="I172" s="8"/>
      <c r="J172" s="8" t="s">
        <v>3301</v>
      </c>
      <c r="K172" s="8"/>
      <c r="L172" s="8"/>
      <c r="M172" s="8" t="s">
        <v>3298</v>
      </c>
      <c r="N172" s="8" t="str">
        <f t="shared" si="2"/>
        <v>Journal Of Health Psychology</v>
      </c>
      <c r="O172" s="8" t="s">
        <v>3307</v>
      </c>
      <c r="P172" s="8" t="s">
        <v>69</v>
      </c>
      <c r="Q172" s="8" t="s">
        <v>69</v>
      </c>
      <c r="R172" s="8"/>
      <c r="S172" s="8">
        <v>17</v>
      </c>
      <c r="T172" s="8">
        <v>1</v>
      </c>
      <c r="U172" s="8">
        <v>77</v>
      </c>
      <c r="V172" s="8">
        <v>86</v>
      </c>
      <c r="W172" s="8">
        <v>10</v>
      </c>
      <c r="X172" s="8"/>
      <c r="Y172" s="8">
        <v>33</v>
      </c>
      <c r="Z172" s="8">
        <v>6</v>
      </c>
      <c r="AA172" s="8">
        <v>6</v>
      </c>
      <c r="AB172" s="8">
        <v>0</v>
      </c>
      <c r="AC172" s="8">
        <v>4</v>
      </c>
      <c r="AD172" s="8" t="s">
        <v>3312</v>
      </c>
      <c r="AE172" s="8" t="s">
        <v>3310</v>
      </c>
      <c r="AF172" s="8">
        <v>21752861</v>
      </c>
      <c r="AG172" s="8" t="s">
        <v>155</v>
      </c>
      <c r="AH172" s="8" t="s">
        <v>156</v>
      </c>
      <c r="AI172" s="8" t="s">
        <v>157</v>
      </c>
      <c r="AJ172" s="8" t="s">
        <v>3300</v>
      </c>
      <c r="AK172" s="8" t="s">
        <v>3299</v>
      </c>
      <c r="AL172" s="8"/>
      <c r="AM172" s="8"/>
      <c r="AN172" s="8"/>
      <c r="AO172" s="8"/>
      <c r="AP172" s="8"/>
      <c r="AQ172" s="8"/>
      <c r="AR172" s="8"/>
      <c r="AS172" s="8"/>
      <c r="AT172" s="8"/>
      <c r="AU172" s="8"/>
      <c r="AV172" s="8"/>
      <c r="AW172" s="8"/>
      <c r="AX172" s="8"/>
      <c r="AY172" s="8"/>
      <c r="AZ172" s="8"/>
      <c r="BA172" s="8"/>
      <c r="BB172" s="8"/>
      <c r="BC172" s="8"/>
      <c r="BD172" s="8"/>
      <c r="BE172" s="8"/>
      <c r="BF172" s="8"/>
      <c r="BG172" s="8"/>
      <c r="BH172" s="8"/>
      <c r="BI172" s="8"/>
      <c r="BJ172" s="8"/>
      <c r="BK172" s="8"/>
      <c r="BL172" s="8"/>
      <c r="BM172" s="8"/>
      <c r="BN172" s="8"/>
      <c r="BO172" s="8"/>
      <c r="BP172" s="8"/>
      <c r="BQ172" s="8"/>
      <c r="BR172" s="8"/>
      <c r="BS172" s="8"/>
      <c r="BT172" s="8"/>
      <c r="BU172" s="8"/>
      <c r="BV172" s="8"/>
      <c r="BW172" s="8"/>
      <c r="BX172" s="8"/>
      <c r="BY172" s="8"/>
      <c r="BZ172" s="8"/>
    </row>
    <row r="173" spans="1:78" ht="13" customHeight="1" x14ac:dyDescent="0.15">
      <c r="A173" s="8" t="s">
        <v>6188</v>
      </c>
      <c r="B173" s="8" t="s">
        <v>74</v>
      </c>
      <c r="C173" s="9">
        <v>2012</v>
      </c>
      <c r="D173" s="8" t="s">
        <v>3313</v>
      </c>
      <c r="E173" s="8" t="s">
        <v>3314</v>
      </c>
      <c r="F173" s="8" t="s">
        <v>3315</v>
      </c>
      <c r="G173" s="8" t="str" cm="1">
        <f t="array" ref="G173">LOWER(CleanCode(F173))</f>
        <v>whateverhappenedtosimultaneitytransnationalmigrationtheoryanddualengagementinsendingandreceivingcountries</v>
      </c>
      <c r="H173" s="8"/>
      <c r="I173" s="8"/>
      <c r="J173" s="8" t="s">
        <v>3318</v>
      </c>
      <c r="K173" s="8"/>
      <c r="L173" s="8"/>
      <c r="M173" s="8" t="s">
        <v>1726</v>
      </c>
      <c r="N173" s="8" t="str">
        <f t="shared" si="2"/>
        <v>Journal Of Ethnic And Migration Studies</v>
      </c>
      <c r="O173" s="8" t="s">
        <v>1734</v>
      </c>
      <c r="P173" s="8" t="s">
        <v>1735</v>
      </c>
      <c r="Q173" s="8" t="s">
        <v>69</v>
      </c>
      <c r="R173" s="8"/>
      <c r="S173" s="8">
        <v>38</v>
      </c>
      <c r="T173" s="8">
        <v>4</v>
      </c>
      <c r="U173" s="8">
        <v>631</v>
      </c>
      <c r="V173" s="8">
        <v>649</v>
      </c>
      <c r="W173" s="8">
        <v>19</v>
      </c>
      <c r="X173" s="8"/>
      <c r="Y173" s="8">
        <v>66</v>
      </c>
      <c r="Z173" s="8">
        <v>41</v>
      </c>
      <c r="AA173" s="8">
        <v>41</v>
      </c>
      <c r="AB173" s="8">
        <v>0</v>
      </c>
      <c r="AC173" s="8">
        <v>25</v>
      </c>
      <c r="AD173" s="8" t="s">
        <v>3325</v>
      </c>
      <c r="AE173" s="8" t="s">
        <v>3323</v>
      </c>
      <c r="AF173" s="8" t="s">
        <v>69</v>
      </c>
      <c r="AG173" s="8" t="s">
        <v>108</v>
      </c>
      <c r="AH173" s="8" t="s">
        <v>109</v>
      </c>
      <c r="AI173" s="8" t="s">
        <v>110</v>
      </c>
      <c r="AJ173" s="8" t="s">
        <v>3317</v>
      </c>
      <c r="AK173" s="8" t="s">
        <v>3316</v>
      </c>
      <c r="AL173" s="8"/>
      <c r="AM173" s="8"/>
      <c r="AN173" s="8"/>
      <c r="AO173" s="8"/>
      <c r="AP173" s="8"/>
      <c r="AQ173" s="8"/>
      <c r="AR173" s="8"/>
      <c r="AS173" s="8"/>
      <c r="AT173" s="8"/>
      <c r="AU173" s="8"/>
      <c r="AV173" s="8"/>
      <c r="AW173" s="8"/>
      <c r="AX173" s="8"/>
      <c r="AY173" s="8"/>
      <c r="AZ173" s="8"/>
      <c r="BA173" s="8"/>
      <c r="BB173" s="8"/>
      <c r="BC173" s="8"/>
      <c r="BD173" s="8"/>
      <c r="BE173" s="8"/>
      <c r="BF173" s="8"/>
      <c r="BG173" s="8"/>
      <c r="BH173" s="8"/>
      <c r="BI173" s="8"/>
      <c r="BJ173" s="8"/>
      <c r="BK173" s="8"/>
      <c r="BL173" s="8"/>
      <c r="BM173" s="8"/>
      <c r="BN173" s="8"/>
      <c r="BO173" s="8"/>
      <c r="BP173" s="8"/>
      <c r="BQ173" s="8"/>
      <c r="BR173" s="8"/>
      <c r="BS173" s="8"/>
      <c r="BT173" s="8"/>
      <c r="BU173" s="8"/>
      <c r="BV173" s="8"/>
      <c r="BW173" s="8"/>
      <c r="BX173" s="8"/>
      <c r="BY173" s="8"/>
      <c r="BZ173" s="8"/>
    </row>
    <row r="174" spans="1:78" ht="13" customHeight="1" x14ac:dyDescent="0.15">
      <c r="A174" s="8" t="s">
        <v>6188</v>
      </c>
      <c r="B174" s="8" t="s">
        <v>74</v>
      </c>
      <c r="C174" s="9">
        <v>2012</v>
      </c>
      <c r="D174" s="8" t="s">
        <v>3326</v>
      </c>
      <c r="E174" s="8" t="s">
        <v>3327</v>
      </c>
      <c r="F174" s="8" t="s">
        <v>3328</v>
      </c>
      <c r="G174" s="8" t="str" cm="1">
        <f t="array" ref="G174">LOWER(CleanCode(F174))</f>
        <v>breastisnotalwaysbestsouthasianwomensexperiencesofinfantfeedingintheukwithinanacculturationframework</v>
      </c>
      <c r="H174" s="8"/>
      <c r="I174" s="8"/>
      <c r="J174" s="8" t="s">
        <v>3332</v>
      </c>
      <c r="K174" s="8"/>
      <c r="L174" s="8"/>
      <c r="M174" s="8" t="s">
        <v>3329</v>
      </c>
      <c r="N174" s="8" t="str">
        <f t="shared" si="2"/>
        <v>Maternal And Child Nutrition</v>
      </c>
      <c r="O174" s="8" t="s">
        <v>3336</v>
      </c>
      <c r="P174" s="8" t="s">
        <v>3337</v>
      </c>
      <c r="Q174" s="8" t="s">
        <v>69</v>
      </c>
      <c r="R174" s="8"/>
      <c r="S174" s="8">
        <v>8</v>
      </c>
      <c r="T174" s="8">
        <v>1</v>
      </c>
      <c r="U174" s="8">
        <v>72</v>
      </c>
      <c r="V174" s="8">
        <v>87</v>
      </c>
      <c r="W174" s="8">
        <v>16</v>
      </c>
      <c r="X174" s="8"/>
      <c r="Y174" s="8">
        <v>50</v>
      </c>
      <c r="Z174" s="8">
        <v>27</v>
      </c>
      <c r="AA174" s="8">
        <v>27</v>
      </c>
      <c r="AB174" s="8">
        <v>0</v>
      </c>
      <c r="AC174" s="8">
        <v>16</v>
      </c>
      <c r="AD174" s="8" t="s">
        <v>3343</v>
      </c>
      <c r="AE174" s="8" t="s">
        <v>3340</v>
      </c>
      <c r="AF174" s="8">
        <v>22136221</v>
      </c>
      <c r="AG174" s="8" t="s">
        <v>223</v>
      </c>
      <c r="AH174" s="8" t="s">
        <v>224</v>
      </c>
      <c r="AI174" s="8" t="s">
        <v>225</v>
      </c>
      <c r="AJ174" s="8" t="s">
        <v>3331</v>
      </c>
      <c r="AK174" s="8" t="s">
        <v>3330</v>
      </c>
      <c r="AL174" s="8"/>
      <c r="AM174" s="8"/>
      <c r="AN174" s="8"/>
      <c r="AO174" s="8"/>
      <c r="AP174" s="8"/>
      <c r="AQ174" s="8"/>
      <c r="AR174" s="8"/>
      <c r="AS174" s="8"/>
      <c r="AT174" s="8"/>
      <c r="AU174" s="8"/>
      <c r="AV174" s="8"/>
      <c r="AW174" s="8"/>
      <c r="AX174" s="8"/>
      <c r="AY174" s="8"/>
      <c r="AZ174" s="8"/>
      <c r="BA174" s="8"/>
      <c r="BB174" s="8"/>
      <c r="BC174" s="8"/>
      <c r="BD174" s="8"/>
      <c r="BE174" s="8"/>
      <c r="BF174" s="8"/>
      <c r="BG174" s="8"/>
      <c r="BH174" s="8"/>
      <c r="BI174" s="8"/>
      <c r="BJ174" s="8"/>
      <c r="BK174" s="8"/>
      <c r="BL174" s="8"/>
      <c r="BM174" s="8"/>
      <c r="BN174" s="8"/>
      <c r="BO174" s="8"/>
      <c r="BP174" s="8"/>
      <c r="BQ174" s="8"/>
      <c r="BR174" s="8"/>
      <c r="BS174" s="8"/>
      <c r="BT174" s="8"/>
      <c r="BU174" s="8"/>
      <c r="BV174" s="8"/>
      <c r="BW174" s="8"/>
      <c r="BX174" s="8"/>
      <c r="BY174" s="8"/>
      <c r="BZ174" s="8"/>
    </row>
    <row r="175" spans="1:78" ht="13" customHeight="1" x14ac:dyDescent="0.15">
      <c r="A175" s="8" t="s">
        <v>6188</v>
      </c>
      <c r="B175" s="8" t="s">
        <v>318</v>
      </c>
      <c r="C175" s="9">
        <v>2011</v>
      </c>
      <c r="D175" s="8" t="s">
        <v>3344</v>
      </c>
      <c r="E175" s="8" t="s">
        <v>3345</v>
      </c>
      <c r="F175" s="8" t="s">
        <v>3346</v>
      </c>
      <c r="G175" s="8" t="str" cm="1">
        <f t="array" ref="G175">LOWER(CleanCode(F175))</f>
        <v>religionandethnicitytheoreticalconnections</v>
      </c>
      <c r="H175" s="8"/>
      <c r="I175" s="8"/>
      <c r="J175" s="8" t="s">
        <v>3350</v>
      </c>
      <c r="K175" s="8"/>
      <c r="L175" s="8"/>
      <c r="M175" s="8" t="s">
        <v>3347</v>
      </c>
      <c r="N175" s="8" t="str">
        <f t="shared" si="2"/>
        <v>Religions</v>
      </c>
      <c r="O175" s="8" t="s">
        <v>69</v>
      </c>
      <c r="P175" s="8" t="s">
        <v>3354</v>
      </c>
      <c r="Q175" s="8" t="s">
        <v>69</v>
      </c>
      <c r="R175" s="8"/>
      <c r="S175" s="8">
        <v>2</v>
      </c>
      <c r="T175" s="8">
        <v>3</v>
      </c>
      <c r="U175" s="8">
        <v>312</v>
      </c>
      <c r="V175" s="8">
        <v>329</v>
      </c>
      <c r="W175" s="8">
        <v>18</v>
      </c>
      <c r="X175" s="8"/>
      <c r="Y175" s="8">
        <v>104</v>
      </c>
      <c r="Z175" s="8">
        <v>12</v>
      </c>
      <c r="AA175" s="8">
        <v>12</v>
      </c>
      <c r="AB175" s="8">
        <v>0</v>
      </c>
      <c r="AC175" s="8">
        <v>1</v>
      </c>
      <c r="AD175" s="8" t="s">
        <v>3358</v>
      </c>
      <c r="AE175" s="8" t="s">
        <v>3356</v>
      </c>
      <c r="AF175" s="8" t="s">
        <v>69</v>
      </c>
      <c r="AG175" s="8" t="s">
        <v>82</v>
      </c>
      <c r="AH175" s="8" t="s">
        <v>83</v>
      </c>
      <c r="AI175" s="8" t="s">
        <v>84</v>
      </c>
      <c r="AJ175" s="8" t="s">
        <v>3349</v>
      </c>
      <c r="AK175" s="8" t="s">
        <v>3348</v>
      </c>
      <c r="AL175" s="8"/>
      <c r="AM175" s="8"/>
      <c r="AN175" s="8"/>
      <c r="AO175" s="8"/>
      <c r="AP175" s="8"/>
      <c r="AQ175" s="8"/>
      <c r="AR175" s="8"/>
      <c r="AS175" s="8"/>
      <c r="AT175" s="8"/>
      <c r="AU175" s="8"/>
      <c r="AV175" s="8"/>
      <c r="AW175" s="8"/>
      <c r="AX175" s="8"/>
      <c r="AY175" s="8"/>
      <c r="AZ175" s="8"/>
      <c r="BA175" s="8"/>
      <c r="BB175" s="8"/>
      <c r="BC175" s="8"/>
      <c r="BD175" s="8"/>
      <c r="BE175" s="8"/>
      <c r="BF175" s="8"/>
      <c r="BG175" s="8"/>
      <c r="BH175" s="8"/>
      <c r="BI175" s="8"/>
      <c r="BJ175" s="8"/>
      <c r="BK175" s="8"/>
      <c r="BL175" s="8"/>
      <c r="BM175" s="8"/>
      <c r="BN175" s="8"/>
      <c r="BO175" s="8"/>
      <c r="BP175" s="8"/>
      <c r="BQ175" s="8"/>
      <c r="BR175" s="8"/>
      <c r="BS175" s="8"/>
      <c r="BT175" s="8"/>
      <c r="BU175" s="8"/>
      <c r="BV175" s="8"/>
      <c r="BW175" s="8"/>
      <c r="BX175" s="8"/>
      <c r="BY175" s="8"/>
      <c r="BZ175" s="8"/>
    </row>
    <row r="176" spans="1:78" ht="13" customHeight="1" x14ac:dyDescent="0.15">
      <c r="A176" s="8" t="s">
        <v>6188</v>
      </c>
      <c r="B176" s="8" t="s">
        <v>74</v>
      </c>
      <c r="C176" s="9">
        <v>2011</v>
      </c>
      <c r="D176" s="8" t="s">
        <v>3359</v>
      </c>
      <c r="E176" s="8" t="s">
        <v>3360</v>
      </c>
      <c r="F176" s="8" t="s">
        <v>3361</v>
      </c>
      <c r="G176" s="8" t="str" cm="1">
        <f t="array" ref="G176">LOWER(CleanCode(F176))</f>
        <v>bringingtogetheracculturationtheoryandintergroupcontacttheorypredictorsofflemingsexpectationsofturksacculturationbehavior</v>
      </c>
      <c r="H176" s="8"/>
      <c r="I176" s="8"/>
      <c r="J176" s="8" t="s">
        <v>3364</v>
      </c>
      <c r="K176" s="8"/>
      <c r="L176" s="8"/>
      <c r="M176" s="8" t="s">
        <v>762</v>
      </c>
      <c r="N176" s="8" t="str">
        <f t="shared" si="2"/>
        <v>International Journal Of Intercultural Relations</v>
      </c>
      <c r="O176" s="8" t="s">
        <v>774</v>
      </c>
      <c r="P176" s="8" t="s">
        <v>69</v>
      </c>
      <c r="Q176" s="8" t="s">
        <v>69</v>
      </c>
      <c r="R176" s="8"/>
      <c r="S176" s="8">
        <v>35</v>
      </c>
      <c r="T176" s="8">
        <v>3</v>
      </c>
      <c r="U176" s="8">
        <v>334</v>
      </c>
      <c r="V176" s="8">
        <v>345</v>
      </c>
      <c r="W176" s="8">
        <v>12</v>
      </c>
      <c r="X176" s="8"/>
      <c r="Y176" s="8">
        <v>50</v>
      </c>
      <c r="Z176" s="8">
        <v>44</v>
      </c>
      <c r="AA176" s="8">
        <v>44</v>
      </c>
      <c r="AB176" s="8">
        <v>2</v>
      </c>
      <c r="AC176" s="8">
        <v>38</v>
      </c>
      <c r="AD176" s="8" t="s">
        <v>3370</v>
      </c>
      <c r="AE176" s="8" t="s">
        <v>3368</v>
      </c>
      <c r="AF176" s="8" t="s">
        <v>69</v>
      </c>
      <c r="AG176" s="8" t="s">
        <v>771</v>
      </c>
      <c r="AH176" s="8" t="s">
        <v>772</v>
      </c>
      <c r="AI176" s="8" t="s">
        <v>773</v>
      </c>
      <c r="AJ176" s="8" t="s">
        <v>3363</v>
      </c>
      <c r="AK176" s="8" t="s">
        <v>3362</v>
      </c>
      <c r="AL176" s="8"/>
      <c r="AM176" s="8"/>
      <c r="AN176" s="8"/>
      <c r="AO176" s="8"/>
      <c r="AP176" s="8"/>
      <c r="AQ176" s="8"/>
      <c r="AR176" s="8"/>
      <c r="AS176" s="8"/>
      <c r="AT176" s="8"/>
      <c r="AU176" s="8"/>
      <c r="AV176" s="8"/>
      <c r="AW176" s="8"/>
      <c r="AX176" s="8"/>
      <c r="AY176" s="8"/>
      <c r="AZ176" s="8"/>
      <c r="BA176" s="8"/>
      <c r="BB176" s="8"/>
      <c r="BC176" s="8"/>
      <c r="BD176" s="8"/>
      <c r="BE176" s="8"/>
      <c r="BF176" s="8"/>
      <c r="BG176" s="8"/>
      <c r="BH176" s="8"/>
      <c r="BI176" s="8"/>
      <c r="BJ176" s="8"/>
      <c r="BK176" s="8"/>
      <c r="BL176" s="8"/>
      <c r="BM176" s="8"/>
      <c r="BN176" s="8"/>
      <c r="BO176" s="8"/>
      <c r="BP176" s="8"/>
      <c r="BQ176" s="8"/>
      <c r="BR176" s="8"/>
      <c r="BS176" s="8"/>
      <c r="BT176" s="8"/>
      <c r="BU176" s="8"/>
      <c r="BV176" s="8"/>
      <c r="BW176" s="8"/>
      <c r="BX176" s="8"/>
      <c r="BY176" s="8"/>
      <c r="BZ176" s="8"/>
    </row>
    <row r="177" spans="1:78" ht="13" customHeight="1" x14ac:dyDescent="0.15">
      <c r="A177" s="8" t="s">
        <v>6188</v>
      </c>
      <c r="B177" s="8" t="s">
        <v>74</v>
      </c>
      <c r="C177" s="9">
        <v>2011</v>
      </c>
      <c r="D177" s="8" t="s">
        <v>3371</v>
      </c>
      <c r="E177" s="8" t="s">
        <v>3372</v>
      </c>
      <c r="F177" s="8" t="s">
        <v>3373</v>
      </c>
      <c r="G177" s="8" t="str" cm="1">
        <f t="array" ref="G177">LOWER(CleanCode(F177))</f>
        <v>thesocialcontextofassimilationtestingimplicationsofsegmentedassimilationtheory</v>
      </c>
      <c r="H177" s="8"/>
      <c r="I177" s="8"/>
      <c r="J177" s="8" t="s">
        <v>3376</v>
      </c>
      <c r="K177" s="8"/>
      <c r="L177" s="8"/>
      <c r="M177" s="8" t="s">
        <v>2464</v>
      </c>
      <c r="N177" s="8" t="str">
        <f t="shared" si="2"/>
        <v>Social Science Research</v>
      </c>
      <c r="O177" s="8" t="s">
        <v>2474</v>
      </c>
      <c r="P177" s="8" t="s">
        <v>2475</v>
      </c>
      <c r="Q177" s="8" t="s">
        <v>69</v>
      </c>
      <c r="R177" s="8"/>
      <c r="S177" s="8">
        <v>40</v>
      </c>
      <c r="T177" s="8">
        <v>3</v>
      </c>
      <c r="U177" s="8">
        <v>965</v>
      </c>
      <c r="V177" s="8">
        <v>984</v>
      </c>
      <c r="W177" s="8">
        <v>20</v>
      </c>
      <c r="X177" s="8"/>
      <c r="Y177" s="8">
        <v>75</v>
      </c>
      <c r="Z177" s="8">
        <v>45</v>
      </c>
      <c r="AA177" s="8">
        <v>46</v>
      </c>
      <c r="AB177" s="8">
        <v>1</v>
      </c>
      <c r="AC177" s="8">
        <v>47</v>
      </c>
      <c r="AD177" s="8" t="s">
        <v>3383</v>
      </c>
      <c r="AE177" s="8" t="s">
        <v>3381</v>
      </c>
      <c r="AF177" s="8">
        <v>21572546</v>
      </c>
      <c r="AG177" s="8" t="s">
        <v>2471</v>
      </c>
      <c r="AH177" s="8" t="s">
        <v>2472</v>
      </c>
      <c r="AI177" s="8" t="s">
        <v>2473</v>
      </c>
      <c r="AJ177" s="8" t="s">
        <v>3375</v>
      </c>
      <c r="AK177" s="8" t="s">
        <v>3374</v>
      </c>
      <c r="AL177" s="8"/>
      <c r="AM177" s="8"/>
      <c r="AN177" s="8"/>
      <c r="AO177" s="8"/>
      <c r="AP177" s="8"/>
      <c r="AQ177" s="8"/>
      <c r="AR177" s="8"/>
      <c r="AS177" s="8"/>
      <c r="AT177" s="8"/>
      <c r="AU177" s="8"/>
      <c r="AV177" s="8"/>
      <c r="AW177" s="8"/>
      <c r="AX177" s="8"/>
      <c r="AY177" s="8"/>
      <c r="AZ177" s="8"/>
      <c r="BA177" s="8"/>
      <c r="BB177" s="8"/>
      <c r="BC177" s="8"/>
      <c r="BD177" s="8"/>
      <c r="BE177" s="8"/>
      <c r="BF177" s="8"/>
      <c r="BG177" s="8"/>
      <c r="BH177" s="8"/>
      <c r="BI177" s="8"/>
      <c r="BJ177" s="8"/>
      <c r="BK177" s="8"/>
      <c r="BL177" s="8"/>
      <c r="BM177" s="8"/>
      <c r="BN177" s="8"/>
      <c r="BO177" s="8"/>
      <c r="BP177" s="8"/>
      <c r="BQ177" s="8"/>
      <c r="BR177" s="8"/>
      <c r="BS177" s="8"/>
      <c r="BT177" s="8"/>
      <c r="BU177" s="8"/>
      <c r="BV177" s="8"/>
      <c r="BW177" s="8"/>
      <c r="BX177" s="8"/>
      <c r="BY177" s="8"/>
      <c r="BZ177" s="8"/>
    </row>
    <row r="178" spans="1:78" ht="13" customHeight="1" x14ac:dyDescent="0.15">
      <c r="A178" s="8" t="s">
        <v>6188</v>
      </c>
      <c r="B178" s="8" t="s">
        <v>74</v>
      </c>
      <c r="C178" s="9">
        <v>2011</v>
      </c>
      <c r="D178" s="8" t="s">
        <v>3384</v>
      </c>
      <c r="E178" s="8" t="s">
        <v>3385</v>
      </c>
      <c r="F178" s="8" t="s">
        <v>3386</v>
      </c>
      <c r="G178" s="8" t="str" cm="1">
        <f t="array" ref="G178">LOWER(CleanCode(F178))</f>
        <v>doesethnolinguisticvitalitytheoryaccountfortheactualvitalityofethnicgroupsacriticalevaluation</v>
      </c>
      <c r="H178" s="8"/>
      <c r="I178" s="8"/>
      <c r="J178" s="8" t="s">
        <v>3388</v>
      </c>
      <c r="K178" s="8"/>
      <c r="L178" s="8"/>
      <c r="M178" s="8" t="s">
        <v>857</v>
      </c>
      <c r="N178" s="8" t="str">
        <f t="shared" si="2"/>
        <v>Journal Of Multilingual And Multicultural Development</v>
      </c>
      <c r="O178" s="8" t="s">
        <v>868</v>
      </c>
      <c r="P178" s="8" t="s">
        <v>69</v>
      </c>
      <c r="Q178" s="8" t="s">
        <v>69</v>
      </c>
      <c r="R178" s="8"/>
      <c r="S178" s="8">
        <v>32</v>
      </c>
      <c r="T178" s="8">
        <v>2</v>
      </c>
      <c r="U178" s="8">
        <v>111</v>
      </c>
      <c r="V178" s="8">
        <v>120</v>
      </c>
      <c r="W178" s="8">
        <v>10</v>
      </c>
      <c r="X178" s="8"/>
      <c r="Y178" s="8">
        <v>21</v>
      </c>
      <c r="Z178" s="8">
        <v>17</v>
      </c>
      <c r="AA178" s="8">
        <v>17</v>
      </c>
      <c r="AB178" s="8">
        <v>0</v>
      </c>
      <c r="AC178" s="8">
        <v>10</v>
      </c>
      <c r="AD178" s="8" t="s">
        <v>3397</v>
      </c>
      <c r="AE178" s="8" t="s">
        <v>3395</v>
      </c>
      <c r="AF178" s="8" t="s">
        <v>69</v>
      </c>
      <c r="AG178" s="8" t="s">
        <v>3392</v>
      </c>
      <c r="AH178" s="8" t="s">
        <v>156</v>
      </c>
      <c r="AI178" s="8" t="s">
        <v>3393</v>
      </c>
      <c r="AJ178" s="8" t="s">
        <v>69</v>
      </c>
      <c r="AK178" s="8" t="s">
        <v>3387</v>
      </c>
      <c r="AL178" s="8"/>
      <c r="AM178" s="8"/>
      <c r="AN178" s="8"/>
      <c r="AO178" s="8"/>
      <c r="AP178" s="8"/>
      <c r="AQ178" s="8"/>
      <c r="AR178" s="8"/>
      <c r="AS178" s="8"/>
      <c r="AT178" s="8"/>
      <c r="AU178" s="8"/>
      <c r="AV178" s="8"/>
      <c r="AW178" s="8"/>
      <c r="AX178" s="8"/>
      <c r="AY178" s="8"/>
      <c r="AZ178" s="8"/>
      <c r="BA178" s="8"/>
      <c r="BB178" s="8"/>
      <c r="BC178" s="8"/>
      <c r="BD178" s="8"/>
      <c r="BE178" s="8"/>
      <c r="BF178" s="8"/>
      <c r="BG178" s="8"/>
      <c r="BH178" s="8"/>
      <c r="BI178" s="8"/>
      <c r="BJ178" s="8"/>
      <c r="BK178" s="8"/>
      <c r="BL178" s="8"/>
      <c r="BM178" s="8"/>
      <c r="BN178" s="8"/>
      <c r="BO178" s="8"/>
      <c r="BP178" s="8"/>
      <c r="BQ178" s="8"/>
      <c r="BR178" s="8"/>
      <c r="BS178" s="8"/>
      <c r="BT178" s="8"/>
      <c r="BU178" s="8"/>
      <c r="BV178" s="8"/>
      <c r="BW178" s="8"/>
      <c r="BX178" s="8"/>
      <c r="BY178" s="8"/>
      <c r="BZ178" s="8"/>
    </row>
    <row r="179" spans="1:78" ht="13" customHeight="1" x14ac:dyDescent="0.15">
      <c r="A179" s="8" t="s">
        <v>6188</v>
      </c>
      <c r="B179" s="8" t="s">
        <v>74</v>
      </c>
      <c r="C179" s="9">
        <v>2011</v>
      </c>
      <c r="D179" s="8" t="s">
        <v>3398</v>
      </c>
      <c r="E179" s="8" t="s">
        <v>3399</v>
      </c>
      <c r="F179" s="8" t="s">
        <v>3400</v>
      </c>
      <c r="G179" s="8" t="str" cm="1">
        <f t="array" ref="G179">LOWER(CleanCode(F179))</f>
        <v>consumeracculturationtheorycrossingconceptualboundaries</v>
      </c>
      <c r="H179" s="8"/>
      <c r="I179" s="8"/>
      <c r="J179" s="8" t="s">
        <v>3404</v>
      </c>
      <c r="K179" s="8"/>
      <c r="L179" s="8"/>
      <c r="M179" s="8" t="s">
        <v>3401</v>
      </c>
      <c r="N179" s="8" t="str">
        <f t="shared" si="2"/>
        <v>Consumption Markets &amp; Culture</v>
      </c>
      <c r="O179" s="8" t="s">
        <v>3408</v>
      </c>
      <c r="P179" s="8" t="s">
        <v>3409</v>
      </c>
      <c r="Q179" s="8" t="s">
        <v>69</v>
      </c>
      <c r="R179" s="8"/>
      <c r="S179" s="8">
        <v>14</v>
      </c>
      <c r="T179" s="8">
        <v>3</v>
      </c>
      <c r="U179" s="8">
        <v>223</v>
      </c>
      <c r="V179" s="8">
        <v>244</v>
      </c>
      <c r="W179" s="8">
        <v>22</v>
      </c>
      <c r="X179" s="8"/>
      <c r="Y179" s="8">
        <v>87</v>
      </c>
      <c r="Z179" s="8">
        <v>87</v>
      </c>
      <c r="AA179" s="8">
        <v>88</v>
      </c>
      <c r="AB179" s="8">
        <v>0</v>
      </c>
      <c r="AC179" s="8">
        <v>15</v>
      </c>
      <c r="AD179" s="8" t="s">
        <v>3414</v>
      </c>
      <c r="AE179" s="8" t="s">
        <v>3412</v>
      </c>
      <c r="AF179" s="8" t="s">
        <v>69</v>
      </c>
      <c r="AG179" s="8" t="s">
        <v>108</v>
      </c>
      <c r="AH179" s="8" t="s">
        <v>109</v>
      </c>
      <c r="AI179" s="8" t="s">
        <v>110</v>
      </c>
      <c r="AJ179" s="8" t="s">
        <v>3403</v>
      </c>
      <c r="AK179" s="8" t="s">
        <v>3402</v>
      </c>
      <c r="AL179" s="8"/>
      <c r="AM179" s="8"/>
      <c r="AN179" s="8"/>
      <c r="AO179" s="8"/>
      <c r="AP179" s="8"/>
      <c r="AQ179" s="8"/>
      <c r="AR179" s="8"/>
      <c r="AS179" s="8"/>
      <c r="AT179" s="8"/>
      <c r="AU179" s="8"/>
      <c r="AV179" s="8"/>
      <c r="AW179" s="8"/>
      <c r="AX179" s="8"/>
      <c r="AY179" s="8"/>
      <c r="AZ179" s="8"/>
      <c r="BA179" s="8"/>
      <c r="BB179" s="8"/>
      <c r="BC179" s="8"/>
      <c r="BD179" s="8"/>
      <c r="BE179" s="8"/>
      <c r="BF179" s="8"/>
      <c r="BG179" s="8"/>
      <c r="BH179" s="8"/>
      <c r="BI179" s="8"/>
      <c r="BJ179" s="8"/>
      <c r="BK179" s="8"/>
      <c r="BL179" s="8"/>
      <c r="BM179" s="8"/>
      <c r="BN179" s="8"/>
      <c r="BO179" s="8"/>
      <c r="BP179" s="8"/>
      <c r="BQ179" s="8"/>
      <c r="BR179" s="8"/>
      <c r="BS179" s="8"/>
      <c r="BT179" s="8"/>
      <c r="BU179" s="8"/>
      <c r="BV179" s="8"/>
      <c r="BW179" s="8"/>
      <c r="BX179" s="8"/>
      <c r="BY179" s="8"/>
      <c r="BZ179" s="8"/>
    </row>
    <row r="180" spans="1:78" ht="13" customHeight="1" x14ac:dyDescent="0.15">
      <c r="A180" s="8" t="s">
        <v>6188</v>
      </c>
      <c r="B180" s="8" t="s">
        <v>74</v>
      </c>
      <c r="C180" s="9">
        <v>2011</v>
      </c>
      <c r="D180" s="8" t="s">
        <v>3415</v>
      </c>
      <c r="E180" s="8" t="s">
        <v>3416</v>
      </c>
      <c r="F180" s="8" t="s">
        <v>3417</v>
      </c>
      <c r="G180" s="8" t="str" cm="1">
        <f t="array" ref="G180">LOWER(CleanCode(F180))</f>
        <v>anintegrativetheoreticalframeworkofacculturationandsalutogenesis</v>
      </c>
      <c r="H180" s="8"/>
      <c r="I180" s="8"/>
      <c r="J180" s="8" t="s">
        <v>3420</v>
      </c>
      <c r="K180" s="8"/>
      <c r="L180" s="8"/>
      <c r="M180" s="8" t="s">
        <v>3418</v>
      </c>
      <c r="N180" s="8" t="str">
        <f t="shared" si="2"/>
        <v>International Review Of Psychiatry</v>
      </c>
      <c r="O180" s="8" t="s">
        <v>3424</v>
      </c>
      <c r="P180" s="8" t="s">
        <v>3425</v>
      </c>
      <c r="Q180" s="8" t="s">
        <v>69</v>
      </c>
      <c r="R180" s="8"/>
      <c r="S180" s="8">
        <v>23</v>
      </c>
      <c r="T180" s="8">
        <v>6</v>
      </c>
      <c r="U180" s="8">
        <v>555</v>
      </c>
      <c r="V180" s="8">
        <v>564</v>
      </c>
      <c r="W180" s="8">
        <v>10</v>
      </c>
      <c r="X180" s="8"/>
      <c r="Y180" s="8">
        <v>60</v>
      </c>
      <c r="Z180" s="8">
        <v>12</v>
      </c>
      <c r="AA180" s="8">
        <v>12</v>
      </c>
      <c r="AB180" s="8">
        <v>0</v>
      </c>
      <c r="AC180" s="8">
        <v>20</v>
      </c>
      <c r="AD180" s="8" t="s">
        <v>3430</v>
      </c>
      <c r="AE180" s="8" t="s">
        <v>3428</v>
      </c>
      <c r="AF180" s="8">
        <v>22272594</v>
      </c>
      <c r="AG180" s="8" t="s">
        <v>2232</v>
      </c>
      <c r="AH180" s="8" t="s">
        <v>109</v>
      </c>
      <c r="AI180" s="8" t="s">
        <v>2233</v>
      </c>
      <c r="AJ180" s="8" t="s">
        <v>3419</v>
      </c>
      <c r="AK180" s="8" t="s">
        <v>69</v>
      </c>
      <c r="AL180" s="8"/>
      <c r="AM180" s="8"/>
      <c r="AN180" s="8"/>
      <c r="AO180" s="8"/>
      <c r="AP180" s="8"/>
      <c r="AQ180" s="8"/>
      <c r="AR180" s="8"/>
      <c r="AS180" s="8"/>
      <c r="AT180" s="8"/>
      <c r="AU180" s="8"/>
      <c r="AV180" s="8"/>
      <c r="AW180" s="8"/>
      <c r="AX180" s="8"/>
      <c r="AY180" s="8"/>
      <c r="AZ180" s="8"/>
      <c r="BA180" s="8"/>
      <c r="BB180" s="8"/>
      <c r="BC180" s="8"/>
      <c r="BD180" s="8"/>
      <c r="BE180" s="8"/>
      <c r="BF180" s="8"/>
      <c r="BG180" s="8"/>
      <c r="BH180" s="8"/>
      <c r="BI180" s="8"/>
      <c r="BJ180" s="8"/>
      <c r="BK180" s="8"/>
      <c r="BL180" s="8"/>
      <c r="BM180" s="8"/>
      <c r="BN180" s="8"/>
      <c r="BO180" s="8"/>
      <c r="BP180" s="8"/>
      <c r="BQ180" s="8"/>
      <c r="BR180" s="8"/>
      <c r="BS180" s="8"/>
      <c r="BT180" s="8"/>
      <c r="BU180" s="8"/>
      <c r="BV180" s="8"/>
      <c r="BW180" s="8"/>
      <c r="BX180" s="8"/>
      <c r="BY180" s="8"/>
      <c r="BZ180" s="8"/>
    </row>
    <row r="181" spans="1:78" ht="13" customHeight="1" x14ac:dyDescent="0.15">
      <c r="A181" s="8" t="s">
        <v>6188</v>
      </c>
      <c r="B181" s="8" t="s">
        <v>74</v>
      </c>
      <c r="C181" s="9">
        <v>2011</v>
      </c>
      <c r="D181" s="8" t="s">
        <v>3431</v>
      </c>
      <c r="E181" s="8" t="s">
        <v>3432</v>
      </c>
      <c r="F181" s="8" t="s">
        <v>3433</v>
      </c>
      <c r="G181" s="8" t="str" cm="1">
        <f t="array" ref="G181">LOWER(CleanCode(F181))</f>
        <v>theidealizedculturalidentitiesmodelonhelpseekingandchildsexualabuseaconceptualmodelforcontextualizingperceptionsandexperiencesofsouthasianamericans</v>
      </c>
      <c r="H181" s="8"/>
      <c r="I181" s="8"/>
      <c r="J181" s="8" t="s">
        <v>3437</v>
      </c>
      <c r="K181" s="8"/>
      <c r="L181" s="8"/>
      <c r="M181" s="8" t="s">
        <v>3434</v>
      </c>
      <c r="N181" s="8" t="str">
        <f t="shared" si="2"/>
        <v>Journal Of Child Sexual Abuse</v>
      </c>
      <c r="O181" s="8" t="s">
        <v>3441</v>
      </c>
      <c r="P181" s="8" t="s">
        <v>3442</v>
      </c>
      <c r="Q181" s="8" t="s">
        <v>69</v>
      </c>
      <c r="R181" s="8"/>
      <c r="S181" s="8">
        <v>20</v>
      </c>
      <c r="T181" s="8">
        <v>2</v>
      </c>
      <c r="U181" s="8">
        <v>218</v>
      </c>
      <c r="V181" s="8">
        <v>243</v>
      </c>
      <c r="W181" s="8">
        <v>26</v>
      </c>
      <c r="X181" s="8"/>
      <c r="Y181" s="8">
        <v>91</v>
      </c>
      <c r="Z181" s="8">
        <v>20</v>
      </c>
      <c r="AA181" s="8">
        <v>20</v>
      </c>
      <c r="AB181" s="8">
        <v>0</v>
      </c>
      <c r="AC181" s="8">
        <v>12</v>
      </c>
      <c r="AD181" s="8" t="s">
        <v>3450</v>
      </c>
      <c r="AE181" s="8" t="s">
        <v>3446</v>
      </c>
      <c r="AF181" s="8">
        <v>21442534</v>
      </c>
      <c r="AG181" s="8" t="s">
        <v>108</v>
      </c>
      <c r="AH181" s="8" t="s">
        <v>109</v>
      </c>
      <c r="AI181" s="8" t="s">
        <v>110</v>
      </c>
      <c r="AJ181" s="8" t="s">
        <v>3436</v>
      </c>
      <c r="AK181" s="8" t="s">
        <v>3435</v>
      </c>
      <c r="AL181" s="8"/>
      <c r="AM181" s="8"/>
      <c r="AN181" s="8"/>
      <c r="AO181" s="8"/>
      <c r="AP181" s="8"/>
      <c r="AQ181" s="8"/>
      <c r="AR181" s="8"/>
      <c r="AS181" s="8"/>
      <c r="AT181" s="8"/>
      <c r="AU181" s="8"/>
      <c r="AV181" s="8"/>
      <c r="AW181" s="8"/>
      <c r="AX181" s="8"/>
      <c r="AY181" s="8"/>
      <c r="AZ181" s="8"/>
      <c r="BA181" s="8"/>
      <c r="BB181" s="8"/>
      <c r="BC181" s="8"/>
      <c r="BD181" s="8"/>
      <c r="BE181" s="8"/>
      <c r="BF181" s="8"/>
      <c r="BG181" s="8"/>
      <c r="BH181" s="8"/>
      <c r="BI181" s="8"/>
      <c r="BJ181" s="8"/>
      <c r="BK181" s="8"/>
      <c r="BL181" s="8"/>
      <c r="BM181" s="8"/>
      <c r="BN181" s="8"/>
      <c r="BO181" s="8"/>
      <c r="BP181" s="8"/>
      <c r="BQ181" s="8"/>
      <c r="BR181" s="8"/>
      <c r="BS181" s="8"/>
      <c r="BT181" s="8"/>
      <c r="BU181" s="8"/>
      <c r="BV181" s="8"/>
      <c r="BW181" s="8"/>
      <c r="BX181" s="8"/>
      <c r="BY181" s="8"/>
      <c r="BZ181" s="8"/>
    </row>
    <row r="182" spans="1:78" ht="13" customHeight="1" x14ac:dyDescent="0.15">
      <c r="A182" s="8" t="s">
        <v>6188</v>
      </c>
      <c r="B182" s="8" t="s">
        <v>318</v>
      </c>
      <c r="C182" s="9">
        <v>2010</v>
      </c>
      <c r="D182" s="8" t="s">
        <v>3451</v>
      </c>
      <c r="E182" s="8" t="s">
        <v>3452</v>
      </c>
      <c r="F182" s="8" t="s">
        <v>3453</v>
      </c>
      <c r="G182" s="8" t="str" cm="1">
        <f t="array" ref="G182">LOWER(CleanCode(F182))</f>
        <v>dietarylipidcompositionandavianmigratoryflightperformancedevelopmentofatheoreticalframeworkforavianfatstorage</v>
      </c>
      <c r="H182" s="8"/>
      <c r="I182" s="8"/>
      <c r="J182" s="8" t="s">
        <v>3457</v>
      </c>
      <c r="K182" s="8"/>
      <c r="L182" s="8"/>
      <c r="M182" s="8" t="s">
        <v>3454</v>
      </c>
      <c r="N182" s="8" t="str">
        <f t="shared" si="2"/>
        <v>Comparative Biochemistry And Physiology A-Molecular &amp; Integrative Physiology</v>
      </c>
      <c r="O182" s="8" t="s">
        <v>3465</v>
      </c>
      <c r="P182" s="8" t="s">
        <v>3466</v>
      </c>
      <c r="Q182" s="8" t="s">
        <v>69</v>
      </c>
      <c r="R182" s="8"/>
      <c r="S182" s="8">
        <v>157</v>
      </c>
      <c r="T182" s="8">
        <v>4</v>
      </c>
      <c r="U182" s="8">
        <v>297</v>
      </c>
      <c r="V182" s="8">
        <v>309</v>
      </c>
      <c r="W182" s="8">
        <v>13</v>
      </c>
      <c r="X182" s="8"/>
      <c r="Y182" s="8">
        <v>135</v>
      </c>
      <c r="Z182" s="8">
        <v>42</v>
      </c>
      <c r="AA182" s="8">
        <v>42</v>
      </c>
      <c r="AB182" s="8">
        <v>2</v>
      </c>
      <c r="AC182" s="8">
        <v>43</v>
      </c>
      <c r="AD182" s="8" t="s">
        <v>3472</v>
      </c>
      <c r="AE182" s="8" t="s">
        <v>3469</v>
      </c>
      <c r="AF182" s="8">
        <v>20561892</v>
      </c>
      <c r="AG182" s="8" t="s">
        <v>982</v>
      </c>
      <c r="AH182" s="8" t="s">
        <v>573</v>
      </c>
      <c r="AI182" s="8" t="s">
        <v>983</v>
      </c>
      <c r="AJ182" s="8" t="s">
        <v>3456</v>
      </c>
      <c r="AK182" s="8" t="s">
        <v>3455</v>
      </c>
      <c r="AL182" s="8"/>
      <c r="AM182" s="8"/>
      <c r="AN182" s="8"/>
      <c r="AO182" s="8"/>
      <c r="AP182" s="8"/>
      <c r="AQ182" s="8"/>
      <c r="AR182" s="8"/>
      <c r="AS182" s="8"/>
      <c r="AT182" s="8"/>
      <c r="AU182" s="8"/>
      <c r="AV182" s="8"/>
      <c r="AW182" s="8"/>
      <c r="AX182" s="8"/>
      <c r="AY182" s="8"/>
      <c r="AZ182" s="8"/>
      <c r="BA182" s="8"/>
      <c r="BB182" s="8"/>
      <c r="BC182" s="8"/>
      <c r="BD182" s="8"/>
      <c r="BE182" s="8"/>
      <c r="BF182" s="8"/>
      <c r="BG182" s="8"/>
      <c r="BH182" s="8"/>
      <c r="BI182" s="8"/>
      <c r="BJ182" s="8"/>
      <c r="BK182" s="8"/>
      <c r="BL182" s="8"/>
      <c r="BM182" s="8"/>
      <c r="BN182" s="8"/>
      <c r="BO182" s="8"/>
      <c r="BP182" s="8"/>
      <c r="BQ182" s="8"/>
      <c r="BR182" s="8"/>
      <c r="BS182" s="8"/>
      <c r="BT182" s="8"/>
      <c r="BU182" s="8"/>
      <c r="BV182" s="8"/>
      <c r="BW182" s="8"/>
      <c r="BX182" s="8"/>
      <c r="BY182" s="8"/>
      <c r="BZ182" s="8"/>
    </row>
    <row r="183" spans="1:78" ht="13" customHeight="1" x14ac:dyDescent="0.15">
      <c r="A183" s="8" t="s">
        <v>6188</v>
      </c>
      <c r="B183" s="8" t="s">
        <v>74</v>
      </c>
      <c r="C183" s="9">
        <v>2010</v>
      </c>
      <c r="D183" s="8" t="s">
        <v>3473</v>
      </c>
      <c r="E183" s="8" t="s">
        <v>3474</v>
      </c>
      <c r="F183" s="8" t="s">
        <v>3475</v>
      </c>
      <c r="G183" s="8" t="str" cm="1">
        <f t="array" ref="G183">LOWER(CleanCode(F183))</f>
        <v>transnationalmigrationbeyondassimilationandacculturationtransnationalinclusionandhybridculturalordersasconceptualalternativestotheassimilationandacculturationdebate</v>
      </c>
      <c r="H183" s="8"/>
      <c r="I183" s="8"/>
      <c r="J183" s="8" t="s">
        <v>3478</v>
      </c>
      <c r="K183" s="8"/>
      <c r="L183" s="8"/>
      <c r="M183" s="8" t="s">
        <v>3476</v>
      </c>
      <c r="N183" s="8" t="str">
        <f t="shared" si="2"/>
        <v>Berliner Journal Fur Soziologie</v>
      </c>
      <c r="O183" s="8" t="s">
        <v>3482</v>
      </c>
      <c r="P183" s="8" t="s">
        <v>3483</v>
      </c>
      <c r="Q183" s="8" t="s">
        <v>69</v>
      </c>
      <c r="R183" s="8"/>
      <c r="S183" s="8">
        <v>20</v>
      </c>
      <c r="T183" s="8">
        <v>2</v>
      </c>
      <c r="U183" s="8">
        <v>257</v>
      </c>
      <c r="V183" s="8">
        <v>279</v>
      </c>
      <c r="W183" s="8">
        <v>23</v>
      </c>
      <c r="X183" s="8"/>
      <c r="Y183" s="8">
        <v>50</v>
      </c>
      <c r="Z183" s="8">
        <v>1</v>
      </c>
      <c r="AA183" s="8">
        <v>1</v>
      </c>
      <c r="AB183" s="8">
        <v>0</v>
      </c>
      <c r="AC183" s="8">
        <v>13</v>
      </c>
      <c r="AD183" s="8" t="s">
        <v>3488</v>
      </c>
      <c r="AE183" s="8" t="s">
        <v>3486</v>
      </c>
      <c r="AF183" s="8" t="s">
        <v>69</v>
      </c>
      <c r="AG183" s="8" t="s">
        <v>1771</v>
      </c>
      <c r="AH183" s="8" t="s">
        <v>1772</v>
      </c>
      <c r="AI183" s="8" t="s">
        <v>1773</v>
      </c>
      <c r="AJ183" s="8" t="s">
        <v>69</v>
      </c>
      <c r="AK183" s="8" t="s">
        <v>3477</v>
      </c>
      <c r="AL183" s="8"/>
      <c r="AM183" s="8"/>
      <c r="AN183" s="8"/>
      <c r="AO183" s="8"/>
      <c r="AP183" s="8"/>
      <c r="AQ183" s="8"/>
      <c r="AR183" s="8"/>
      <c r="AS183" s="8"/>
      <c r="AT183" s="8"/>
      <c r="AU183" s="8"/>
      <c r="AV183" s="8"/>
      <c r="AW183" s="8"/>
      <c r="AX183" s="8"/>
      <c r="AY183" s="8"/>
      <c r="AZ183" s="8"/>
      <c r="BA183" s="8"/>
      <c r="BB183" s="8"/>
      <c r="BC183" s="8"/>
      <c r="BD183" s="8"/>
      <c r="BE183" s="8"/>
      <c r="BF183" s="8"/>
      <c r="BG183" s="8"/>
      <c r="BH183" s="8"/>
      <c r="BI183" s="8"/>
      <c r="BJ183" s="8"/>
      <c r="BK183" s="8"/>
      <c r="BL183" s="8"/>
      <c r="BM183" s="8"/>
      <c r="BN183" s="8"/>
      <c r="BO183" s="8"/>
      <c r="BP183" s="8"/>
      <c r="BQ183" s="8"/>
      <c r="BR183" s="8"/>
      <c r="BS183" s="8"/>
      <c r="BT183" s="8"/>
      <c r="BU183" s="8"/>
      <c r="BV183" s="8"/>
      <c r="BW183" s="8"/>
      <c r="BX183" s="8"/>
      <c r="BY183" s="8"/>
      <c r="BZ183" s="8"/>
    </row>
    <row r="184" spans="1:78" ht="13" customHeight="1" x14ac:dyDescent="0.15">
      <c r="A184" s="8" t="s">
        <v>6188</v>
      </c>
      <c r="B184" s="8" t="s">
        <v>74</v>
      </c>
      <c r="C184" s="9">
        <v>2010</v>
      </c>
      <c r="D184" s="8" t="s">
        <v>3489</v>
      </c>
      <c r="E184" s="8" t="s">
        <v>3490</v>
      </c>
      <c r="F184" s="8" t="s">
        <v>3491</v>
      </c>
      <c r="G184" s="8" t="str" cm="1">
        <f t="array" ref="G184">LOWER(CleanCode(F184))</f>
        <v>rethinkingtheconceptofacculturationimplicationsfortheoryandresearch</v>
      </c>
      <c r="H184" s="8"/>
      <c r="I184" s="8"/>
      <c r="J184" s="8" t="s">
        <v>3495</v>
      </c>
      <c r="K184" s="8"/>
      <c r="L184" s="8"/>
      <c r="M184" s="8" t="s">
        <v>3492</v>
      </c>
      <c r="N184" s="8" t="str">
        <f t="shared" si="2"/>
        <v>American Psychologist</v>
      </c>
      <c r="O184" s="8" t="s">
        <v>3499</v>
      </c>
      <c r="P184" s="8" t="s">
        <v>3500</v>
      </c>
      <c r="Q184" s="8" t="s">
        <v>69</v>
      </c>
      <c r="R184" s="8"/>
      <c r="S184" s="8">
        <v>65</v>
      </c>
      <c r="T184" s="8">
        <v>4</v>
      </c>
      <c r="U184" s="8">
        <v>237</v>
      </c>
      <c r="V184" s="8">
        <v>251</v>
      </c>
      <c r="W184" s="8">
        <v>15</v>
      </c>
      <c r="X184" s="8"/>
      <c r="Y184" s="8">
        <v>116</v>
      </c>
      <c r="Z184" s="8">
        <v>924</v>
      </c>
      <c r="AA184" s="8">
        <v>932</v>
      </c>
      <c r="AB184" s="8">
        <v>15</v>
      </c>
      <c r="AC184" s="8">
        <v>293</v>
      </c>
      <c r="AD184" s="8" t="s">
        <v>3506</v>
      </c>
      <c r="AE184" s="8" t="s">
        <v>3504</v>
      </c>
      <c r="AF184" s="8">
        <v>20455618</v>
      </c>
      <c r="AG184" s="8" t="s">
        <v>1183</v>
      </c>
      <c r="AH184" s="8" t="s">
        <v>1184</v>
      </c>
      <c r="AI184" s="8" t="s">
        <v>1185</v>
      </c>
      <c r="AJ184" s="8" t="s">
        <v>3494</v>
      </c>
      <c r="AK184" s="8" t="s">
        <v>3493</v>
      </c>
      <c r="AL184" s="8"/>
      <c r="AM184" s="8"/>
      <c r="AN184" s="8"/>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row>
    <row r="185" spans="1:78" ht="13" customHeight="1" x14ac:dyDescent="0.15">
      <c r="A185" s="8" t="s">
        <v>6188</v>
      </c>
      <c r="B185" s="8" t="s">
        <v>2244</v>
      </c>
      <c r="C185" s="9">
        <v>2010</v>
      </c>
      <c r="D185" s="8" t="s">
        <v>3507</v>
      </c>
      <c r="E185" s="8" t="s">
        <v>3508</v>
      </c>
      <c r="F185" s="8" t="s">
        <v>3509</v>
      </c>
      <c r="G185" s="8" t="str" cm="1">
        <f t="array" ref="G185">LOWER(CleanCode(F185))</f>
        <v>introductiontoacculturationtheoryresearchandapplicationworkingwithandforcommunities</v>
      </c>
      <c r="H185" s="8"/>
      <c r="I185" s="8"/>
      <c r="J185" s="8" t="s">
        <v>3511</v>
      </c>
      <c r="K185" s="8"/>
      <c r="L185" s="8"/>
      <c r="M185" s="8" t="s">
        <v>762</v>
      </c>
      <c r="N185" s="8" t="str">
        <f t="shared" si="2"/>
        <v>International Journal Of Intercultural Relations</v>
      </c>
      <c r="O185" s="8" t="s">
        <v>774</v>
      </c>
      <c r="P185" s="8" t="s">
        <v>69</v>
      </c>
      <c r="Q185" s="8" t="s">
        <v>69</v>
      </c>
      <c r="R185" s="8"/>
      <c r="S185" s="8">
        <v>34</v>
      </c>
      <c r="T185" s="8">
        <v>2</v>
      </c>
      <c r="U185" s="8">
        <v>97</v>
      </c>
      <c r="V185" s="8">
        <v>100</v>
      </c>
      <c r="W185" s="8">
        <v>4</v>
      </c>
      <c r="X185" s="8"/>
      <c r="Y185" s="8">
        <v>13</v>
      </c>
      <c r="Z185" s="8">
        <v>8</v>
      </c>
      <c r="AA185" s="8">
        <v>12</v>
      </c>
      <c r="AB185" s="8">
        <v>0</v>
      </c>
      <c r="AC185" s="8">
        <v>11</v>
      </c>
      <c r="AD185" s="8" t="s">
        <v>3518</v>
      </c>
      <c r="AE185" s="8" t="s">
        <v>3516</v>
      </c>
      <c r="AF185" s="8" t="s">
        <v>69</v>
      </c>
      <c r="AG185" s="8" t="s">
        <v>771</v>
      </c>
      <c r="AH185" s="8" t="s">
        <v>772</v>
      </c>
      <c r="AI185" s="8" t="s">
        <v>773</v>
      </c>
      <c r="AJ185" s="8" t="s">
        <v>69</v>
      </c>
      <c r="AK185" s="8" t="s">
        <v>3510</v>
      </c>
      <c r="AL185" s="8"/>
      <c r="AM185" s="8"/>
      <c r="AN185" s="8"/>
      <c r="AO185" s="8"/>
      <c r="AP185" s="8"/>
      <c r="AQ185" s="8"/>
      <c r="AR185" s="8"/>
      <c r="AS185" s="8"/>
      <c r="AT185" s="8"/>
      <c r="AU185" s="8"/>
      <c r="AV185" s="8"/>
      <c r="AW185" s="8"/>
      <c r="AX185" s="8"/>
      <c r="AY185" s="8"/>
      <c r="AZ185" s="8"/>
      <c r="BA185" s="8"/>
      <c r="BB185" s="8"/>
      <c r="BC185" s="8"/>
      <c r="BD185" s="8"/>
      <c r="BE185" s="8"/>
      <c r="BF185" s="8"/>
      <c r="BG185" s="8"/>
      <c r="BH185" s="8"/>
      <c r="BI185" s="8"/>
      <c r="BJ185" s="8"/>
      <c r="BK185" s="8"/>
      <c r="BL185" s="8"/>
      <c r="BM185" s="8"/>
      <c r="BN185" s="8"/>
      <c r="BO185" s="8"/>
      <c r="BP185" s="8"/>
      <c r="BQ185" s="8"/>
      <c r="BR185" s="8"/>
      <c r="BS185" s="8"/>
      <c r="BT185" s="8"/>
      <c r="BU185" s="8"/>
      <c r="BV185" s="8"/>
      <c r="BW185" s="8"/>
      <c r="BX185" s="8"/>
      <c r="BY185" s="8"/>
      <c r="BZ185" s="8"/>
    </row>
    <row r="186" spans="1:78" ht="13" customHeight="1" x14ac:dyDescent="0.15">
      <c r="A186" s="8" t="s">
        <v>6188</v>
      </c>
      <c r="B186" s="8" t="s">
        <v>74</v>
      </c>
      <c r="C186" s="9">
        <v>2010</v>
      </c>
      <c r="D186" s="8" t="s">
        <v>3519</v>
      </c>
      <c r="E186" s="8" t="s">
        <v>3520</v>
      </c>
      <c r="F186" s="8" t="s">
        <v>3521</v>
      </c>
      <c r="G186" s="8" t="str" cm="1">
        <f t="array" ref="G186">LOWER(CleanCode(F186))</f>
        <v>incorporatingtheculturalvalueofrespetointoaframeworkoflatinoparenting</v>
      </c>
      <c r="H186" s="8"/>
      <c r="I186" s="8"/>
      <c r="J186" s="8" t="s">
        <v>3524</v>
      </c>
      <c r="K186" s="8"/>
      <c r="L186" s="8"/>
      <c r="M186" s="8" t="s">
        <v>2427</v>
      </c>
      <c r="N186" s="8" t="str">
        <f t="shared" si="2"/>
        <v>Cultural Diversity &amp; Ethnic Minority Psychology</v>
      </c>
      <c r="O186" s="8" t="s">
        <v>2436</v>
      </c>
      <c r="P186" s="8" t="s">
        <v>2437</v>
      </c>
      <c r="Q186" s="8" t="s">
        <v>69</v>
      </c>
      <c r="R186" s="8"/>
      <c r="S186" s="8">
        <v>16</v>
      </c>
      <c r="T186" s="8">
        <v>1</v>
      </c>
      <c r="U186" s="8">
        <v>77</v>
      </c>
      <c r="V186" s="8">
        <v>86</v>
      </c>
      <c r="W186" s="8">
        <v>10</v>
      </c>
      <c r="X186" s="8"/>
      <c r="Y186" s="8">
        <v>43</v>
      </c>
      <c r="Z186" s="8">
        <v>136</v>
      </c>
      <c r="AA186" s="8">
        <v>136</v>
      </c>
      <c r="AB186" s="8">
        <v>0</v>
      </c>
      <c r="AC186" s="8">
        <v>28</v>
      </c>
      <c r="AD186" s="8" t="s">
        <v>3531</v>
      </c>
      <c r="AE186" s="8" t="s">
        <v>3529</v>
      </c>
      <c r="AF186" s="8">
        <v>20099967</v>
      </c>
      <c r="AG186" s="8" t="s">
        <v>2434</v>
      </c>
      <c r="AH186" s="8" t="s">
        <v>1184</v>
      </c>
      <c r="AI186" s="8" t="s">
        <v>2435</v>
      </c>
      <c r="AJ186" s="8" t="s">
        <v>3523</v>
      </c>
      <c r="AK186" s="8" t="s">
        <v>3522</v>
      </c>
      <c r="AL186" s="8"/>
      <c r="AM186" s="8"/>
      <c r="AN186" s="8"/>
      <c r="AO186" s="8"/>
      <c r="AP186" s="8"/>
      <c r="AQ186" s="8"/>
      <c r="AR186" s="8"/>
      <c r="AS186" s="8"/>
      <c r="AT186" s="8"/>
      <c r="AU186" s="8"/>
      <c r="AV186" s="8"/>
      <c r="AW186" s="8"/>
      <c r="AX186" s="8"/>
      <c r="AY186" s="8"/>
      <c r="AZ186" s="8"/>
      <c r="BA186" s="8"/>
      <c r="BB186" s="8"/>
      <c r="BC186" s="8"/>
      <c r="BD186" s="8"/>
      <c r="BE186" s="8"/>
      <c r="BF186" s="8"/>
      <c r="BG186" s="8"/>
      <c r="BH186" s="8"/>
      <c r="BI186" s="8"/>
      <c r="BJ186" s="8"/>
      <c r="BK186" s="8"/>
      <c r="BL186" s="8"/>
      <c r="BM186" s="8"/>
      <c r="BN186" s="8"/>
      <c r="BO186" s="8"/>
      <c r="BP186" s="8"/>
      <c r="BQ186" s="8"/>
      <c r="BR186" s="8"/>
      <c r="BS186" s="8"/>
      <c r="BT186" s="8"/>
      <c r="BU186" s="8"/>
      <c r="BV186" s="8"/>
      <c r="BW186" s="8"/>
      <c r="BX186" s="8"/>
      <c r="BY186" s="8"/>
      <c r="BZ186" s="8"/>
    </row>
    <row r="187" spans="1:78" ht="13" customHeight="1" x14ac:dyDescent="0.15">
      <c r="A187" s="8" t="s">
        <v>6188</v>
      </c>
      <c r="B187" s="8" t="s">
        <v>74</v>
      </c>
      <c r="C187" s="9">
        <v>2010</v>
      </c>
      <c r="D187" s="8" t="s">
        <v>3532</v>
      </c>
      <c r="E187" s="8" t="s">
        <v>3533</v>
      </c>
      <c r="F187" s="8" t="s">
        <v>3534</v>
      </c>
      <c r="G187" s="8" t="str" cm="1">
        <f t="array" ref="G187">LOWER(CleanCode(F187))</f>
        <v>comparativeintegrationcontexttheoryparticipationandbelonginginnewdiverseeuropeancities</v>
      </c>
      <c r="H187" s="8"/>
      <c r="I187" s="8"/>
      <c r="J187" s="8" t="s">
        <v>3537</v>
      </c>
      <c r="K187" s="8"/>
      <c r="L187" s="8"/>
      <c r="M187" s="8" t="s">
        <v>197</v>
      </c>
      <c r="N187" s="8" t="str">
        <f t="shared" si="2"/>
        <v>Ethnic And Racial Studies</v>
      </c>
      <c r="O187" s="8" t="s">
        <v>205</v>
      </c>
      <c r="P187" s="8" t="s">
        <v>206</v>
      </c>
      <c r="Q187" s="8" t="s">
        <v>69</v>
      </c>
      <c r="R187" s="8"/>
      <c r="S187" s="8">
        <v>33</v>
      </c>
      <c r="T187" s="8">
        <v>7</v>
      </c>
      <c r="U187" s="8">
        <v>1249</v>
      </c>
      <c r="V187" s="8">
        <v>1268</v>
      </c>
      <c r="W187" s="8">
        <v>20</v>
      </c>
      <c r="X187" s="8"/>
      <c r="Y187" s="8">
        <v>37</v>
      </c>
      <c r="Z187" s="8">
        <v>146</v>
      </c>
      <c r="AA187" s="8">
        <v>146</v>
      </c>
      <c r="AB187" s="8">
        <v>4</v>
      </c>
      <c r="AC187" s="8">
        <v>63</v>
      </c>
      <c r="AD187" s="8" t="s">
        <v>3545</v>
      </c>
      <c r="AE187" s="8" t="s">
        <v>3543</v>
      </c>
      <c r="AF187" s="8" t="s">
        <v>69</v>
      </c>
      <c r="AG187" s="8" t="s">
        <v>108</v>
      </c>
      <c r="AH187" s="8" t="s">
        <v>109</v>
      </c>
      <c r="AI187" s="8" t="s">
        <v>110</v>
      </c>
      <c r="AJ187" s="8" t="s">
        <v>3536</v>
      </c>
      <c r="AK187" s="8" t="s">
        <v>3535</v>
      </c>
      <c r="AL187" s="8"/>
      <c r="AM187" s="8"/>
      <c r="AN187" s="8"/>
      <c r="AO187" s="8"/>
      <c r="AP187" s="8"/>
      <c r="AQ187" s="8"/>
      <c r="AR187" s="8"/>
      <c r="AS187" s="8"/>
      <c r="AT187" s="8"/>
      <c r="AU187" s="8"/>
      <c r="AV187" s="8"/>
      <c r="AW187" s="8"/>
      <c r="AX187" s="8"/>
      <c r="AY187" s="8"/>
      <c r="AZ187" s="8"/>
      <c r="BA187" s="8"/>
      <c r="BB187" s="8"/>
      <c r="BC187" s="8"/>
      <c r="BD187" s="8"/>
      <c r="BE187" s="8"/>
      <c r="BF187" s="8"/>
      <c r="BG187" s="8"/>
      <c r="BH187" s="8"/>
      <c r="BI187" s="8"/>
      <c r="BJ187" s="8"/>
      <c r="BK187" s="8"/>
      <c r="BL187" s="8"/>
      <c r="BM187" s="8"/>
      <c r="BN187" s="8"/>
      <c r="BO187" s="8"/>
      <c r="BP187" s="8"/>
      <c r="BQ187" s="8"/>
      <c r="BR187" s="8"/>
      <c r="BS187" s="8"/>
      <c r="BT187" s="8"/>
      <c r="BU187" s="8"/>
      <c r="BV187" s="8"/>
      <c r="BW187" s="8"/>
      <c r="BX187" s="8"/>
      <c r="BY187" s="8"/>
      <c r="BZ187" s="8"/>
    </row>
    <row r="188" spans="1:78" ht="13" customHeight="1" x14ac:dyDescent="0.15">
      <c r="A188" s="8" t="s">
        <v>6188</v>
      </c>
      <c r="B188" s="8" t="s">
        <v>74</v>
      </c>
      <c r="C188" s="9">
        <v>2010</v>
      </c>
      <c r="D188" s="8" t="s">
        <v>3546</v>
      </c>
      <c r="E188" s="8" t="s">
        <v>3547</v>
      </c>
      <c r="F188" s="8" t="s">
        <v>3548</v>
      </c>
      <c r="G188" s="8" t="str" cm="1">
        <f t="array" ref="G188">LOWER(CleanCode(F188))</f>
        <v>navigatingculturalworldsandnegotiatingidentitiesaconceptualmodel</v>
      </c>
      <c r="H188" s="8"/>
      <c r="I188" s="8"/>
      <c r="J188" s="8" t="s">
        <v>3551</v>
      </c>
      <c r="K188" s="8"/>
      <c r="L188" s="8"/>
      <c r="M188" s="8" t="s">
        <v>717</v>
      </c>
      <c r="N188" s="8" t="str">
        <f t="shared" si="2"/>
        <v>Human Development</v>
      </c>
      <c r="O188" s="8" t="s">
        <v>727</v>
      </c>
      <c r="P188" s="8" t="s">
        <v>728</v>
      </c>
      <c r="Q188" s="8" t="s">
        <v>69</v>
      </c>
      <c r="R188" s="8"/>
      <c r="S188" s="8">
        <v>53</v>
      </c>
      <c r="T188" s="8">
        <v>1</v>
      </c>
      <c r="U188" s="8">
        <v>5</v>
      </c>
      <c r="V188" s="8">
        <v>25</v>
      </c>
      <c r="W188" s="8">
        <v>21</v>
      </c>
      <c r="X188" s="8"/>
      <c r="Y188" s="8">
        <v>57</v>
      </c>
      <c r="Z188" s="8">
        <v>34</v>
      </c>
      <c r="AA188" s="8">
        <v>34</v>
      </c>
      <c r="AB188" s="8">
        <v>0</v>
      </c>
      <c r="AC188" s="8">
        <v>22</v>
      </c>
      <c r="AD188" s="8" t="s">
        <v>3557</v>
      </c>
      <c r="AE188" s="8" t="s">
        <v>3555</v>
      </c>
      <c r="AF188" s="8" t="s">
        <v>69</v>
      </c>
      <c r="AG188" s="8" t="s">
        <v>725</v>
      </c>
      <c r="AH188" s="8" t="s">
        <v>83</v>
      </c>
      <c r="AI188" s="8" t="s">
        <v>726</v>
      </c>
      <c r="AJ188" s="8" t="s">
        <v>3550</v>
      </c>
      <c r="AK188" s="8" t="s">
        <v>3549</v>
      </c>
      <c r="AL188" s="8"/>
      <c r="AM188" s="8"/>
      <c r="AN188" s="8"/>
      <c r="AO188" s="8"/>
      <c r="AP188" s="8"/>
      <c r="AQ188" s="8"/>
      <c r="AR188" s="8"/>
      <c r="AS188" s="8"/>
      <c r="AT188" s="8"/>
      <c r="AU188" s="8"/>
      <c r="AV188" s="8"/>
      <c r="AW188" s="8"/>
      <c r="AX188" s="8"/>
      <c r="AY188" s="8"/>
      <c r="AZ188" s="8"/>
      <c r="BA188" s="8"/>
      <c r="BB188" s="8"/>
      <c r="BC188" s="8"/>
      <c r="BD188" s="8"/>
      <c r="BE188" s="8"/>
      <c r="BF188" s="8"/>
      <c r="BG188" s="8"/>
      <c r="BH188" s="8"/>
      <c r="BI188" s="8"/>
      <c r="BJ188" s="8"/>
      <c r="BK188" s="8"/>
      <c r="BL188" s="8"/>
      <c r="BM188" s="8"/>
      <c r="BN188" s="8"/>
      <c r="BO188" s="8"/>
      <c r="BP188" s="8"/>
      <c r="BQ188" s="8"/>
      <c r="BR188" s="8"/>
      <c r="BS188" s="8"/>
      <c r="BT188" s="8"/>
      <c r="BU188" s="8"/>
      <c r="BV188" s="8"/>
      <c r="BW188" s="8"/>
      <c r="BX188" s="8"/>
      <c r="BY188" s="8"/>
      <c r="BZ188" s="8"/>
    </row>
    <row r="189" spans="1:78" ht="13" customHeight="1" x14ac:dyDescent="0.15">
      <c r="A189" s="8" t="s">
        <v>6188</v>
      </c>
      <c r="B189" s="8" t="s">
        <v>74</v>
      </c>
      <c r="C189" s="9">
        <v>2010</v>
      </c>
      <c r="D189" s="8" t="s">
        <v>3558</v>
      </c>
      <c r="E189" s="8" t="s">
        <v>3559</v>
      </c>
      <c r="F189" s="8" t="s">
        <v>3560</v>
      </c>
      <c r="G189" s="8" t="str" cm="1">
        <f t="array" ref="G189">LOWER(CleanCode(F189))</f>
        <v>migrationandsocialchangesomeconceptualreflections</v>
      </c>
      <c r="H189" s="8"/>
      <c r="I189" s="8"/>
      <c r="J189" s="8" t="s">
        <v>3563</v>
      </c>
      <c r="K189" s="8"/>
      <c r="L189" s="8"/>
      <c r="M189" s="8" t="s">
        <v>1726</v>
      </c>
      <c r="N189" s="8" t="str">
        <f t="shared" si="2"/>
        <v>Journal Of Ethnic And Migration Studies</v>
      </c>
      <c r="O189" s="8" t="s">
        <v>1734</v>
      </c>
      <c r="P189" s="8" t="s">
        <v>1735</v>
      </c>
      <c r="Q189" s="8" t="s">
        <v>69</v>
      </c>
      <c r="R189" s="8"/>
      <c r="S189" s="8">
        <v>36</v>
      </c>
      <c r="T189" s="8">
        <v>10</v>
      </c>
      <c r="U189" s="8">
        <v>1537</v>
      </c>
      <c r="V189" s="8">
        <v>1563</v>
      </c>
      <c r="W189" s="8">
        <v>27</v>
      </c>
      <c r="X189" s="8"/>
      <c r="Y189" s="8">
        <v>143</v>
      </c>
      <c r="Z189" s="8">
        <v>79</v>
      </c>
      <c r="AA189" s="8">
        <v>80</v>
      </c>
      <c r="AB189" s="8">
        <v>2</v>
      </c>
      <c r="AC189" s="8">
        <v>37</v>
      </c>
      <c r="AD189" s="8" t="s">
        <v>3570</v>
      </c>
      <c r="AE189" s="8" t="s">
        <v>3568</v>
      </c>
      <c r="AF189" s="8" t="s">
        <v>69</v>
      </c>
      <c r="AG189" s="8" t="s">
        <v>108</v>
      </c>
      <c r="AH189" s="8" t="s">
        <v>109</v>
      </c>
      <c r="AI189" s="8" t="s">
        <v>110</v>
      </c>
      <c r="AJ189" s="8" t="s">
        <v>3562</v>
      </c>
      <c r="AK189" s="8" t="s">
        <v>3561</v>
      </c>
      <c r="AL189" s="8"/>
      <c r="AM189" s="8"/>
      <c r="AN189" s="8"/>
      <c r="AO189" s="8"/>
      <c r="AP189" s="8"/>
      <c r="AQ189" s="8"/>
      <c r="AR189" s="8"/>
      <c r="AS189" s="8"/>
      <c r="AT189" s="8"/>
      <c r="AU189" s="8"/>
      <c r="AV189" s="8"/>
      <c r="AW189" s="8"/>
      <c r="AX189" s="8"/>
      <c r="AY189" s="8"/>
      <c r="AZ189" s="8"/>
      <c r="BA189" s="8"/>
      <c r="BB189" s="8"/>
      <c r="BC189" s="8"/>
      <c r="BD189" s="8"/>
      <c r="BE189" s="8"/>
      <c r="BF189" s="8"/>
      <c r="BG189" s="8"/>
      <c r="BH189" s="8"/>
      <c r="BI189" s="8"/>
      <c r="BJ189" s="8"/>
      <c r="BK189" s="8"/>
      <c r="BL189" s="8"/>
      <c r="BM189" s="8"/>
      <c r="BN189" s="8"/>
      <c r="BO189" s="8"/>
      <c r="BP189" s="8"/>
      <c r="BQ189" s="8"/>
      <c r="BR189" s="8"/>
      <c r="BS189" s="8"/>
      <c r="BT189" s="8"/>
      <c r="BU189" s="8"/>
      <c r="BV189" s="8"/>
      <c r="BW189" s="8"/>
      <c r="BX189" s="8"/>
      <c r="BY189" s="8"/>
      <c r="BZ189" s="8"/>
    </row>
    <row r="190" spans="1:78" ht="13" customHeight="1" x14ac:dyDescent="0.15">
      <c r="A190" s="8" t="s">
        <v>6188</v>
      </c>
      <c r="B190" s="8" t="s">
        <v>74</v>
      </c>
      <c r="C190" s="9">
        <v>2010</v>
      </c>
      <c r="D190" s="8" t="s">
        <v>3571</v>
      </c>
      <c r="E190" s="8" t="s">
        <v>3572</v>
      </c>
      <c r="F190" s="8" t="s">
        <v>3573</v>
      </c>
      <c r="G190" s="8" t="str" cm="1">
        <f t="array" ref="G190">LOWER(CleanCode(F190))</f>
        <v>towardstransnationalstudiesworldtheoriestransnationalisationandchanginginstitutions</v>
      </c>
      <c r="H190" s="8"/>
      <c r="I190" s="8"/>
      <c r="J190" s="8" t="s">
        <v>3575</v>
      </c>
      <c r="K190" s="8"/>
      <c r="L190" s="8"/>
      <c r="M190" s="8" t="s">
        <v>1726</v>
      </c>
      <c r="N190" s="8" t="str">
        <f t="shared" si="2"/>
        <v>Journal Of Ethnic And Migration Studies</v>
      </c>
      <c r="O190" s="8" t="s">
        <v>1734</v>
      </c>
      <c r="P190" s="8" t="s">
        <v>1735</v>
      </c>
      <c r="Q190" s="8" t="s">
        <v>69</v>
      </c>
      <c r="R190" s="8"/>
      <c r="S190" s="8">
        <v>36</v>
      </c>
      <c r="T190" s="8">
        <v>10</v>
      </c>
      <c r="U190" s="8">
        <v>1665</v>
      </c>
      <c r="V190" s="8">
        <v>1687</v>
      </c>
      <c r="W190" s="8">
        <v>23</v>
      </c>
      <c r="X190" s="8"/>
      <c r="Y190" s="8">
        <v>64</v>
      </c>
      <c r="Z190" s="8">
        <v>62</v>
      </c>
      <c r="AA190" s="8">
        <v>64</v>
      </c>
      <c r="AB190" s="8">
        <v>0</v>
      </c>
      <c r="AC190" s="8">
        <v>20</v>
      </c>
      <c r="AD190" s="8" t="s">
        <v>3581</v>
      </c>
      <c r="AE190" s="8" t="s">
        <v>3580</v>
      </c>
      <c r="AF190" s="8" t="s">
        <v>69</v>
      </c>
      <c r="AG190" s="8" t="s">
        <v>108</v>
      </c>
      <c r="AH190" s="8" t="s">
        <v>109</v>
      </c>
      <c r="AI190" s="8" t="s">
        <v>110</v>
      </c>
      <c r="AJ190" s="8" t="s">
        <v>69</v>
      </c>
      <c r="AK190" s="8" t="s">
        <v>3574</v>
      </c>
      <c r="AL190" s="8"/>
      <c r="AM190" s="8"/>
      <c r="AN190" s="8"/>
      <c r="AO190" s="8"/>
      <c r="AP190" s="8"/>
      <c r="AQ190" s="8"/>
      <c r="AR190" s="8"/>
      <c r="AS190" s="8"/>
      <c r="AT190" s="8"/>
      <c r="AU190" s="8"/>
      <c r="AV190" s="8"/>
      <c r="AW190" s="8"/>
      <c r="AX190" s="8"/>
      <c r="AY190" s="8"/>
      <c r="AZ190" s="8"/>
      <c r="BA190" s="8"/>
      <c r="BB190" s="8"/>
      <c r="BC190" s="8"/>
      <c r="BD190" s="8"/>
      <c r="BE190" s="8"/>
      <c r="BF190" s="8"/>
      <c r="BG190" s="8"/>
      <c r="BH190" s="8"/>
      <c r="BI190" s="8"/>
      <c r="BJ190" s="8"/>
      <c r="BK190" s="8"/>
      <c r="BL190" s="8"/>
      <c r="BM190" s="8"/>
      <c r="BN190" s="8"/>
      <c r="BO190" s="8"/>
      <c r="BP190" s="8"/>
      <c r="BQ190" s="8"/>
      <c r="BR190" s="8"/>
      <c r="BS190" s="8"/>
      <c r="BT190" s="8"/>
      <c r="BU190" s="8"/>
      <c r="BV190" s="8"/>
      <c r="BW190" s="8"/>
      <c r="BX190" s="8"/>
      <c r="BY190" s="8"/>
      <c r="BZ190" s="8"/>
    </row>
    <row r="191" spans="1:78" ht="13" customHeight="1" x14ac:dyDescent="0.15">
      <c r="A191" s="8" t="s">
        <v>6188</v>
      </c>
      <c r="B191" s="8" t="s">
        <v>74</v>
      </c>
      <c r="C191" s="9">
        <v>2009</v>
      </c>
      <c r="D191" s="8" t="s">
        <v>3582</v>
      </c>
      <c r="E191" s="8" t="s">
        <v>3583</v>
      </c>
      <c r="F191" s="8" t="s">
        <v>3584</v>
      </c>
      <c r="G191" s="8" t="str" cm="1">
        <f t="array" ref="G191">LOWER(CleanCode(F191))</f>
        <v>towardadynamicconceptualizationofsocialtiesandcontextimplicationsforunderstandingimmigrantandlatinohealth</v>
      </c>
      <c r="H191" s="8"/>
      <c r="I191" s="8"/>
      <c r="J191" s="8" t="s">
        <v>3587</v>
      </c>
      <c r="K191" s="8"/>
      <c r="L191" s="8"/>
      <c r="M191" s="8" t="s">
        <v>3585</v>
      </c>
      <c r="N191" s="8" t="str">
        <f t="shared" si="2"/>
        <v>American Journal Of Public Health</v>
      </c>
      <c r="O191" s="8" t="s">
        <v>3594</v>
      </c>
      <c r="P191" s="8" t="s">
        <v>3595</v>
      </c>
      <c r="Q191" s="8" t="s">
        <v>69</v>
      </c>
      <c r="R191" s="8"/>
      <c r="S191" s="8">
        <v>99</v>
      </c>
      <c r="T191" s="8">
        <v>12</v>
      </c>
      <c r="U191" s="8">
        <v>2167</v>
      </c>
      <c r="V191" s="8">
        <v>2175</v>
      </c>
      <c r="W191" s="8">
        <v>9</v>
      </c>
      <c r="X191" s="8"/>
      <c r="Y191" s="8">
        <v>95</v>
      </c>
      <c r="Z191" s="8">
        <v>103</v>
      </c>
      <c r="AA191" s="8">
        <v>103</v>
      </c>
      <c r="AB191" s="8">
        <v>1</v>
      </c>
      <c r="AC191" s="8">
        <v>34</v>
      </c>
      <c r="AD191" s="8" t="s">
        <v>3600</v>
      </c>
      <c r="AE191" s="8" t="s">
        <v>3598</v>
      </c>
      <c r="AF191" s="8">
        <v>19833986</v>
      </c>
      <c r="AG191" s="8" t="s">
        <v>3592</v>
      </c>
      <c r="AH191" s="8" t="s">
        <v>1184</v>
      </c>
      <c r="AI191" s="8" t="s">
        <v>3593</v>
      </c>
      <c r="AJ191" s="8" t="s">
        <v>3586</v>
      </c>
      <c r="AK191" s="8" t="s">
        <v>69</v>
      </c>
      <c r="AL191" s="8"/>
      <c r="AM191" s="8"/>
      <c r="AN191" s="8"/>
      <c r="AO191" s="8"/>
      <c r="AP191" s="8"/>
      <c r="AQ191" s="8"/>
      <c r="AR191" s="8"/>
      <c r="AS191" s="8"/>
      <c r="AT191" s="8"/>
      <c r="AU191" s="8"/>
      <c r="AV191" s="8"/>
      <c r="AW191" s="8"/>
      <c r="AX191" s="8"/>
      <c r="AY191" s="8"/>
      <c r="AZ191" s="8"/>
      <c r="BA191" s="8"/>
      <c r="BB191" s="8"/>
      <c r="BC191" s="8"/>
      <c r="BD191" s="8"/>
      <c r="BE191" s="8"/>
      <c r="BF191" s="8"/>
      <c r="BG191" s="8"/>
      <c r="BH191" s="8"/>
      <c r="BI191" s="8"/>
      <c r="BJ191" s="8"/>
      <c r="BK191" s="8"/>
      <c r="BL191" s="8"/>
      <c r="BM191" s="8"/>
      <c r="BN191" s="8"/>
      <c r="BO191" s="8"/>
      <c r="BP191" s="8"/>
      <c r="BQ191" s="8"/>
      <c r="BR191" s="8"/>
      <c r="BS191" s="8"/>
      <c r="BT191" s="8"/>
      <c r="BU191" s="8"/>
      <c r="BV191" s="8"/>
      <c r="BW191" s="8"/>
      <c r="BX191" s="8"/>
      <c r="BY191" s="8"/>
      <c r="BZ191" s="8"/>
    </row>
    <row r="192" spans="1:78" ht="13" customHeight="1" x14ac:dyDescent="0.15">
      <c r="A192" s="8" t="s">
        <v>6188</v>
      </c>
      <c r="B192" s="8" t="s">
        <v>74</v>
      </c>
      <c r="C192" s="9">
        <v>2009</v>
      </c>
      <c r="D192" s="8" t="s">
        <v>3601</v>
      </c>
      <c r="E192" s="8" t="s">
        <v>3602</v>
      </c>
      <c r="F192" s="8" t="s">
        <v>3603</v>
      </c>
      <c r="G192" s="8" t="str" cm="1">
        <f t="array" ref="G192">LOWER(CleanCode(F192))</f>
        <v>aculturallyrelevantconceptualizationofdepressionanempiricalexaminationofthefactorialstructureofthevietnamesedepressionscale</v>
      </c>
      <c r="H192" s="8"/>
      <c r="I192" s="8"/>
      <c r="J192" s="8" t="s">
        <v>3606</v>
      </c>
      <c r="K192" s="8"/>
      <c r="L192" s="8"/>
      <c r="M192" s="8" t="s">
        <v>2993</v>
      </c>
      <c r="N192" s="8" t="str">
        <f t="shared" si="2"/>
        <v>International Journal Of Social Psychiatry</v>
      </c>
      <c r="O192" s="8" t="s">
        <v>3001</v>
      </c>
      <c r="P192" s="8" t="s">
        <v>69</v>
      </c>
      <c r="Q192" s="8" t="s">
        <v>69</v>
      </c>
      <c r="R192" s="8"/>
      <c r="S192" s="8">
        <v>55</v>
      </c>
      <c r="T192" s="8">
        <v>6</v>
      </c>
      <c r="U192" s="8">
        <v>496</v>
      </c>
      <c r="V192" s="8">
        <v>505</v>
      </c>
      <c r="W192" s="8">
        <v>10</v>
      </c>
      <c r="X192" s="8"/>
      <c r="Y192" s="8">
        <v>35</v>
      </c>
      <c r="Z192" s="8">
        <v>10</v>
      </c>
      <c r="AA192" s="8">
        <v>10</v>
      </c>
      <c r="AB192" s="8">
        <v>0</v>
      </c>
      <c r="AC192" s="8">
        <v>7</v>
      </c>
      <c r="AD192" s="8" t="s">
        <v>3612</v>
      </c>
      <c r="AE192" s="8" t="s">
        <v>3610</v>
      </c>
      <c r="AF192" s="8">
        <v>19592442</v>
      </c>
      <c r="AG192" s="8" t="s">
        <v>155</v>
      </c>
      <c r="AH192" s="8" t="s">
        <v>156</v>
      </c>
      <c r="AI192" s="8" t="s">
        <v>157</v>
      </c>
      <c r="AJ192" s="8" t="s">
        <v>3605</v>
      </c>
      <c r="AK192" s="8" t="s">
        <v>3604</v>
      </c>
      <c r="AL192" s="8"/>
      <c r="AM192" s="8"/>
      <c r="AN192" s="8"/>
      <c r="AO192" s="8"/>
      <c r="AP192" s="8"/>
      <c r="AQ192" s="8"/>
      <c r="AR192" s="8"/>
      <c r="AS192" s="8"/>
      <c r="AT192" s="8"/>
      <c r="AU192" s="8"/>
      <c r="AV192" s="8"/>
      <c r="AW192" s="8"/>
      <c r="AX192" s="8"/>
      <c r="AY192" s="8"/>
      <c r="AZ192" s="8"/>
      <c r="BA192" s="8"/>
      <c r="BB192" s="8"/>
      <c r="BC192" s="8"/>
      <c r="BD192" s="8"/>
      <c r="BE192" s="8"/>
      <c r="BF192" s="8"/>
      <c r="BG192" s="8"/>
      <c r="BH192" s="8"/>
      <c r="BI192" s="8"/>
      <c r="BJ192" s="8"/>
      <c r="BK192" s="8"/>
      <c r="BL192" s="8"/>
      <c r="BM192" s="8"/>
      <c r="BN192" s="8"/>
      <c r="BO192" s="8"/>
      <c r="BP192" s="8"/>
      <c r="BQ192" s="8"/>
      <c r="BR192" s="8"/>
      <c r="BS192" s="8"/>
      <c r="BT192" s="8"/>
      <c r="BU192" s="8"/>
      <c r="BV192" s="8"/>
      <c r="BW192" s="8"/>
      <c r="BX192" s="8"/>
      <c r="BY192" s="8"/>
      <c r="BZ192" s="8"/>
    </row>
    <row r="193" spans="1:78" ht="13" customHeight="1" x14ac:dyDescent="0.15">
      <c r="A193" s="8" t="s">
        <v>6188</v>
      </c>
      <c r="B193" s="8" t="s">
        <v>74</v>
      </c>
      <c r="C193" s="9">
        <v>2009</v>
      </c>
      <c r="D193" s="8" t="s">
        <v>3613</v>
      </c>
      <c r="E193" s="8" t="s">
        <v>3614</v>
      </c>
      <c r="F193" s="8" t="s">
        <v>3615</v>
      </c>
      <c r="G193" s="8" t="str" cm="1">
        <f t="array" ref="G193">LOWER(CleanCode(F193))</f>
        <v>perceivedsusceptibilitytoillnessandperceivedbenefitsofpreventivecareanexplorationofbehavioraltheoryconstructsinatransculturalcontext</v>
      </c>
      <c r="H193" s="8"/>
      <c r="I193" s="8"/>
      <c r="J193" s="8" t="s">
        <v>3619</v>
      </c>
      <c r="K193" s="8"/>
      <c r="L193" s="8"/>
      <c r="M193" s="8" t="s">
        <v>3616</v>
      </c>
      <c r="N193" s="8" t="str">
        <f t="shared" si="2"/>
        <v>Health Education &amp; Behavior</v>
      </c>
      <c r="O193" s="8" t="s">
        <v>3625</v>
      </c>
      <c r="P193" s="8" t="s">
        <v>69</v>
      </c>
      <c r="Q193" s="8" t="s">
        <v>69</v>
      </c>
      <c r="R193" s="8"/>
      <c r="S193" s="8">
        <v>36</v>
      </c>
      <c r="T193" s="8" t="s">
        <v>69</v>
      </c>
      <c r="U193" s="8" t="s">
        <v>3628</v>
      </c>
      <c r="V193" s="8" t="s">
        <v>3629</v>
      </c>
      <c r="W193" s="8">
        <v>20</v>
      </c>
      <c r="X193" s="8"/>
      <c r="Y193" s="8">
        <v>61</v>
      </c>
      <c r="Z193" s="8">
        <v>47</v>
      </c>
      <c r="AA193" s="8">
        <v>47</v>
      </c>
      <c r="AB193" s="8">
        <v>0</v>
      </c>
      <c r="AC193" s="8">
        <v>13</v>
      </c>
      <c r="AD193" s="8" t="s">
        <v>3632</v>
      </c>
      <c r="AE193" s="8" t="s">
        <v>3630</v>
      </c>
      <c r="AF193" s="8">
        <v>19805792</v>
      </c>
      <c r="AG193" s="8" t="s">
        <v>180</v>
      </c>
      <c r="AH193" s="8" t="s">
        <v>181</v>
      </c>
      <c r="AI193" s="8" t="s">
        <v>182</v>
      </c>
      <c r="AJ193" s="8" t="s">
        <v>3618</v>
      </c>
      <c r="AK193" s="8" t="s">
        <v>3617</v>
      </c>
      <c r="AL193" s="8"/>
      <c r="AM193" s="8"/>
      <c r="AN193" s="8"/>
      <c r="AO193" s="8"/>
      <c r="AP193" s="8"/>
      <c r="AQ193" s="8"/>
      <c r="AR193" s="8"/>
      <c r="AS193" s="8"/>
      <c r="AT193" s="8"/>
      <c r="AU193" s="8"/>
      <c r="AV193" s="8"/>
      <c r="AW193" s="8"/>
      <c r="AX193" s="8"/>
      <c r="AY193" s="8"/>
      <c r="AZ193" s="8"/>
      <c r="BA193" s="8"/>
      <c r="BB193" s="8"/>
      <c r="BC193" s="8"/>
      <c r="BD193" s="8"/>
      <c r="BE193" s="8"/>
      <c r="BF193" s="8"/>
      <c r="BG193" s="8"/>
      <c r="BH193" s="8"/>
      <c r="BI193" s="8"/>
      <c r="BJ193" s="8"/>
      <c r="BK193" s="8"/>
      <c r="BL193" s="8"/>
      <c r="BM193" s="8"/>
      <c r="BN193" s="8"/>
      <c r="BO193" s="8"/>
      <c r="BP193" s="8"/>
      <c r="BQ193" s="8"/>
      <c r="BR193" s="8"/>
      <c r="BS193" s="8"/>
      <c r="BT193" s="8"/>
      <c r="BU193" s="8"/>
      <c r="BV193" s="8"/>
      <c r="BW193" s="8"/>
      <c r="BX193" s="8"/>
      <c r="BY193" s="8"/>
      <c r="BZ193" s="8"/>
    </row>
    <row r="194" spans="1:78" ht="13" customHeight="1" x14ac:dyDescent="0.15">
      <c r="A194" s="8" t="s">
        <v>6188</v>
      </c>
      <c r="B194" s="8" t="s">
        <v>74</v>
      </c>
      <c r="C194" s="9">
        <v>2009</v>
      </c>
      <c r="D194" s="8" t="s">
        <v>3633</v>
      </c>
      <c r="E194" s="8" t="s">
        <v>3634</v>
      </c>
      <c r="F194" s="8" t="s">
        <v>3635</v>
      </c>
      <c r="G194" s="8" t="str" cm="1">
        <f t="array" ref="G194">LOWER(CleanCode(F194))</f>
        <v>religiosityoffirstandsecondgenerationturkishmigrantsaphenomenonandsomeattemptsatatheoreticalexplanation</v>
      </c>
      <c r="H194" s="8"/>
      <c r="I194" s="8"/>
      <c r="J194" s="8" t="s">
        <v>3638</v>
      </c>
      <c r="K194" s="8"/>
      <c r="L194" s="8"/>
      <c r="M194" s="8" t="s">
        <v>3636</v>
      </c>
      <c r="N194" s="8" t="str">
        <f t="shared" si="2"/>
        <v>Zeitschrift Fur Soziologie</v>
      </c>
      <c r="O194" s="8" t="s">
        <v>3645</v>
      </c>
      <c r="P194" s="8" t="s">
        <v>3646</v>
      </c>
      <c r="Q194" s="8" t="s">
        <v>69</v>
      </c>
      <c r="R194" s="8"/>
      <c r="S194" s="8">
        <v>38</v>
      </c>
      <c r="T194" s="8">
        <v>4</v>
      </c>
      <c r="U194" s="8">
        <v>300</v>
      </c>
      <c r="V194" s="8">
        <v>319</v>
      </c>
      <c r="W194" s="8">
        <v>20</v>
      </c>
      <c r="X194" s="8"/>
      <c r="Y194" s="8">
        <v>67</v>
      </c>
      <c r="Z194" s="8">
        <v>55</v>
      </c>
      <c r="AA194" s="8">
        <v>55</v>
      </c>
      <c r="AB194" s="8">
        <v>2</v>
      </c>
      <c r="AC194" s="8">
        <v>30</v>
      </c>
      <c r="AD194" s="8" t="s">
        <v>3650</v>
      </c>
      <c r="AE194" s="8" t="s">
        <v>69</v>
      </c>
      <c r="AF194" s="8" t="s">
        <v>69</v>
      </c>
      <c r="AG194" s="8" t="s">
        <v>3642</v>
      </c>
      <c r="AH194" s="8" t="s">
        <v>3643</v>
      </c>
      <c r="AI194" s="8" t="s">
        <v>3644</v>
      </c>
      <c r="AJ194" s="8" t="s">
        <v>3637</v>
      </c>
      <c r="AK194" s="8" t="s">
        <v>69</v>
      </c>
      <c r="AL194" s="8"/>
      <c r="AM194" s="8"/>
      <c r="AN194" s="8"/>
      <c r="AO194" s="8"/>
      <c r="AP194" s="8"/>
      <c r="AQ194" s="8"/>
      <c r="AR194" s="8"/>
      <c r="AS194" s="8"/>
      <c r="AT194" s="8"/>
      <c r="AU194" s="8"/>
      <c r="AV194" s="8"/>
      <c r="AW194" s="8"/>
      <c r="AX194" s="8"/>
      <c r="AY194" s="8"/>
      <c r="AZ194" s="8"/>
      <c r="BA194" s="8"/>
      <c r="BB194" s="8"/>
      <c r="BC194" s="8"/>
      <c r="BD194" s="8"/>
      <c r="BE194" s="8"/>
      <c r="BF194" s="8"/>
      <c r="BG194" s="8"/>
      <c r="BH194" s="8"/>
      <c r="BI194" s="8"/>
      <c r="BJ194" s="8"/>
      <c r="BK194" s="8"/>
      <c r="BL194" s="8"/>
      <c r="BM194" s="8"/>
      <c r="BN194" s="8"/>
      <c r="BO194" s="8"/>
      <c r="BP194" s="8"/>
      <c r="BQ194" s="8"/>
      <c r="BR194" s="8"/>
      <c r="BS194" s="8"/>
      <c r="BT194" s="8"/>
      <c r="BU194" s="8"/>
      <c r="BV194" s="8"/>
      <c r="BW194" s="8"/>
      <c r="BX194" s="8"/>
      <c r="BY194" s="8"/>
      <c r="BZ194" s="8"/>
    </row>
    <row r="195" spans="1:78" ht="13" customHeight="1" x14ac:dyDescent="0.15">
      <c r="A195" s="8" t="s">
        <v>6188</v>
      </c>
      <c r="B195" s="8" t="s">
        <v>74</v>
      </c>
      <c r="C195" s="9">
        <v>2009</v>
      </c>
      <c r="D195" s="8" t="s">
        <v>3651</v>
      </c>
      <c r="E195" s="8" t="s">
        <v>3652</v>
      </c>
      <c r="F195" s="8" t="s">
        <v>3653</v>
      </c>
      <c r="G195" s="8" t="str" cm="1">
        <f t="array" ref="G195">LOWER(CleanCode(F195))</f>
        <v>segmentedassimilationtheoryandperinatalhealthdisparitiesamongwomenofmexicandescent</v>
      </c>
      <c r="H195" s="8"/>
      <c r="I195" s="8"/>
      <c r="J195" s="8" t="s">
        <v>3656</v>
      </c>
      <c r="K195" s="8"/>
      <c r="L195" s="8"/>
      <c r="M195" s="8" t="s">
        <v>2606</v>
      </c>
      <c r="N195" s="8" t="str">
        <f t="shared" ref="N195:N258" si="3">PROPER(M195)</f>
        <v>Social Science &amp; Medicine</v>
      </c>
      <c r="O195" s="8" t="s">
        <v>2615</v>
      </c>
      <c r="P195" s="8" t="s">
        <v>69</v>
      </c>
      <c r="Q195" s="8" t="s">
        <v>69</v>
      </c>
      <c r="R195" s="8"/>
      <c r="S195" s="8">
        <v>69</v>
      </c>
      <c r="T195" s="8">
        <v>1</v>
      </c>
      <c r="U195" s="8">
        <v>101</v>
      </c>
      <c r="V195" s="8">
        <v>109</v>
      </c>
      <c r="W195" s="8">
        <v>9</v>
      </c>
      <c r="X195" s="8"/>
      <c r="Y195" s="8">
        <v>67</v>
      </c>
      <c r="Z195" s="8">
        <v>17</v>
      </c>
      <c r="AA195" s="8">
        <v>17</v>
      </c>
      <c r="AB195" s="8">
        <v>0</v>
      </c>
      <c r="AC195" s="8">
        <v>11</v>
      </c>
      <c r="AD195" s="8" t="s">
        <v>3662</v>
      </c>
      <c r="AE195" s="8" t="s">
        <v>3660</v>
      </c>
      <c r="AF195" s="8">
        <v>19450913</v>
      </c>
      <c r="AG195" s="8" t="s">
        <v>771</v>
      </c>
      <c r="AH195" s="8" t="s">
        <v>772</v>
      </c>
      <c r="AI195" s="8" t="s">
        <v>773</v>
      </c>
      <c r="AJ195" s="8" t="s">
        <v>3655</v>
      </c>
      <c r="AK195" s="8" t="s">
        <v>3654</v>
      </c>
      <c r="AL195" s="8"/>
      <c r="AM195" s="8"/>
      <c r="AN195" s="8"/>
      <c r="AO195" s="8"/>
      <c r="AP195" s="8"/>
      <c r="AQ195" s="8"/>
      <c r="AR195" s="8"/>
      <c r="AS195" s="8"/>
      <c r="AT195" s="8"/>
      <c r="AU195" s="8"/>
      <c r="AV195" s="8"/>
      <c r="AW195" s="8"/>
      <c r="AX195" s="8"/>
      <c r="AY195" s="8"/>
      <c r="AZ195" s="8"/>
      <c r="BA195" s="8"/>
      <c r="BB195" s="8"/>
      <c r="BC195" s="8"/>
      <c r="BD195" s="8"/>
      <c r="BE195" s="8"/>
      <c r="BF195" s="8"/>
      <c r="BG195" s="8"/>
      <c r="BH195" s="8"/>
      <c r="BI195" s="8"/>
      <c r="BJ195" s="8"/>
      <c r="BK195" s="8"/>
      <c r="BL195" s="8"/>
      <c r="BM195" s="8"/>
      <c r="BN195" s="8"/>
      <c r="BO195" s="8"/>
      <c r="BP195" s="8"/>
      <c r="BQ195" s="8"/>
      <c r="BR195" s="8"/>
      <c r="BS195" s="8"/>
      <c r="BT195" s="8"/>
      <c r="BU195" s="8"/>
      <c r="BV195" s="8"/>
      <c r="BW195" s="8"/>
      <c r="BX195" s="8"/>
      <c r="BY195" s="8"/>
      <c r="BZ195" s="8"/>
    </row>
    <row r="196" spans="1:78" ht="13" customHeight="1" x14ac:dyDescent="0.15">
      <c r="A196" s="8" t="s">
        <v>6188</v>
      </c>
      <c r="B196" s="8" t="s">
        <v>74</v>
      </c>
      <c r="C196" s="9">
        <v>2009</v>
      </c>
      <c r="D196" s="8" t="s">
        <v>3663</v>
      </c>
      <c r="E196" s="8" t="s">
        <v>3664</v>
      </c>
      <c r="F196" s="8" t="s">
        <v>3665</v>
      </c>
      <c r="G196" s="8" t="str" cm="1">
        <f t="array" ref="G196">LOWER(CleanCode(F196))</f>
        <v>segmentedassimilationtheoryandthelifemodelanintegratedapproachtounderstandingimmigrantsandtheirchildren</v>
      </c>
      <c r="H196" s="8"/>
      <c r="I196" s="8"/>
      <c r="J196" s="8" t="s">
        <v>3669</v>
      </c>
      <c r="K196" s="8"/>
      <c r="L196" s="8"/>
      <c r="M196" s="8" t="s">
        <v>3666</v>
      </c>
      <c r="N196" s="8" t="str">
        <f t="shared" si="3"/>
        <v>Social Work</v>
      </c>
      <c r="O196" s="8" t="s">
        <v>3675</v>
      </c>
      <c r="P196" s="8" t="s">
        <v>69</v>
      </c>
      <c r="Q196" s="8" t="s">
        <v>69</v>
      </c>
      <c r="R196" s="8"/>
      <c r="S196" s="8">
        <v>54</v>
      </c>
      <c r="T196" s="8">
        <v>3</v>
      </c>
      <c r="U196" s="8">
        <v>270</v>
      </c>
      <c r="V196" s="8">
        <v>277</v>
      </c>
      <c r="W196" s="8">
        <v>8</v>
      </c>
      <c r="X196" s="8"/>
      <c r="Y196" s="8">
        <v>36</v>
      </c>
      <c r="Z196" s="8">
        <v>18</v>
      </c>
      <c r="AA196" s="8">
        <v>18</v>
      </c>
      <c r="AB196" s="8">
        <v>1</v>
      </c>
      <c r="AC196" s="8">
        <v>11</v>
      </c>
      <c r="AD196" s="8" t="s">
        <v>3680</v>
      </c>
      <c r="AE196" s="8" t="s">
        <v>3678</v>
      </c>
      <c r="AF196" s="8">
        <v>19530574</v>
      </c>
      <c r="AG196" s="8" t="s">
        <v>3673</v>
      </c>
      <c r="AH196" s="8" t="s">
        <v>1184</v>
      </c>
      <c r="AI196" s="8" t="s">
        <v>3674</v>
      </c>
      <c r="AJ196" s="8" t="s">
        <v>3668</v>
      </c>
      <c r="AK196" s="8" t="s">
        <v>3667</v>
      </c>
      <c r="AL196" s="8"/>
      <c r="AM196" s="8"/>
      <c r="AN196" s="8"/>
      <c r="AO196" s="8"/>
      <c r="AP196" s="8"/>
      <c r="AQ196" s="8"/>
      <c r="AR196" s="8"/>
      <c r="AS196" s="8"/>
      <c r="AT196" s="8"/>
      <c r="AU196" s="8"/>
      <c r="AV196" s="8"/>
      <c r="AW196" s="8"/>
      <c r="AX196" s="8"/>
      <c r="AY196" s="8"/>
      <c r="AZ196" s="8"/>
      <c r="BA196" s="8"/>
      <c r="BB196" s="8"/>
      <c r="BC196" s="8"/>
      <c r="BD196" s="8"/>
      <c r="BE196" s="8"/>
      <c r="BF196" s="8"/>
      <c r="BG196" s="8"/>
      <c r="BH196" s="8"/>
      <c r="BI196" s="8"/>
      <c r="BJ196" s="8"/>
      <c r="BK196" s="8"/>
      <c r="BL196" s="8"/>
      <c r="BM196" s="8"/>
      <c r="BN196" s="8"/>
      <c r="BO196" s="8"/>
      <c r="BP196" s="8"/>
      <c r="BQ196" s="8"/>
      <c r="BR196" s="8"/>
      <c r="BS196" s="8"/>
      <c r="BT196" s="8"/>
      <c r="BU196" s="8"/>
      <c r="BV196" s="8"/>
      <c r="BW196" s="8"/>
      <c r="BX196" s="8"/>
      <c r="BY196" s="8"/>
      <c r="BZ196" s="8"/>
    </row>
    <row r="197" spans="1:78" ht="13" customHeight="1" x14ac:dyDescent="0.15">
      <c r="A197" s="8" t="s">
        <v>6188</v>
      </c>
      <c r="B197" s="8" t="s">
        <v>74</v>
      </c>
      <c r="C197" s="9">
        <v>2009</v>
      </c>
      <c r="D197" s="8" t="s">
        <v>3681</v>
      </c>
      <c r="E197" s="8" t="s">
        <v>3682</v>
      </c>
      <c r="F197" s="8" t="s">
        <v>3683</v>
      </c>
      <c r="G197" s="8" t="str" cm="1">
        <f t="array" ref="G197">LOWER(CleanCode(F197))</f>
        <v>generationalstatusandacademicachievementamonglatinohighschoolstudentsevaluatingthesegmentedassimilationtheory</v>
      </c>
      <c r="H197" s="8"/>
      <c r="I197" s="8"/>
      <c r="J197" s="8" t="s">
        <v>3687</v>
      </c>
      <c r="K197" s="8"/>
      <c r="L197" s="8"/>
      <c r="M197" s="8" t="s">
        <v>3684</v>
      </c>
      <c r="N197" s="8" t="str">
        <f t="shared" si="3"/>
        <v>Sociological Perspectives</v>
      </c>
      <c r="O197" s="8" t="s">
        <v>3691</v>
      </c>
      <c r="P197" s="8" t="s">
        <v>3692</v>
      </c>
      <c r="Q197" s="8" t="s">
        <v>69</v>
      </c>
      <c r="R197" s="8"/>
      <c r="S197" s="8">
        <v>52</v>
      </c>
      <c r="T197" s="8">
        <v>2</v>
      </c>
      <c r="U197" s="8">
        <v>159</v>
      </c>
      <c r="V197" s="8">
        <v>183</v>
      </c>
      <c r="W197" s="8">
        <v>25</v>
      </c>
      <c r="X197" s="8"/>
      <c r="Y197" s="8">
        <v>38</v>
      </c>
      <c r="Z197" s="8">
        <v>9</v>
      </c>
      <c r="AA197" s="8">
        <v>9</v>
      </c>
      <c r="AB197" s="8">
        <v>1</v>
      </c>
      <c r="AC197" s="8">
        <v>17</v>
      </c>
      <c r="AD197" s="8" t="s">
        <v>3697</v>
      </c>
      <c r="AE197" s="8" t="s">
        <v>3695</v>
      </c>
      <c r="AF197" s="8" t="s">
        <v>69</v>
      </c>
      <c r="AG197" s="8" t="s">
        <v>180</v>
      </c>
      <c r="AH197" s="8" t="s">
        <v>181</v>
      </c>
      <c r="AI197" s="8" t="s">
        <v>182</v>
      </c>
      <c r="AJ197" s="8" t="s">
        <v>3686</v>
      </c>
      <c r="AK197" s="8" t="s">
        <v>3685</v>
      </c>
      <c r="AL197" s="8"/>
      <c r="AM197" s="8"/>
      <c r="AN197" s="8"/>
      <c r="AO197" s="8"/>
      <c r="AP197" s="8"/>
      <c r="AQ197" s="8"/>
      <c r="AR197" s="8"/>
      <c r="AS197" s="8"/>
      <c r="AT197" s="8"/>
      <c r="AU197" s="8"/>
      <c r="AV197" s="8"/>
      <c r="AW197" s="8"/>
      <c r="AX197" s="8"/>
      <c r="AY197" s="8"/>
      <c r="AZ197" s="8"/>
      <c r="BA197" s="8"/>
      <c r="BB197" s="8"/>
      <c r="BC197" s="8"/>
      <c r="BD197" s="8"/>
      <c r="BE197" s="8"/>
      <c r="BF197" s="8"/>
      <c r="BG197" s="8"/>
      <c r="BH197" s="8"/>
      <c r="BI197" s="8"/>
      <c r="BJ197" s="8"/>
      <c r="BK197" s="8"/>
      <c r="BL197" s="8"/>
      <c r="BM197" s="8"/>
      <c r="BN197" s="8"/>
      <c r="BO197" s="8"/>
      <c r="BP197" s="8"/>
      <c r="BQ197" s="8"/>
      <c r="BR197" s="8"/>
      <c r="BS197" s="8"/>
      <c r="BT197" s="8"/>
      <c r="BU197" s="8"/>
      <c r="BV197" s="8"/>
      <c r="BW197" s="8"/>
      <c r="BX197" s="8"/>
      <c r="BY197" s="8"/>
      <c r="BZ197" s="8"/>
    </row>
    <row r="198" spans="1:78" ht="13" customHeight="1" x14ac:dyDescent="0.15">
      <c r="A198" s="8" t="s">
        <v>6188</v>
      </c>
      <c r="B198" s="8" t="s">
        <v>74</v>
      </c>
      <c r="C198" s="9">
        <v>2009</v>
      </c>
      <c r="D198" s="8" t="s">
        <v>3698</v>
      </c>
      <c r="E198" s="8" t="s">
        <v>3699</v>
      </c>
      <c r="F198" s="8" t="s">
        <v>3700</v>
      </c>
      <c r="G198" s="8" t="str" cm="1">
        <f t="array" ref="G198">LOWER(CleanCode(F198))</f>
        <v>illnessofthemindorillnessofthespiritmentalhealthrelatedconceptualizationandpracticesofolderiranianimmigrants</v>
      </c>
      <c r="H198" s="8"/>
      <c r="I198" s="8"/>
      <c r="J198" s="8" t="s">
        <v>3704</v>
      </c>
      <c r="K198" s="8"/>
      <c r="L198" s="8"/>
      <c r="M198" s="8" t="s">
        <v>3701</v>
      </c>
      <c r="N198" s="8" t="str">
        <f t="shared" si="3"/>
        <v>Health &amp; Social Work</v>
      </c>
      <c r="O198" s="8" t="s">
        <v>3708</v>
      </c>
      <c r="P198" s="8" t="s">
        <v>69</v>
      </c>
      <c r="Q198" s="8" t="s">
        <v>69</v>
      </c>
      <c r="R198" s="8"/>
      <c r="S198" s="8">
        <v>34</v>
      </c>
      <c r="T198" s="8">
        <v>2</v>
      </c>
      <c r="U198" s="8">
        <v>117</v>
      </c>
      <c r="V198" s="8">
        <v>126</v>
      </c>
      <c r="W198" s="8">
        <v>10</v>
      </c>
      <c r="X198" s="8"/>
      <c r="Y198" s="8">
        <v>50</v>
      </c>
      <c r="Z198" s="8">
        <v>15</v>
      </c>
      <c r="AA198" s="8">
        <v>15</v>
      </c>
      <c r="AB198" s="8">
        <v>2</v>
      </c>
      <c r="AC198" s="8">
        <v>13</v>
      </c>
      <c r="AD198" s="8" t="s">
        <v>3713</v>
      </c>
      <c r="AE198" s="8" t="s">
        <v>3711</v>
      </c>
      <c r="AF198" s="8">
        <v>19425341</v>
      </c>
      <c r="AG198" s="8" t="s">
        <v>3673</v>
      </c>
      <c r="AH198" s="8" t="s">
        <v>1184</v>
      </c>
      <c r="AI198" s="8" t="s">
        <v>3674</v>
      </c>
      <c r="AJ198" s="8" t="s">
        <v>3703</v>
      </c>
      <c r="AK198" s="8" t="s">
        <v>3702</v>
      </c>
      <c r="AL198" s="8"/>
      <c r="AM198" s="8"/>
      <c r="AN198" s="8"/>
      <c r="AO198" s="8"/>
      <c r="AP198" s="8"/>
      <c r="AQ198" s="8"/>
      <c r="AR198" s="8"/>
      <c r="AS198" s="8"/>
      <c r="AT198" s="8"/>
      <c r="AU198" s="8"/>
      <c r="AV198" s="8"/>
      <c r="AW198" s="8"/>
      <c r="AX198" s="8"/>
      <c r="AY198" s="8"/>
      <c r="AZ198" s="8"/>
      <c r="BA198" s="8"/>
      <c r="BB198" s="8"/>
      <c r="BC198" s="8"/>
      <c r="BD198" s="8"/>
      <c r="BE198" s="8"/>
      <c r="BF198" s="8"/>
      <c r="BG198" s="8"/>
      <c r="BH198" s="8"/>
      <c r="BI198" s="8"/>
      <c r="BJ198" s="8"/>
      <c r="BK198" s="8"/>
      <c r="BL198" s="8"/>
      <c r="BM198" s="8"/>
      <c r="BN198" s="8"/>
      <c r="BO198" s="8"/>
      <c r="BP198" s="8"/>
      <c r="BQ198" s="8"/>
      <c r="BR198" s="8"/>
      <c r="BS198" s="8"/>
      <c r="BT198" s="8"/>
      <c r="BU198" s="8"/>
      <c r="BV198" s="8"/>
      <c r="BW198" s="8"/>
      <c r="BX198" s="8"/>
      <c r="BY198" s="8"/>
      <c r="BZ198" s="8"/>
    </row>
    <row r="199" spans="1:78" ht="13" customHeight="1" x14ac:dyDescent="0.15">
      <c r="A199" s="8" t="s">
        <v>6188</v>
      </c>
      <c r="B199" s="8" t="s">
        <v>74</v>
      </c>
      <c r="C199" s="9">
        <v>2009</v>
      </c>
      <c r="D199" s="8" t="s">
        <v>3714</v>
      </c>
      <c r="E199" s="8" t="s">
        <v>3715</v>
      </c>
      <c r="F199" s="8" t="s">
        <v>3716</v>
      </c>
      <c r="G199" s="8" t="str" cm="1">
        <f t="array" ref="G199">LOWER(CleanCode(F199))</f>
        <v>enculturationnotacculturationconceptualisingandassessingidentityprocessesinmigrantcommunities</v>
      </c>
      <c r="H199" s="8"/>
      <c r="I199" s="8"/>
      <c r="J199" s="8" t="s">
        <v>3718</v>
      </c>
      <c r="K199" s="8"/>
      <c r="L199" s="8"/>
      <c r="M199" s="8" t="s">
        <v>762</v>
      </c>
      <c r="N199" s="8" t="str">
        <f t="shared" si="3"/>
        <v>International Journal Of Intercultural Relations</v>
      </c>
      <c r="O199" s="8" t="s">
        <v>774</v>
      </c>
      <c r="P199" s="8" t="s">
        <v>69</v>
      </c>
      <c r="Q199" s="8" t="s">
        <v>69</v>
      </c>
      <c r="R199" s="8"/>
      <c r="S199" s="8">
        <v>33</v>
      </c>
      <c r="T199" s="8">
        <v>2</v>
      </c>
      <c r="U199" s="8">
        <v>124</v>
      </c>
      <c r="V199" s="8">
        <v>139</v>
      </c>
      <c r="W199" s="8">
        <v>16</v>
      </c>
      <c r="X199" s="8"/>
      <c r="Y199" s="8">
        <v>78</v>
      </c>
      <c r="Z199" s="8">
        <v>81</v>
      </c>
      <c r="AA199" s="8">
        <v>81</v>
      </c>
      <c r="AB199" s="8">
        <v>0</v>
      </c>
      <c r="AC199" s="8">
        <v>16</v>
      </c>
      <c r="AD199" s="8" t="s">
        <v>3724</v>
      </c>
      <c r="AE199" s="8" t="s">
        <v>3722</v>
      </c>
      <c r="AF199" s="8" t="s">
        <v>69</v>
      </c>
      <c r="AG199" s="8" t="s">
        <v>771</v>
      </c>
      <c r="AH199" s="8" t="s">
        <v>772</v>
      </c>
      <c r="AI199" s="8" t="s">
        <v>773</v>
      </c>
      <c r="AJ199" s="8" t="s">
        <v>69</v>
      </c>
      <c r="AK199" s="8" t="s">
        <v>3717</v>
      </c>
      <c r="AL199" s="8"/>
      <c r="AM199" s="8"/>
      <c r="AN199" s="8"/>
      <c r="AO199" s="8"/>
      <c r="AP199" s="8"/>
      <c r="AQ199" s="8"/>
      <c r="AR199" s="8"/>
      <c r="AS199" s="8"/>
      <c r="AT199" s="8"/>
      <c r="AU199" s="8"/>
      <c r="AV199" s="8"/>
      <c r="AW199" s="8"/>
      <c r="AX199" s="8"/>
      <c r="AY199" s="8"/>
      <c r="AZ199" s="8"/>
      <c r="BA199" s="8"/>
      <c r="BB199" s="8"/>
      <c r="BC199" s="8"/>
      <c r="BD199" s="8"/>
      <c r="BE199" s="8"/>
      <c r="BF199" s="8"/>
      <c r="BG199" s="8"/>
      <c r="BH199" s="8"/>
      <c r="BI199" s="8"/>
      <c r="BJ199" s="8"/>
      <c r="BK199" s="8"/>
      <c r="BL199" s="8"/>
      <c r="BM199" s="8"/>
      <c r="BN199" s="8"/>
      <c r="BO199" s="8"/>
      <c r="BP199" s="8"/>
      <c r="BQ199" s="8"/>
      <c r="BR199" s="8"/>
      <c r="BS199" s="8"/>
      <c r="BT199" s="8"/>
      <c r="BU199" s="8"/>
      <c r="BV199" s="8"/>
      <c r="BW199" s="8"/>
      <c r="BX199" s="8"/>
      <c r="BY199" s="8"/>
      <c r="BZ199" s="8"/>
    </row>
    <row r="200" spans="1:78" ht="13" customHeight="1" x14ac:dyDescent="0.15">
      <c r="A200" s="8" t="s">
        <v>6188</v>
      </c>
      <c r="B200" s="8" t="s">
        <v>74</v>
      </c>
      <c r="C200" s="9">
        <v>2009</v>
      </c>
      <c r="D200" s="8" t="s">
        <v>3725</v>
      </c>
      <c r="E200" s="8" t="s">
        <v>3726</v>
      </c>
      <c r="F200" s="8" t="s">
        <v>3727</v>
      </c>
      <c r="G200" s="8" t="str" cm="1">
        <f t="array" ref="G200">LOWER(CleanCode(F200))</f>
        <v>theorizingidentityintransnationalanddiasporaculturesacriticalapproachtoacculturation</v>
      </c>
      <c r="H200" s="8"/>
      <c r="I200" s="8"/>
      <c r="J200" s="8" t="s">
        <v>3729</v>
      </c>
      <c r="K200" s="8"/>
      <c r="L200" s="8"/>
      <c r="M200" s="8" t="s">
        <v>762</v>
      </c>
      <c r="N200" s="8" t="str">
        <f t="shared" si="3"/>
        <v>International Journal Of Intercultural Relations</v>
      </c>
      <c r="O200" s="8" t="s">
        <v>774</v>
      </c>
      <c r="P200" s="8" t="s">
        <v>775</v>
      </c>
      <c r="Q200" s="8" t="s">
        <v>69</v>
      </c>
      <c r="R200" s="8"/>
      <c r="S200" s="8">
        <v>33</v>
      </c>
      <c r="T200" s="8">
        <v>2</v>
      </c>
      <c r="U200" s="8">
        <v>140</v>
      </c>
      <c r="V200" s="8">
        <v>149</v>
      </c>
      <c r="W200" s="8">
        <v>10</v>
      </c>
      <c r="X200" s="8"/>
      <c r="Y200" s="8">
        <v>34</v>
      </c>
      <c r="Z200" s="8">
        <v>109</v>
      </c>
      <c r="AA200" s="8">
        <v>110</v>
      </c>
      <c r="AB200" s="8">
        <v>1</v>
      </c>
      <c r="AC200" s="8">
        <v>51</v>
      </c>
      <c r="AD200" s="8" t="s">
        <v>3734</v>
      </c>
      <c r="AE200" s="8" t="s">
        <v>3733</v>
      </c>
      <c r="AF200" s="8" t="s">
        <v>69</v>
      </c>
      <c r="AG200" s="8" t="s">
        <v>771</v>
      </c>
      <c r="AH200" s="8" t="s">
        <v>772</v>
      </c>
      <c r="AI200" s="8" t="s">
        <v>773</v>
      </c>
      <c r="AJ200" s="8" t="s">
        <v>69</v>
      </c>
      <c r="AK200" s="8" t="s">
        <v>3728</v>
      </c>
      <c r="AL200" s="8"/>
      <c r="AM200" s="8"/>
      <c r="AN200" s="8"/>
      <c r="AO200" s="8"/>
      <c r="AP200" s="8"/>
      <c r="AQ200" s="8"/>
      <c r="AR200" s="8"/>
      <c r="AS200" s="8"/>
      <c r="AT200" s="8"/>
      <c r="AU200" s="8"/>
      <c r="AV200" s="8"/>
      <c r="AW200" s="8"/>
      <c r="AX200" s="8"/>
      <c r="AY200" s="8"/>
      <c r="AZ200" s="8"/>
      <c r="BA200" s="8"/>
      <c r="BB200" s="8"/>
      <c r="BC200" s="8"/>
      <c r="BD200" s="8"/>
      <c r="BE200" s="8"/>
      <c r="BF200" s="8"/>
      <c r="BG200" s="8"/>
      <c r="BH200" s="8"/>
      <c r="BI200" s="8"/>
      <c r="BJ200" s="8"/>
      <c r="BK200" s="8"/>
      <c r="BL200" s="8"/>
      <c r="BM200" s="8"/>
      <c r="BN200" s="8"/>
      <c r="BO200" s="8"/>
      <c r="BP200" s="8"/>
      <c r="BQ200" s="8"/>
      <c r="BR200" s="8"/>
      <c r="BS200" s="8"/>
      <c r="BT200" s="8"/>
      <c r="BU200" s="8"/>
      <c r="BV200" s="8"/>
      <c r="BW200" s="8"/>
      <c r="BX200" s="8"/>
      <c r="BY200" s="8"/>
      <c r="BZ200" s="8"/>
    </row>
    <row r="201" spans="1:78" ht="13" customHeight="1" x14ac:dyDescent="0.15">
      <c r="A201" s="8" t="s">
        <v>6188</v>
      </c>
      <c r="B201" s="8" t="s">
        <v>318</v>
      </c>
      <c r="C201" s="9">
        <v>2009</v>
      </c>
      <c r="D201" s="8" t="s">
        <v>3735</v>
      </c>
      <c r="E201" s="8" t="s">
        <v>3736</v>
      </c>
      <c r="F201" s="8" t="s">
        <v>3737</v>
      </c>
      <c r="G201" s="8" t="str" cm="1">
        <f t="array" ref="G201">LOWER(CleanCode(F201))</f>
        <v>culturalexplanationsforracialandethnicstratificationinacademicachievementacallforanewandimprovedtheory</v>
      </c>
      <c r="H201" s="8"/>
      <c r="I201" s="8"/>
      <c r="J201" s="8" t="s">
        <v>3741</v>
      </c>
      <c r="K201" s="8"/>
      <c r="L201" s="8"/>
      <c r="M201" s="8" t="s">
        <v>3738</v>
      </c>
      <c r="N201" s="8" t="str">
        <f t="shared" si="3"/>
        <v>Review Of Educational Research</v>
      </c>
      <c r="O201" s="8" t="s">
        <v>3745</v>
      </c>
      <c r="P201" s="8" t="s">
        <v>3746</v>
      </c>
      <c r="Q201" s="8" t="s">
        <v>69</v>
      </c>
      <c r="R201" s="8"/>
      <c r="S201" s="8">
        <v>79</v>
      </c>
      <c r="T201" s="8">
        <v>1</v>
      </c>
      <c r="U201" s="8">
        <v>366</v>
      </c>
      <c r="V201" s="8">
        <v>394</v>
      </c>
      <c r="W201" s="8">
        <v>29</v>
      </c>
      <c r="X201" s="8"/>
      <c r="Y201" s="8">
        <v>174</v>
      </c>
      <c r="Z201" s="8">
        <v>98</v>
      </c>
      <c r="AA201" s="8">
        <v>98</v>
      </c>
      <c r="AB201" s="8">
        <v>1</v>
      </c>
      <c r="AC201" s="8">
        <v>58</v>
      </c>
      <c r="AD201" s="8" t="s">
        <v>3751</v>
      </c>
      <c r="AE201" s="8" t="s">
        <v>3749</v>
      </c>
      <c r="AF201" s="8" t="s">
        <v>69</v>
      </c>
      <c r="AG201" s="8" t="s">
        <v>180</v>
      </c>
      <c r="AH201" s="8" t="s">
        <v>181</v>
      </c>
      <c r="AI201" s="8" t="s">
        <v>182</v>
      </c>
      <c r="AJ201" s="8" t="s">
        <v>3740</v>
      </c>
      <c r="AK201" s="8" t="s">
        <v>3739</v>
      </c>
      <c r="AL201" s="8"/>
      <c r="AM201" s="8"/>
      <c r="AN201" s="8"/>
      <c r="AO201" s="8"/>
      <c r="AP201" s="8"/>
      <c r="AQ201" s="8"/>
      <c r="AR201" s="8"/>
      <c r="AS201" s="8"/>
      <c r="AT201" s="8"/>
      <c r="AU201" s="8"/>
      <c r="AV201" s="8"/>
      <c r="AW201" s="8"/>
      <c r="AX201" s="8"/>
      <c r="AY201" s="8"/>
      <c r="AZ201" s="8"/>
      <c r="BA201" s="8"/>
      <c r="BB201" s="8"/>
      <c r="BC201" s="8"/>
      <c r="BD201" s="8"/>
      <c r="BE201" s="8"/>
      <c r="BF201" s="8"/>
      <c r="BG201" s="8"/>
      <c r="BH201" s="8"/>
      <c r="BI201" s="8"/>
      <c r="BJ201" s="8"/>
      <c r="BK201" s="8"/>
      <c r="BL201" s="8"/>
      <c r="BM201" s="8"/>
      <c r="BN201" s="8"/>
      <c r="BO201" s="8"/>
      <c r="BP201" s="8"/>
      <c r="BQ201" s="8"/>
      <c r="BR201" s="8"/>
      <c r="BS201" s="8"/>
      <c r="BT201" s="8"/>
      <c r="BU201" s="8"/>
      <c r="BV201" s="8"/>
      <c r="BW201" s="8"/>
      <c r="BX201" s="8"/>
      <c r="BY201" s="8"/>
      <c r="BZ201" s="8"/>
    </row>
    <row r="202" spans="1:78" ht="13" customHeight="1" x14ac:dyDescent="0.15">
      <c r="A202" s="8" t="s">
        <v>6188</v>
      </c>
      <c r="B202" s="8" t="s">
        <v>74</v>
      </c>
      <c r="C202" s="9">
        <v>2009</v>
      </c>
      <c r="D202" s="8" t="s">
        <v>3752</v>
      </c>
      <c r="E202" s="8" t="s">
        <v>3753</v>
      </c>
      <c r="F202" s="8" t="s">
        <v>3754</v>
      </c>
      <c r="G202" s="8" t="str" cm="1">
        <f t="array" ref="G202">LOWER(CleanCode(F202))</f>
        <v>theadaptationoftheimmigrantsecondgenerationinamericaatheoreticaloverviewandrecentevidence</v>
      </c>
      <c r="H202" s="8"/>
      <c r="I202" s="8"/>
      <c r="J202" s="8" t="s">
        <v>3757</v>
      </c>
      <c r="K202" s="8"/>
      <c r="L202" s="8"/>
      <c r="M202" s="8" t="s">
        <v>1726</v>
      </c>
      <c r="N202" s="8" t="str">
        <f t="shared" si="3"/>
        <v>Journal Of Ethnic And Migration Studies</v>
      </c>
      <c r="O202" s="8" t="s">
        <v>1734</v>
      </c>
      <c r="P202" s="8" t="s">
        <v>1735</v>
      </c>
      <c r="Q202" s="8" t="s">
        <v>69</v>
      </c>
      <c r="R202" s="8"/>
      <c r="S202" s="8">
        <v>35</v>
      </c>
      <c r="T202" s="8">
        <v>7</v>
      </c>
      <c r="U202" s="8">
        <v>1077</v>
      </c>
      <c r="V202" s="8">
        <v>1104</v>
      </c>
      <c r="W202" s="8">
        <v>28</v>
      </c>
      <c r="X202" s="8"/>
      <c r="Y202" s="8">
        <v>37</v>
      </c>
      <c r="Z202" s="8">
        <v>172</v>
      </c>
      <c r="AA202" s="8">
        <v>175</v>
      </c>
      <c r="AB202" s="8">
        <v>4</v>
      </c>
      <c r="AC202" s="8">
        <v>59</v>
      </c>
      <c r="AD202" s="8" t="s">
        <v>3766</v>
      </c>
      <c r="AE202" s="8" t="s">
        <v>3764</v>
      </c>
      <c r="AF202" s="8">
        <v>23626483</v>
      </c>
      <c r="AG202" s="8" t="s">
        <v>108</v>
      </c>
      <c r="AH202" s="8" t="s">
        <v>109</v>
      </c>
      <c r="AI202" s="8" t="s">
        <v>110</v>
      </c>
      <c r="AJ202" s="8" t="s">
        <v>3756</v>
      </c>
      <c r="AK202" s="8" t="s">
        <v>3755</v>
      </c>
      <c r="AL202" s="8"/>
      <c r="AM202" s="8"/>
      <c r="AN202" s="8"/>
      <c r="AO202" s="8"/>
      <c r="AP202" s="8"/>
      <c r="AQ202" s="8"/>
      <c r="AR202" s="8"/>
      <c r="AS202" s="8"/>
      <c r="AT202" s="8"/>
      <c r="AU202" s="8"/>
      <c r="AV202" s="8"/>
      <c r="AW202" s="8"/>
      <c r="AX202" s="8"/>
      <c r="AY202" s="8"/>
      <c r="AZ202" s="8"/>
      <c r="BA202" s="8"/>
      <c r="BB202" s="8"/>
      <c r="BC202" s="8"/>
      <c r="BD202" s="8"/>
      <c r="BE202" s="8"/>
      <c r="BF202" s="8"/>
      <c r="BG202" s="8"/>
      <c r="BH202" s="8"/>
      <c r="BI202" s="8"/>
      <c r="BJ202" s="8"/>
      <c r="BK202" s="8"/>
      <c r="BL202" s="8"/>
      <c r="BM202" s="8"/>
      <c r="BN202" s="8"/>
      <c r="BO202" s="8"/>
      <c r="BP202" s="8"/>
      <c r="BQ202" s="8"/>
      <c r="BR202" s="8"/>
      <c r="BS202" s="8"/>
      <c r="BT202" s="8"/>
      <c r="BU202" s="8"/>
      <c r="BV202" s="8"/>
      <c r="BW202" s="8"/>
      <c r="BX202" s="8"/>
      <c r="BY202" s="8"/>
      <c r="BZ202" s="8"/>
    </row>
    <row r="203" spans="1:78" ht="13" customHeight="1" x14ac:dyDescent="0.15">
      <c r="A203" s="8" t="s">
        <v>6188</v>
      </c>
      <c r="B203" s="8" t="s">
        <v>74</v>
      </c>
      <c r="C203" s="9">
        <v>2008</v>
      </c>
      <c r="D203" s="8" t="s">
        <v>3767</v>
      </c>
      <c r="E203" s="8" t="s">
        <v>3768</v>
      </c>
      <c r="F203" s="8" t="s">
        <v>3769</v>
      </c>
      <c r="G203" s="8" t="str" cm="1">
        <f t="array" ref="G203">LOWER(CleanCode(F203))</f>
        <v>ethniccommunitiesandschoolperformanceamongthenewsecondgenerationintheunitedstatestestingthetheoryofsegmentedassimilation</v>
      </c>
      <c r="H203" s="8"/>
      <c r="I203" s="8"/>
      <c r="J203" s="8" t="s">
        <v>3772</v>
      </c>
      <c r="K203" s="8"/>
      <c r="L203" s="8"/>
      <c r="M203" s="8" t="s">
        <v>1929</v>
      </c>
      <c r="N203" s="8" t="str">
        <f t="shared" si="3"/>
        <v>Annals Of The American Academy Of Political And Social Science</v>
      </c>
      <c r="O203" s="8" t="s">
        <v>1936</v>
      </c>
      <c r="P203" s="8" t="s">
        <v>1937</v>
      </c>
      <c r="Q203" s="8" t="s">
        <v>69</v>
      </c>
      <c r="R203" s="8"/>
      <c r="S203" s="8">
        <v>620</v>
      </c>
      <c r="T203" s="8" t="s">
        <v>69</v>
      </c>
      <c r="U203" s="8">
        <v>138</v>
      </c>
      <c r="V203" s="8">
        <v>160</v>
      </c>
      <c r="W203" s="8">
        <v>23</v>
      </c>
      <c r="X203" s="8"/>
      <c r="Y203" s="8">
        <v>52</v>
      </c>
      <c r="Z203" s="8">
        <v>35</v>
      </c>
      <c r="AA203" s="8">
        <v>36</v>
      </c>
      <c r="AB203" s="8">
        <v>0</v>
      </c>
      <c r="AC203" s="8">
        <v>18</v>
      </c>
      <c r="AD203" s="8" t="s">
        <v>3779</v>
      </c>
      <c r="AE203" s="8" t="s">
        <v>3777</v>
      </c>
      <c r="AF203" s="8" t="s">
        <v>69</v>
      </c>
      <c r="AG203" s="8" t="s">
        <v>180</v>
      </c>
      <c r="AH203" s="8" t="s">
        <v>181</v>
      </c>
      <c r="AI203" s="8" t="s">
        <v>182</v>
      </c>
      <c r="AJ203" s="8" t="s">
        <v>3771</v>
      </c>
      <c r="AK203" s="8" t="s">
        <v>3770</v>
      </c>
      <c r="AL203" s="8"/>
      <c r="AM203" s="8"/>
      <c r="AN203" s="8"/>
      <c r="AO203" s="8"/>
      <c r="AP203" s="8"/>
      <c r="AQ203" s="8"/>
      <c r="AR203" s="8"/>
      <c r="AS203" s="8"/>
      <c r="AT203" s="8"/>
      <c r="AU203" s="8"/>
      <c r="AV203" s="8"/>
      <c r="AW203" s="8"/>
      <c r="AX203" s="8"/>
      <c r="AY203" s="8"/>
      <c r="AZ203" s="8"/>
      <c r="BA203" s="8"/>
      <c r="BB203" s="8"/>
      <c r="BC203" s="8"/>
      <c r="BD203" s="8"/>
      <c r="BE203" s="8"/>
      <c r="BF203" s="8"/>
      <c r="BG203" s="8"/>
      <c r="BH203" s="8"/>
      <c r="BI203" s="8"/>
      <c r="BJ203" s="8"/>
      <c r="BK203" s="8"/>
      <c r="BL203" s="8"/>
      <c r="BM203" s="8"/>
      <c r="BN203" s="8"/>
      <c r="BO203" s="8"/>
      <c r="BP203" s="8"/>
      <c r="BQ203" s="8"/>
      <c r="BR203" s="8"/>
      <c r="BS203" s="8"/>
      <c r="BT203" s="8"/>
      <c r="BU203" s="8"/>
      <c r="BV203" s="8"/>
      <c r="BW203" s="8"/>
      <c r="BX203" s="8"/>
      <c r="BY203" s="8"/>
      <c r="BZ203" s="8"/>
    </row>
    <row r="204" spans="1:78" ht="13" customHeight="1" x14ac:dyDescent="0.15">
      <c r="A204" s="8" t="s">
        <v>6188</v>
      </c>
      <c r="B204" s="8" t="s">
        <v>74</v>
      </c>
      <c r="C204" s="9">
        <v>2008</v>
      </c>
      <c r="D204" s="8" t="s">
        <v>3780</v>
      </c>
      <c r="E204" s="8" t="s">
        <v>3781</v>
      </c>
      <c r="F204" s="8" t="s">
        <v>3782</v>
      </c>
      <c r="G204" s="8" t="str" cm="1">
        <f t="array" ref="G204">LOWER(CleanCode(F204))</f>
        <v>multiculturaleducationrajsstoryusingacurricularconceptuallensoftheparticular</v>
      </c>
      <c r="H204" s="8"/>
      <c r="I204" s="8"/>
      <c r="J204" s="8" t="s">
        <v>3786</v>
      </c>
      <c r="K204" s="8"/>
      <c r="L204" s="8"/>
      <c r="M204" s="8" t="s">
        <v>3783</v>
      </c>
      <c r="N204" s="8" t="str">
        <f t="shared" si="3"/>
        <v>Teaching And Teacher Education</v>
      </c>
      <c r="O204" s="8" t="s">
        <v>3791</v>
      </c>
      <c r="P204" s="8" t="s">
        <v>69</v>
      </c>
      <c r="Q204" s="8" t="s">
        <v>69</v>
      </c>
      <c r="R204" s="8"/>
      <c r="S204" s="8">
        <v>24</v>
      </c>
      <c r="T204" s="8">
        <v>7</v>
      </c>
      <c r="U204" s="8">
        <v>1705</v>
      </c>
      <c r="V204" s="8">
        <v>1716</v>
      </c>
      <c r="W204" s="8">
        <v>12</v>
      </c>
      <c r="X204" s="8"/>
      <c r="Y204" s="8">
        <v>63</v>
      </c>
      <c r="Z204" s="8">
        <v>10</v>
      </c>
      <c r="AA204" s="8">
        <v>10</v>
      </c>
      <c r="AB204" s="8">
        <v>1</v>
      </c>
      <c r="AC204" s="8">
        <v>14</v>
      </c>
      <c r="AD204" s="8" t="s">
        <v>3796</v>
      </c>
      <c r="AE204" s="8" t="s">
        <v>3794</v>
      </c>
      <c r="AF204" s="8" t="s">
        <v>69</v>
      </c>
      <c r="AG204" s="8" t="s">
        <v>771</v>
      </c>
      <c r="AH204" s="8" t="s">
        <v>772</v>
      </c>
      <c r="AI204" s="8" t="s">
        <v>773</v>
      </c>
      <c r="AJ204" s="8" t="s">
        <v>3785</v>
      </c>
      <c r="AK204" s="8" t="s">
        <v>3784</v>
      </c>
      <c r="AL204" s="8"/>
      <c r="AM204" s="8"/>
      <c r="AN204" s="8"/>
      <c r="AO204" s="8"/>
      <c r="AP204" s="8"/>
      <c r="AQ204" s="8"/>
      <c r="AR204" s="8"/>
      <c r="AS204" s="8"/>
      <c r="AT204" s="8"/>
      <c r="AU204" s="8"/>
      <c r="AV204" s="8"/>
      <c r="AW204" s="8"/>
      <c r="AX204" s="8"/>
      <c r="AY204" s="8"/>
      <c r="AZ204" s="8"/>
      <c r="BA204" s="8"/>
      <c r="BB204" s="8"/>
      <c r="BC204" s="8"/>
      <c r="BD204" s="8"/>
      <c r="BE204" s="8"/>
      <c r="BF204" s="8"/>
      <c r="BG204" s="8"/>
      <c r="BH204" s="8"/>
      <c r="BI204" s="8"/>
      <c r="BJ204" s="8"/>
      <c r="BK204" s="8"/>
      <c r="BL204" s="8"/>
      <c r="BM204" s="8"/>
      <c r="BN204" s="8"/>
      <c r="BO204" s="8"/>
      <c r="BP204" s="8"/>
      <c r="BQ204" s="8"/>
      <c r="BR204" s="8"/>
      <c r="BS204" s="8"/>
      <c r="BT204" s="8"/>
      <c r="BU204" s="8"/>
      <c r="BV204" s="8"/>
      <c r="BW204" s="8"/>
      <c r="BX204" s="8"/>
      <c r="BY204" s="8"/>
      <c r="BZ204" s="8"/>
    </row>
    <row r="205" spans="1:78" ht="13" customHeight="1" x14ac:dyDescent="0.15">
      <c r="A205" s="8" t="s">
        <v>6188</v>
      </c>
      <c r="B205" s="8" t="s">
        <v>74</v>
      </c>
      <c r="C205" s="9">
        <v>2008</v>
      </c>
      <c r="D205" s="8" t="s">
        <v>3797</v>
      </c>
      <c r="E205" s="8" t="s">
        <v>3798</v>
      </c>
      <c r="F205" s="8" t="s">
        <v>3799</v>
      </c>
      <c r="G205" s="8" t="str" cm="1">
        <f t="array" ref="G205">LOWER(CleanCode(F205))</f>
        <v>earlymigrationsconquestsandcommonancestrytheorizingjapaneseoriginsinrelationwithkorea</v>
      </c>
      <c r="H205" s="8"/>
      <c r="I205" s="8"/>
      <c r="J205" s="8" t="s">
        <v>3803</v>
      </c>
      <c r="K205" s="8"/>
      <c r="L205" s="8"/>
      <c r="M205" s="8" t="s">
        <v>3800</v>
      </c>
      <c r="N205" s="8" t="str">
        <f t="shared" si="3"/>
        <v>Sungkyun Journal Of East Asian Studies</v>
      </c>
      <c r="O205" s="8" t="s">
        <v>3810</v>
      </c>
      <c r="P205" s="8" t="s">
        <v>69</v>
      </c>
      <c r="Q205" s="8" t="s">
        <v>69</v>
      </c>
      <c r="R205" s="8"/>
      <c r="S205" s="8">
        <v>8</v>
      </c>
      <c r="T205" s="8">
        <v>1</v>
      </c>
      <c r="U205" s="8">
        <v>105</v>
      </c>
      <c r="V205" s="8">
        <v>130</v>
      </c>
      <c r="W205" s="8">
        <v>26</v>
      </c>
      <c r="X205" s="8"/>
      <c r="Y205" s="8">
        <v>67</v>
      </c>
      <c r="Z205" s="8">
        <v>1</v>
      </c>
      <c r="AA205" s="8">
        <v>1</v>
      </c>
      <c r="AB205" s="8">
        <v>0</v>
      </c>
      <c r="AC205" s="8">
        <v>4</v>
      </c>
      <c r="AD205" s="8" t="s">
        <v>3815</v>
      </c>
      <c r="AE205" s="8" t="s">
        <v>69</v>
      </c>
      <c r="AF205" s="8" t="s">
        <v>69</v>
      </c>
      <c r="AG205" s="8" t="s">
        <v>3807</v>
      </c>
      <c r="AH205" s="8" t="s">
        <v>3808</v>
      </c>
      <c r="AI205" s="8" t="s">
        <v>3809</v>
      </c>
      <c r="AJ205" s="8" t="s">
        <v>3802</v>
      </c>
      <c r="AK205" s="8" t="s">
        <v>3801</v>
      </c>
      <c r="AL205" s="8"/>
      <c r="AM205" s="8"/>
      <c r="AN205" s="8"/>
      <c r="AO205" s="8"/>
      <c r="AP205" s="8"/>
      <c r="AQ205" s="8"/>
      <c r="AR205" s="8"/>
      <c r="AS205" s="8"/>
      <c r="AT205" s="8"/>
      <c r="AU205" s="8"/>
      <c r="AV205" s="8"/>
      <c r="AW205" s="8"/>
      <c r="AX205" s="8"/>
      <c r="AY205" s="8"/>
      <c r="AZ205" s="8"/>
      <c r="BA205" s="8"/>
      <c r="BB205" s="8"/>
      <c r="BC205" s="8"/>
      <c r="BD205" s="8"/>
      <c r="BE205" s="8"/>
      <c r="BF205" s="8"/>
      <c r="BG205" s="8"/>
      <c r="BH205" s="8"/>
      <c r="BI205" s="8"/>
      <c r="BJ205" s="8"/>
      <c r="BK205" s="8"/>
      <c r="BL205" s="8"/>
      <c r="BM205" s="8"/>
      <c r="BN205" s="8"/>
      <c r="BO205" s="8"/>
      <c r="BP205" s="8"/>
      <c r="BQ205" s="8"/>
      <c r="BR205" s="8"/>
      <c r="BS205" s="8"/>
      <c r="BT205" s="8"/>
      <c r="BU205" s="8"/>
      <c r="BV205" s="8"/>
      <c r="BW205" s="8"/>
      <c r="BX205" s="8"/>
      <c r="BY205" s="8"/>
      <c r="BZ205" s="8"/>
    </row>
    <row r="206" spans="1:78" ht="13" customHeight="1" x14ac:dyDescent="0.15">
      <c r="A206" s="8" t="s">
        <v>6188</v>
      </c>
      <c r="B206" s="8" t="s">
        <v>969</v>
      </c>
      <c r="C206" s="9">
        <v>2008</v>
      </c>
      <c r="D206" s="8" t="s">
        <v>3021</v>
      </c>
      <c r="E206" s="8" t="s">
        <v>3022</v>
      </c>
      <c r="F206" s="8" t="s">
        <v>3816</v>
      </c>
      <c r="G206" s="8" t="str" cm="1">
        <f t="array" ref="G206">LOWER(CleanCode(F206))</f>
        <v>amultilevelresearchframeworkfortheanalysesofattitudestowardimmigrants</v>
      </c>
      <c r="H206" s="8"/>
      <c r="I206" s="8"/>
      <c r="J206" s="8" t="s">
        <v>3823</v>
      </c>
      <c r="K206" s="8"/>
      <c r="L206" s="8"/>
      <c r="M206" s="8" t="s">
        <v>762</v>
      </c>
      <c r="N206" s="8" t="str">
        <f t="shared" si="3"/>
        <v>International Journal Of Intercultural Relations</v>
      </c>
      <c r="O206" s="8" t="s">
        <v>774</v>
      </c>
      <c r="P206" s="8" t="s">
        <v>69</v>
      </c>
      <c r="Q206" s="8" t="s">
        <v>69</v>
      </c>
      <c r="R206" s="8"/>
      <c r="S206" s="8">
        <v>32</v>
      </c>
      <c r="T206" s="8">
        <v>2</v>
      </c>
      <c r="U206" s="8">
        <v>115</v>
      </c>
      <c r="V206" s="8">
        <v>129</v>
      </c>
      <c r="W206" s="8">
        <v>15</v>
      </c>
      <c r="X206" s="8"/>
      <c r="Y206" s="8">
        <v>49</v>
      </c>
      <c r="Z206" s="8">
        <v>39</v>
      </c>
      <c r="AA206" s="8">
        <v>39</v>
      </c>
      <c r="AB206" s="8">
        <v>1</v>
      </c>
      <c r="AC206" s="8">
        <v>78</v>
      </c>
      <c r="AD206" s="8" t="s">
        <v>3829</v>
      </c>
      <c r="AE206" s="8" t="s">
        <v>3827</v>
      </c>
      <c r="AF206" s="8" t="s">
        <v>69</v>
      </c>
      <c r="AG206" s="8" t="s">
        <v>771</v>
      </c>
      <c r="AH206" s="8" t="s">
        <v>772</v>
      </c>
      <c r="AI206" s="8" t="s">
        <v>773</v>
      </c>
      <c r="AJ206" s="8" t="s">
        <v>3822</v>
      </c>
      <c r="AK206" s="8" t="s">
        <v>3821</v>
      </c>
      <c r="AL206" s="8"/>
      <c r="AM206" s="8"/>
      <c r="AN206" s="8"/>
      <c r="AO206" s="8"/>
      <c r="AP206" s="8"/>
      <c r="AQ206" s="8"/>
      <c r="AR206" s="8"/>
      <c r="AS206" s="8"/>
      <c r="AT206" s="8"/>
      <c r="AU206" s="8"/>
      <c r="AV206" s="8"/>
      <c r="AW206" s="8"/>
      <c r="AX206" s="8"/>
      <c r="AY206" s="8"/>
      <c r="AZ206" s="8"/>
      <c r="BA206" s="8"/>
      <c r="BB206" s="8"/>
      <c r="BC206" s="8"/>
      <c r="BD206" s="8"/>
      <c r="BE206" s="8"/>
      <c r="BF206" s="8"/>
      <c r="BG206" s="8"/>
      <c r="BH206" s="8"/>
      <c r="BI206" s="8"/>
      <c r="BJ206" s="8"/>
      <c r="BK206" s="8"/>
      <c r="BL206" s="8"/>
      <c r="BM206" s="8"/>
      <c r="BN206" s="8"/>
      <c r="BO206" s="8"/>
      <c r="BP206" s="8"/>
      <c r="BQ206" s="8"/>
      <c r="BR206" s="8"/>
      <c r="BS206" s="8"/>
      <c r="BT206" s="8"/>
      <c r="BU206" s="8"/>
      <c r="BV206" s="8"/>
      <c r="BW206" s="8"/>
      <c r="BX206" s="8"/>
      <c r="BY206" s="8"/>
      <c r="BZ206" s="8"/>
    </row>
    <row r="207" spans="1:78" ht="13" customHeight="1" x14ac:dyDescent="0.15">
      <c r="A207" s="8" t="s">
        <v>6188</v>
      </c>
      <c r="B207" s="8" t="s">
        <v>74</v>
      </c>
      <c r="C207" s="9">
        <v>2008</v>
      </c>
      <c r="D207" s="8" t="s">
        <v>3830</v>
      </c>
      <c r="E207" s="8" t="s">
        <v>3831</v>
      </c>
      <c r="F207" s="8" t="s">
        <v>3832</v>
      </c>
      <c r="G207" s="8" t="str" cm="1">
        <f t="array" ref="G207">LOWER(CleanCode(F207))</f>
        <v>theoreticalperspectivesonpostmigrationadaptationandpsychologicalwellbeingamongrefugeestowardsaresourcebasedmodel</v>
      </c>
      <c r="H207" s="8"/>
      <c r="I207" s="8"/>
      <c r="J207" s="8" t="s">
        <v>3836</v>
      </c>
      <c r="K207" s="8"/>
      <c r="L207" s="8"/>
      <c r="M207" s="8" t="s">
        <v>3833</v>
      </c>
      <c r="N207" s="8" t="str">
        <f t="shared" si="3"/>
        <v>Journal Of Refugee Studies</v>
      </c>
      <c r="O207" s="8" t="s">
        <v>3842</v>
      </c>
      <c r="P207" s="8" t="s">
        <v>69</v>
      </c>
      <c r="Q207" s="8" t="s">
        <v>69</v>
      </c>
      <c r="R207" s="8"/>
      <c r="S207" s="8">
        <v>21</v>
      </c>
      <c r="T207" s="8">
        <v>1</v>
      </c>
      <c r="U207" s="8">
        <v>1</v>
      </c>
      <c r="V207" s="8">
        <v>18</v>
      </c>
      <c r="W207" s="8">
        <v>18</v>
      </c>
      <c r="X207" s="8"/>
      <c r="Y207" s="8">
        <v>34</v>
      </c>
      <c r="Z207" s="8">
        <v>110</v>
      </c>
      <c r="AA207" s="8">
        <v>110</v>
      </c>
      <c r="AB207" s="8">
        <v>1</v>
      </c>
      <c r="AC207" s="8">
        <v>22</v>
      </c>
      <c r="AD207" s="8" t="s">
        <v>3847</v>
      </c>
      <c r="AE207" s="8" t="s">
        <v>3845</v>
      </c>
      <c r="AF207" s="8" t="s">
        <v>69</v>
      </c>
      <c r="AG207" s="8" t="s">
        <v>2032</v>
      </c>
      <c r="AH207" s="8" t="s">
        <v>772</v>
      </c>
      <c r="AI207" s="8" t="s">
        <v>2033</v>
      </c>
      <c r="AJ207" s="8" t="s">
        <v>3835</v>
      </c>
      <c r="AK207" s="8" t="s">
        <v>3834</v>
      </c>
      <c r="AL207" s="8"/>
      <c r="AM207" s="8"/>
      <c r="AN207" s="8"/>
      <c r="AO207" s="8"/>
      <c r="AP207" s="8"/>
      <c r="AQ207" s="8"/>
      <c r="AR207" s="8"/>
      <c r="AS207" s="8"/>
      <c r="AT207" s="8"/>
      <c r="AU207" s="8"/>
      <c r="AV207" s="8"/>
      <c r="AW207" s="8"/>
      <c r="AX207" s="8"/>
      <c r="AY207" s="8"/>
      <c r="AZ207" s="8"/>
      <c r="BA207" s="8"/>
      <c r="BB207" s="8"/>
      <c r="BC207" s="8"/>
      <c r="BD207" s="8"/>
      <c r="BE207" s="8"/>
      <c r="BF207" s="8"/>
      <c r="BG207" s="8"/>
      <c r="BH207" s="8"/>
      <c r="BI207" s="8"/>
      <c r="BJ207" s="8"/>
      <c r="BK207" s="8"/>
      <c r="BL207" s="8"/>
      <c r="BM207" s="8"/>
      <c r="BN207" s="8"/>
      <c r="BO207" s="8"/>
      <c r="BP207" s="8"/>
      <c r="BQ207" s="8"/>
      <c r="BR207" s="8"/>
      <c r="BS207" s="8"/>
      <c r="BT207" s="8"/>
      <c r="BU207" s="8"/>
      <c r="BV207" s="8"/>
      <c r="BW207" s="8"/>
      <c r="BX207" s="8"/>
      <c r="BY207" s="8"/>
      <c r="BZ207" s="8"/>
    </row>
    <row r="208" spans="1:78" ht="13" customHeight="1" x14ac:dyDescent="0.15">
      <c r="A208" s="8" t="s">
        <v>6188</v>
      </c>
      <c r="B208" s="8" t="s">
        <v>74</v>
      </c>
      <c r="C208" s="9">
        <v>2008</v>
      </c>
      <c r="D208" s="8" t="s">
        <v>3848</v>
      </c>
      <c r="E208" s="8" t="s">
        <v>3849</v>
      </c>
      <c r="F208" s="8" t="s">
        <v>3850</v>
      </c>
      <c r="G208" s="8" t="str" cm="1">
        <f t="array" ref="G208">LOWER(CleanCode(F208))</f>
        <v>isassimilationtheorydeadtheeffectofassimilationonadolescentwellbeing</v>
      </c>
      <c r="H208" s="8"/>
      <c r="I208" s="8"/>
      <c r="J208" s="8" t="s">
        <v>3853</v>
      </c>
      <c r="K208" s="8"/>
      <c r="L208" s="8"/>
      <c r="M208" s="8" t="s">
        <v>2464</v>
      </c>
      <c r="N208" s="8" t="str">
        <f t="shared" si="3"/>
        <v>Social Science Research</v>
      </c>
      <c r="O208" s="8" t="s">
        <v>2474</v>
      </c>
      <c r="P208" s="8" t="s">
        <v>2475</v>
      </c>
      <c r="Q208" s="8" t="s">
        <v>69</v>
      </c>
      <c r="R208" s="8"/>
      <c r="S208" s="8">
        <v>37</v>
      </c>
      <c r="T208" s="8">
        <v>1</v>
      </c>
      <c r="U208" s="8">
        <v>109</v>
      </c>
      <c r="V208" s="8">
        <v>137</v>
      </c>
      <c r="W208" s="8">
        <v>29</v>
      </c>
      <c r="X208" s="8"/>
      <c r="Y208" s="8">
        <v>42</v>
      </c>
      <c r="Z208" s="8">
        <v>81</v>
      </c>
      <c r="AA208" s="8">
        <v>83</v>
      </c>
      <c r="AB208" s="8">
        <v>0</v>
      </c>
      <c r="AC208" s="8">
        <v>31</v>
      </c>
      <c r="AD208" s="8" t="s">
        <v>3860</v>
      </c>
      <c r="AE208" s="8" t="s">
        <v>3858</v>
      </c>
      <c r="AF208" s="8">
        <v>19255601</v>
      </c>
      <c r="AG208" s="8" t="s">
        <v>2471</v>
      </c>
      <c r="AH208" s="8" t="s">
        <v>2472</v>
      </c>
      <c r="AI208" s="8" t="s">
        <v>2473</v>
      </c>
      <c r="AJ208" s="8" t="s">
        <v>3852</v>
      </c>
      <c r="AK208" s="8" t="s">
        <v>3851</v>
      </c>
      <c r="AL208" s="8"/>
      <c r="AM208" s="8"/>
      <c r="AN208" s="8"/>
      <c r="AO208" s="8"/>
      <c r="AP208" s="8"/>
      <c r="AQ208" s="8"/>
      <c r="AR208" s="8"/>
      <c r="AS208" s="8"/>
      <c r="AT208" s="8"/>
      <c r="AU208" s="8"/>
      <c r="AV208" s="8"/>
      <c r="AW208" s="8"/>
      <c r="AX208" s="8"/>
      <c r="AY208" s="8"/>
      <c r="AZ208" s="8"/>
      <c r="BA208" s="8"/>
      <c r="BB208" s="8"/>
      <c r="BC208" s="8"/>
      <c r="BD208" s="8"/>
      <c r="BE208" s="8"/>
      <c r="BF208" s="8"/>
      <c r="BG208" s="8"/>
      <c r="BH208" s="8"/>
      <c r="BI208" s="8"/>
      <c r="BJ208" s="8"/>
      <c r="BK208" s="8"/>
      <c r="BL208" s="8"/>
      <c r="BM208" s="8"/>
      <c r="BN208" s="8"/>
      <c r="BO208" s="8"/>
      <c r="BP208" s="8"/>
      <c r="BQ208" s="8"/>
      <c r="BR208" s="8"/>
      <c r="BS208" s="8"/>
      <c r="BT208" s="8"/>
      <c r="BU208" s="8"/>
      <c r="BV208" s="8"/>
      <c r="BW208" s="8"/>
      <c r="BX208" s="8"/>
      <c r="BY208" s="8"/>
      <c r="BZ208" s="8"/>
    </row>
    <row r="209" spans="1:78" ht="13" customHeight="1" x14ac:dyDescent="0.15">
      <c r="A209" s="8" t="s">
        <v>6188</v>
      </c>
      <c r="B209" s="8" t="s">
        <v>74</v>
      </c>
      <c r="C209" s="9">
        <v>2008</v>
      </c>
      <c r="D209" s="8" t="s">
        <v>3861</v>
      </c>
      <c r="E209" s="8" t="s">
        <v>3862</v>
      </c>
      <c r="F209" s="8" t="s">
        <v>3863</v>
      </c>
      <c r="G209" s="8" t="str" cm="1">
        <f t="array" ref="G209">LOWER(CleanCode(F209))</f>
        <v>expandingacculturationtheoryareacculturationmodelsandtheadaptivenessofacculturationstrategiesgeneralizableinacolonialcontext</v>
      </c>
      <c r="H209" s="8"/>
      <c r="I209" s="8"/>
      <c r="J209" s="8" t="s">
        <v>3867</v>
      </c>
      <c r="K209" s="8"/>
      <c r="L209" s="8"/>
      <c r="M209" s="8" t="s">
        <v>3864</v>
      </c>
      <c r="N209" s="8" t="str">
        <f t="shared" si="3"/>
        <v>International Journal Of Behavioral Development</v>
      </c>
      <c r="O209" s="8" t="s">
        <v>3872</v>
      </c>
      <c r="P209" s="8" t="s">
        <v>3873</v>
      </c>
      <c r="Q209" s="8" t="s">
        <v>69</v>
      </c>
      <c r="R209" s="8"/>
      <c r="S209" s="8">
        <v>32</v>
      </c>
      <c r="T209" s="8">
        <v>1</v>
      </c>
      <c r="U209" s="8">
        <v>21</v>
      </c>
      <c r="V209" s="8">
        <v>33</v>
      </c>
      <c r="W209" s="8">
        <v>13</v>
      </c>
      <c r="X209" s="8"/>
      <c r="Y209" s="8">
        <v>62</v>
      </c>
      <c r="Z209" s="8">
        <v>35</v>
      </c>
      <c r="AA209" s="8">
        <v>36</v>
      </c>
      <c r="AB209" s="8">
        <v>0</v>
      </c>
      <c r="AC209" s="8">
        <v>17</v>
      </c>
      <c r="AD209" s="8" t="s">
        <v>3878</v>
      </c>
      <c r="AE209" s="8" t="s">
        <v>3876</v>
      </c>
      <c r="AF209" s="8" t="s">
        <v>69</v>
      </c>
      <c r="AG209" s="8" t="s">
        <v>155</v>
      </c>
      <c r="AH209" s="8" t="s">
        <v>156</v>
      </c>
      <c r="AI209" s="8" t="s">
        <v>157</v>
      </c>
      <c r="AJ209" s="8" t="s">
        <v>3866</v>
      </c>
      <c r="AK209" s="8" t="s">
        <v>3865</v>
      </c>
      <c r="AL209" s="8"/>
      <c r="AM209" s="8"/>
      <c r="AN209" s="8"/>
      <c r="AO209" s="8"/>
      <c r="AP209" s="8"/>
      <c r="AQ209" s="8"/>
      <c r="AR209" s="8"/>
      <c r="AS209" s="8"/>
      <c r="AT209" s="8"/>
      <c r="AU209" s="8"/>
      <c r="AV209" s="8"/>
      <c r="AW209" s="8"/>
      <c r="AX209" s="8"/>
      <c r="AY209" s="8"/>
      <c r="AZ209" s="8"/>
      <c r="BA209" s="8"/>
      <c r="BB209" s="8"/>
      <c r="BC209" s="8"/>
      <c r="BD209" s="8"/>
      <c r="BE209" s="8"/>
      <c r="BF209" s="8"/>
      <c r="BG209" s="8"/>
      <c r="BH209" s="8"/>
      <c r="BI209" s="8"/>
      <c r="BJ209" s="8"/>
      <c r="BK209" s="8"/>
      <c r="BL209" s="8"/>
      <c r="BM209" s="8"/>
      <c r="BN209" s="8"/>
      <c r="BO209" s="8"/>
      <c r="BP209" s="8"/>
      <c r="BQ209" s="8"/>
      <c r="BR209" s="8"/>
      <c r="BS209" s="8"/>
      <c r="BT209" s="8"/>
      <c r="BU209" s="8"/>
      <c r="BV209" s="8"/>
      <c r="BW209" s="8"/>
      <c r="BX209" s="8"/>
      <c r="BY209" s="8"/>
      <c r="BZ209" s="8"/>
    </row>
    <row r="210" spans="1:78" ht="13" customHeight="1" x14ac:dyDescent="0.15">
      <c r="A210" s="8" t="s">
        <v>6188</v>
      </c>
      <c r="B210" s="8" t="s">
        <v>74</v>
      </c>
      <c r="C210" s="9">
        <v>2008</v>
      </c>
      <c r="D210" s="8" t="s">
        <v>3879</v>
      </c>
      <c r="E210" s="8" t="s">
        <v>3880</v>
      </c>
      <c r="F210" s="8" t="s">
        <v>3881</v>
      </c>
      <c r="G210" s="8" t="str" cm="1">
        <f t="array" ref="G210">LOWER(CleanCode(F210))</f>
        <v>secondgenerationsonthejobmarketinfranceapersistentethnicpenaltyacontributiontosegmentedassimilationtheory</v>
      </c>
      <c r="H210" s="8"/>
      <c r="I210" s="8"/>
      <c r="J210" s="8" t="s">
        <v>3884</v>
      </c>
      <c r="K210" s="8"/>
      <c r="L210" s="8"/>
      <c r="M210" s="8" t="s">
        <v>3882</v>
      </c>
      <c r="N210" s="8" t="str">
        <f t="shared" si="3"/>
        <v>Revue Francaise De Sociologie</v>
      </c>
      <c r="O210" s="8" t="s">
        <v>3891</v>
      </c>
      <c r="P210" s="8" t="s">
        <v>69</v>
      </c>
      <c r="Q210" s="8" t="s">
        <v>69</v>
      </c>
      <c r="R210" s="8"/>
      <c r="S210" s="8">
        <v>49</v>
      </c>
      <c r="T210" s="8" t="s">
        <v>69</v>
      </c>
      <c r="U210" s="8">
        <v>45</v>
      </c>
      <c r="V210" s="8">
        <v>94</v>
      </c>
      <c r="W210" s="8">
        <v>50</v>
      </c>
      <c r="X210" s="8"/>
      <c r="Y210" s="8">
        <v>63</v>
      </c>
      <c r="Z210" s="8">
        <v>11</v>
      </c>
      <c r="AA210" s="8">
        <v>11</v>
      </c>
      <c r="AB210" s="8">
        <v>0</v>
      </c>
      <c r="AC210" s="8">
        <v>11</v>
      </c>
      <c r="AD210" s="8" t="s">
        <v>3897</v>
      </c>
      <c r="AE210" s="8" t="s">
        <v>3895</v>
      </c>
      <c r="AF210" s="8" t="s">
        <v>69</v>
      </c>
      <c r="AG210" s="8" t="s">
        <v>3888</v>
      </c>
      <c r="AH210" s="8" t="s">
        <v>3889</v>
      </c>
      <c r="AI210" s="8" t="s">
        <v>3890</v>
      </c>
      <c r="AJ210" s="8" t="s">
        <v>3883</v>
      </c>
      <c r="AK210" s="8" t="s">
        <v>69</v>
      </c>
      <c r="AL210" s="8"/>
      <c r="AM210" s="8"/>
      <c r="AN210" s="8"/>
      <c r="AO210" s="8"/>
      <c r="AP210" s="8"/>
      <c r="AQ210" s="8"/>
      <c r="AR210" s="8"/>
      <c r="AS210" s="8"/>
      <c r="AT210" s="8"/>
      <c r="AU210" s="8"/>
      <c r="AV210" s="8"/>
      <c r="AW210" s="8"/>
      <c r="AX210" s="8"/>
      <c r="AY210" s="8"/>
      <c r="AZ210" s="8"/>
      <c r="BA210" s="8"/>
      <c r="BB210" s="8"/>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row>
    <row r="211" spans="1:78" ht="13" customHeight="1" x14ac:dyDescent="0.15">
      <c r="A211" s="8" t="s">
        <v>6188</v>
      </c>
      <c r="B211" s="8" t="s">
        <v>318</v>
      </c>
      <c r="C211" s="9">
        <v>2007</v>
      </c>
      <c r="D211" s="8" t="s">
        <v>3898</v>
      </c>
      <c r="E211" s="8" t="s">
        <v>3899</v>
      </c>
      <c r="F211" s="8" t="s">
        <v>3900</v>
      </c>
      <c r="G211" s="8" t="str" cm="1">
        <f t="array" ref="G211">LOWER(CleanCode(F211))</f>
        <v>boundaryprocessesrecenttheoreticaldevelopmentsandnewcontributions</v>
      </c>
      <c r="H211" s="8"/>
      <c r="I211" s="8"/>
      <c r="J211" s="8" t="s">
        <v>3903</v>
      </c>
      <c r="K211" s="8"/>
      <c r="L211" s="8"/>
      <c r="M211" s="8" t="s">
        <v>3901</v>
      </c>
      <c r="N211" s="8" t="str">
        <f t="shared" si="3"/>
        <v>Poetics</v>
      </c>
      <c r="O211" s="8" t="s">
        <v>3911</v>
      </c>
      <c r="P211" s="8" t="s">
        <v>3912</v>
      </c>
      <c r="Q211" s="8" t="s">
        <v>69</v>
      </c>
      <c r="R211" s="8"/>
      <c r="S211" s="8">
        <v>35</v>
      </c>
      <c r="T211" s="8">
        <v>6</v>
      </c>
      <c r="U211" s="8">
        <v>331</v>
      </c>
      <c r="V211" s="8">
        <v>351</v>
      </c>
      <c r="W211" s="8">
        <v>21</v>
      </c>
      <c r="X211" s="8"/>
      <c r="Y211" s="8">
        <v>143</v>
      </c>
      <c r="Z211" s="8">
        <v>164</v>
      </c>
      <c r="AA211" s="8">
        <v>167</v>
      </c>
      <c r="AB211" s="8">
        <v>3</v>
      </c>
      <c r="AC211" s="8">
        <v>66</v>
      </c>
      <c r="AD211" s="8" t="s">
        <v>3917</v>
      </c>
      <c r="AE211" s="8" t="s">
        <v>3914</v>
      </c>
      <c r="AF211" s="8" t="s">
        <v>69</v>
      </c>
      <c r="AG211" s="8" t="s">
        <v>3909</v>
      </c>
      <c r="AH211" s="8" t="s">
        <v>954</v>
      </c>
      <c r="AI211" s="8" t="s">
        <v>3910</v>
      </c>
      <c r="AJ211" s="8" t="s">
        <v>3902</v>
      </c>
      <c r="AK211" s="8" t="s">
        <v>69</v>
      </c>
      <c r="AL211" s="8"/>
      <c r="AM211" s="8"/>
      <c r="AN211" s="8"/>
      <c r="AO211" s="8"/>
      <c r="AP211" s="8"/>
      <c r="AQ211" s="8"/>
      <c r="AR211" s="8"/>
      <c r="AS211" s="8"/>
      <c r="AT211" s="8"/>
      <c r="AU211" s="8"/>
      <c r="AV211" s="8"/>
      <c r="AW211" s="8"/>
      <c r="AX211" s="8"/>
      <c r="AY211" s="8"/>
      <c r="AZ211" s="8"/>
      <c r="BA211" s="8"/>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row>
    <row r="212" spans="1:78" ht="13" customHeight="1" x14ac:dyDescent="0.15">
      <c r="A212" s="8" t="s">
        <v>6188</v>
      </c>
      <c r="B212" s="8" t="s">
        <v>74</v>
      </c>
      <c r="C212" s="9">
        <v>2007</v>
      </c>
      <c r="D212" s="8" t="s">
        <v>3918</v>
      </c>
      <c r="E212" s="8" t="s">
        <v>3919</v>
      </c>
      <c r="F212" s="8" t="s">
        <v>3920</v>
      </c>
      <c r="G212" s="8" t="str" cm="1">
        <f t="array" ref="G212">LOWER(CleanCode(F212))</f>
        <v>theborderspaceinthearticulationoftransnationalsocialspacestheoreticalreflectionandempiricalanalysis</v>
      </c>
      <c r="H212" s="8"/>
      <c r="I212" s="8"/>
      <c r="J212" s="8" t="s">
        <v>3923</v>
      </c>
      <c r="K212" s="8"/>
      <c r="L212" s="8"/>
      <c r="M212" s="8" t="s">
        <v>3921</v>
      </c>
      <c r="N212" s="8" t="str">
        <f t="shared" si="3"/>
        <v>Papeles De Poblacion</v>
      </c>
      <c r="O212" s="8" t="s">
        <v>3930</v>
      </c>
      <c r="P212" s="8" t="s">
        <v>69</v>
      </c>
      <c r="Q212" s="8" t="s">
        <v>69</v>
      </c>
      <c r="R212" s="8"/>
      <c r="S212" s="8">
        <v>13</v>
      </c>
      <c r="T212" s="8">
        <v>53</v>
      </c>
      <c r="U212" s="8">
        <v>103</v>
      </c>
      <c r="V212" s="8">
        <v>135</v>
      </c>
      <c r="W212" s="8">
        <v>33</v>
      </c>
      <c r="X212" s="8"/>
      <c r="Y212" s="8">
        <v>58</v>
      </c>
      <c r="Z212" s="8">
        <v>0</v>
      </c>
      <c r="AA212" s="8">
        <v>0</v>
      </c>
      <c r="AB212" s="8">
        <v>0</v>
      </c>
      <c r="AC212" s="8">
        <v>2</v>
      </c>
      <c r="AD212" s="8" t="s">
        <v>3935</v>
      </c>
      <c r="AE212" s="8" t="s">
        <v>69</v>
      </c>
      <c r="AF212" s="8" t="s">
        <v>69</v>
      </c>
      <c r="AG212" s="8" t="s">
        <v>3927</v>
      </c>
      <c r="AH212" s="8" t="s">
        <v>3928</v>
      </c>
      <c r="AI212" s="8" t="s">
        <v>3929</v>
      </c>
      <c r="AJ212" s="8" t="s">
        <v>69</v>
      </c>
      <c r="AK212" s="8" t="s">
        <v>3922</v>
      </c>
      <c r="AL212" s="8"/>
      <c r="AM212" s="8"/>
      <c r="AN212" s="8"/>
      <c r="AO212" s="8"/>
      <c r="AP212" s="8"/>
      <c r="AQ212" s="8"/>
      <c r="AR212" s="8"/>
      <c r="AS212" s="8"/>
      <c r="AT212" s="8"/>
      <c r="AU212" s="8"/>
      <c r="AV212" s="8"/>
      <c r="AW212" s="8"/>
      <c r="AX212" s="8"/>
      <c r="AY212" s="8"/>
      <c r="AZ212" s="8"/>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row>
    <row r="213" spans="1:78" ht="13" customHeight="1" x14ac:dyDescent="0.15">
      <c r="A213" s="8" t="s">
        <v>6188</v>
      </c>
      <c r="B213" s="8" t="s">
        <v>74</v>
      </c>
      <c r="C213" s="9">
        <v>2007</v>
      </c>
      <c r="D213" s="8" t="s">
        <v>3936</v>
      </c>
      <c r="E213" s="8" t="s">
        <v>3937</v>
      </c>
      <c r="F213" s="8" t="s">
        <v>3938</v>
      </c>
      <c r="G213" s="8" t="str" cm="1">
        <f t="array" ref="G213">LOWER(CleanCode(F213))</f>
        <v>returnmigrationtheoryandempiricalevidencefromtheuk</v>
      </c>
      <c r="H213" s="8"/>
      <c r="I213" s="8"/>
      <c r="J213" s="8" t="s">
        <v>3941</v>
      </c>
      <c r="K213" s="8"/>
      <c r="L213" s="8"/>
      <c r="M213" s="8" t="s">
        <v>3939</v>
      </c>
      <c r="N213" s="8" t="str">
        <f t="shared" si="3"/>
        <v>British Journal Of Industrial Relations</v>
      </c>
      <c r="O213" s="8" t="s">
        <v>3948</v>
      </c>
      <c r="P213" s="8" t="s">
        <v>69</v>
      </c>
      <c r="Q213" s="8" t="s">
        <v>69</v>
      </c>
      <c r="R213" s="8"/>
      <c r="S213" s="8">
        <v>45</v>
      </c>
      <c r="T213" s="8">
        <v>2</v>
      </c>
      <c r="U213" s="8">
        <v>236</v>
      </c>
      <c r="V213" s="8">
        <v>256</v>
      </c>
      <c r="W213" s="8">
        <v>21</v>
      </c>
      <c r="X213" s="8"/>
      <c r="Y213" s="8">
        <v>22</v>
      </c>
      <c r="Z213" s="8">
        <v>224</v>
      </c>
      <c r="AA213" s="8">
        <v>227</v>
      </c>
      <c r="AB213" s="8">
        <v>3</v>
      </c>
      <c r="AC213" s="8">
        <v>35</v>
      </c>
      <c r="AD213" s="8" t="s">
        <v>3954</v>
      </c>
      <c r="AE213" s="8" t="s">
        <v>3951</v>
      </c>
      <c r="AF213" s="8" t="s">
        <v>69</v>
      </c>
      <c r="AG213" s="8" t="s">
        <v>3945</v>
      </c>
      <c r="AH213" s="8" t="s">
        <v>3946</v>
      </c>
      <c r="AI213" s="8" t="s">
        <v>3947</v>
      </c>
      <c r="AJ213" s="8" t="s">
        <v>3940</v>
      </c>
      <c r="AK213" s="8" t="s">
        <v>69</v>
      </c>
      <c r="AL213" s="8"/>
      <c r="AM213" s="8"/>
      <c r="AN213" s="8"/>
      <c r="AO213" s="8"/>
      <c r="AP213" s="8"/>
      <c r="AQ213" s="8"/>
      <c r="AR213" s="8"/>
      <c r="AS213" s="8"/>
      <c r="AT213" s="8"/>
      <c r="AU213" s="8"/>
      <c r="AV213" s="8"/>
      <c r="AW213" s="8"/>
      <c r="AX213" s="8"/>
      <c r="AY213" s="8"/>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row>
    <row r="214" spans="1:78" ht="13" customHeight="1" x14ac:dyDescent="0.15">
      <c r="A214" s="8" t="s">
        <v>6188</v>
      </c>
      <c r="B214" s="8" t="s">
        <v>969</v>
      </c>
      <c r="C214" s="9">
        <v>2007</v>
      </c>
      <c r="D214" s="8" t="s">
        <v>3558</v>
      </c>
      <c r="E214" s="8" t="s">
        <v>3559</v>
      </c>
      <c r="F214" s="8" t="s">
        <v>3955</v>
      </c>
      <c r="G214" s="8" t="str" cm="1">
        <f t="array" ref="G214">LOWER(CleanCode(F214))</f>
        <v>migrationdevelopmentandsegmentedassimilationaconceptualreviewoftheevidence</v>
      </c>
      <c r="H214" s="8"/>
      <c r="I214" s="8"/>
      <c r="J214" s="8" t="s">
        <v>3962</v>
      </c>
      <c r="K214" s="8"/>
      <c r="L214" s="8"/>
      <c r="M214" s="8" t="s">
        <v>1929</v>
      </c>
      <c r="N214" s="8" t="str">
        <f t="shared" si="3"/>
        <v>Annals Of The American Academy Of Political And Social Science</v>
      </c>
      <c r="O214" s="8" t="s">
        <v>1936</v>
      </c>
      <c r="P214" s="8" t="s">
        <v>1937</v>
      </c>
      <c r="Q214" s="8" t="s">
        <v>69</v>
      </c>
      <c r="R214" s="8"/>
      <c r="S214" s="8">
        <v>610</v>
      </c>
      <c r="T214" s="8" t="s">
        <v>69</v>
      </c>
      <c r="U214" s="8">
        <v>73</v>
      </c>
      <c r="V214" s="8">
        <v>97</v>
      </c>
      <c r="W214" s="8">
        <v>25</v>
      </c>
      <c r="X214" s="8"/>
      <c r="Y214" s="8">
        <v>51</v>
      </c>
      <c r="Z214" s="8">
        <v>68</v>
      </c>
      <c r="AA214" s="8">
        <v>71</v>
      </c>
      <c r="AB214" s="8">
        <v>0</v>
      </c>
      <c r="AC214" s="8">
        <v>17</v>
      </c>
      <c r="AD214" s="8" t="s">
        <v>3967</v>
      </c>
      <c r="AE214" s="8" t="s">
        <v>3965</v>
      </c>
      <c r="AF214" s="8" t="s">
        <v>69</v>
      </c>
      <c r="AG214" s="8" t="s">
        <v>180</v>
      </c>
      <c r="AH214" s="8" t="s">
        <v>181</v>
      </c>
      <c r="AI214" s="8" t="s">
        <v>182</v>
      </c>
      <c r="AJ214" s="8" t="s">
        <v>3961</v>
      </c>
      <c r="AK214" s="8" t="s">
        <v>3960</v>
      </c>
      <c r="AL214" s="8"/>
      <c r="AM214" s="8"/>
      <c r="AN214" s="8"/>
      <c r="AO214" s="8"/>
      <c r="AP214" s="8"/>
      <c r="AQ214" s="8"/>
      <c r="AR214" s="8"/>
      <c r="AS214" s="8"/>
      <c r="AT214" s="8"/>
      <c r="AU214" s="8"/>
      <c r="AV214" s="8"/>
      <c r="AW214" s="8"/>
      <c r="AX214" s="8"/>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row>
    <row r="215" spans="1:78" ht="13" customHeight="1" x14ac:dyDescent="0.15">
      <c r="A215" s="8" t="s">
        <v>6188</v>
      </c>
      <c r="B215" s="8" t="s">
        <v>74</v>
      </c>
      <c r="C215" s="9">
        <v>2006</v>
      </c>
      <c r="D215" s="8" t="s">
        <v>3968</v>
      </c>
      <c r="E215" s="8" t="s">
        <v>3969</v>
      </c>
      <c r="F215" s="8" t="s">
        <v>3970</v>
      </c>
      <c r="G215" s="8" t="str" cm="1">
        <f t="array" ref="G215">LOWER(CleanCode(F215))</f>
        <v>acculturativefamilydistancingtheoryresearchandclinicalpractice</v>
      </c>
      <c r="H215" s="8"/>
      <c r="I215" s="8"/>
      <c r="J215" s="8" t="s">
        <v>3974</v>
      </c>
      <c r="K215" s="8"/>
      <c r="L215" s="8"/>
      <c r="M215" s="8" t="s">
        <v>3971</v>
      </c>
      <c r="N215" s="8" t="str">
        <f t="shared" si="3"/>
        <v>Psychotherapy</v>
      </c>
      <c r="O215" s="8" t="s">
        <v>3981</v>
      </c>
      <c r="P215" s="8" t="s">
        <v>69</v>
      </c>
      <c r="Q215" s="8" t="s">
        <v>69</v>
      </c>
      <c r="R215" s="8"/>
      <c r="S215" s="8">
        <v>43</v>
      </c>
      <c r="T215" s="8">
        <v>4</v>
      </c>
      <c r="U215" s="8">
        <v>397</v>
      </c>
      <c r="V215" s="8">
        <v>409</v>
      </c>
      <c r="W215" s="8">
        <v>13</v>
      </c>
      <c r="X215" s="8"/>
      <c r="Y215" s="8">
        <v>51</v>
      </c>
      <c r="Z215" s="8">
        <v>94</v>
      </c>
      <c r="AA215" s="8">
        <v>94</v>
      </c>
      <c r="AB215" s="8">
        <v>0</v>
      </c>
      <c r="AC215" s="8">
        <v>9</v>
      </c>
      <c r="AD215" s="8" t="s">
        <v>3986</v>
      </c>
      <c r="AE215" s="8" t="s">
        <v>3984</v>
      </c>
      <c r="AF215" s="8">
        <v>22122132</v>
      </c>
      <c r="AG215" s="8" t="s">
        <v>3978</v>
      </c>
      <c r="AH215" s="8" t="s">
        <v>3979</v>
      </c>
      <c r="AI215" s="8" t="s">
        <v>3980</v>
      </c>
      <c r="AJ215" s="8" t="s">
        <v>3973</v>
      </c>
      <c r="AK215" s="8" t="s">
        <v>3972</v>
      </c>
      <c r="AL215" s="8"/>
      <c r="AM215" s="8"/>
      <c r="AN215" s="8"/>
      <c r="AO215" s="8"/>
      <c r="AP215" s="8"/>
      <c r="AQ215" s="8"/>
      <c r="AR215" s="8"/>
      <c r="AS215" s="8"/>
      <c r="AT215" s="8"/>
      <c r="AU215" s="8"/>
      <c r="AV215" s="8"/>
      <c r="AW215" s="8"/>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row>
    <row r="216" spans="1:78" ht="13" customHeight="1" x14ac:dyDescent="0.15">
      <c r="A216" s="8" t="s">
        <v>6188</v>
      </c>
      <c r="B216" s="8" t="s">
        <v>74</v>
      </c>
      <c r="C216" s="9">
        <v>2006</v>
      </c>
      <c r="D216" s="8" t="s">
        <v>3879</v>
      </c>
      <c r="E216" s="8" t="s">
        <v>3880</v>
      </c>
      <c r="F216" s="8" t="s">
        <v>3987</v>
      </c>
      <c r="G216" s="8" t="str" cm="1">
        <f t="array" ref="G216">LOWER(CleanCode(F216))</f>
        <v>secondgenerationsonthelabormarketinfranceanenduringethnicpenaltycontributiontosegmentedassimilationtheory</v>
      </c>
      <c r="H216" s="8"/>
      <c r="I216" s="8"/>
      <c r="J216" s="8" t="s">
        <v>3990</v>
      </c>
      <c r="K216" s="8"/>
      <c r="L216" s="8"/>
      <c r="M216" s="8" t="s">
        <v>3882</v>
      </c>
      <c r="N216" s="8" t="str">
        <f t="shared" si="3"/>
        <v>Revue Francaise De Sociologie</v>
      </c>
      <c r="O216" s="8" t="s">
        <v>3891</v>
      </c>
      <c r="P216" s="8" t="s">
        <v>69</v>
      </c>
      <c r="Q216" s="8" t="s">
        <v>69</v>
      </c>
      <c r="R216" s="8"/>
      <c r="S216" s="8">
        <v>47</v>
      </c>
      <c r="T216" s="8">
        <v>2</v>
      </c>
      <c r="U216" s="8">
        <v>243</v>
      </c>
      <c r="V216" s="8" t="s">
        <v>1757</v>
      </c>
      <c r="W216" s="8">
        <v>51</v>
      </c>
      <c r="X216" s="8"/>
      <c r="Y216" s="8">
        <v>60</v>
      </c>
      <c r="Z216" s="8">
        <v>30</v>
      </c>
      <c r="AA216" s="8">
        <v>30</v>
      </c>
      <c r="AB216" s="8">
        <v>0</v>
      </c>
      <c r="AC216" s="8">
        <v>7</v>
      </c>
      <c r="AD216" s="8" t="s">
        <v>3996</v>
      </c>
      <c r="AE216" s="8" t="s">
        <v>3994</v>
      </c>
      <c r="AF216" s="8" t="s">
        <v>69</v>
      </c>
      <c r="AG216" s="8" t="s">
        <v>3888</v>
      </c>
      <c r="AH216" s="8" t="s">
        <v>3889</v>
      </c>
      <c r="AI216" s="8" t="s">
        <v>3890</v>
      </c>
      <c r="AJ216" s="8" t="s">
        <v>3989</v>
      </c>
      <c r="AK216" s="8" t="s">
        <v>69</v>
      </c>
      <c r="AL216" s="8"/>
      <c r="AM216" s="8"/>
      <c r="AN216" s="8"/>
      <c r="AO216" s="8"/>
      <c r="AP216" s="8"/>
      <c r="AQ216" s="8"/>
      <c r="AR216" s="8"/>
      <c r="AS216" s="8"/>
      <c r="AT216" s="8"/>
      <c r="AU216" s="8"/>
      <c r="AV216" s="8"/>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row>
    <row r="217" spans="1:78" ht="13" customHeight="1" x14ac:dyDescent="0.15">
      <c r="A217" s="8" t="s">
        <v>6188</v>
      </c>
      <c r="B217" s="8" t="s">
        <v>318</v>
      </c>
      <c r="C217" s="9">
        <v>2006</v>
      </c>
      <c r="D217" s="8" t="s">
        <v>3997</v>
      </c>
      <c r="E217" s="8" t="s">
        <v>3997</v>
      </c>
      <c r="F217" s="8" t="s">
        <v>3998</v>
      </c>
      <c r="G217" s="8" t="str" cm="1">
        <f t="array" ref="G217">LOWER(CleanCode(F217))</f>
        <v>theroleofidentityinacculturationamongimmigrantpeopletheoreticalpropositionsempiricalquestionsandappliedrecommendations</v>
      </c>
      <c r="H217" s="8"/>
      <c r="I217" s="8"/>
      <c r="J217" s="8" t="s">
        <v>4001</v>
      </c>
      <c r="K217" s="8"/>
      <c r="L217" s="8"/>
      <c r="M217" s="8" t="s">
        <v>717</v>
      </c>
      <c r="N217" s="8" t="str">
        <f t="shared" si="3"/>
        <v>Human Development</v>
      </c>
      <c r="O217" s="8" t="s">
        <v>727</v>
      </c>
      <c r="P217" s="8" t="s">
        <v>728</v>
      </c>
      <c r="Q217" s="8" t="s">
        <v>69</v>
      </c>
      <c r="R217" s="8"/>
      <c r="S217" s="8">
        <v>49</v>
      </c>
      <c r="T217" s="8">
        <v>1</v>
      </c>
      <c r="U217" s="8">
        <v>1</v>
      </c>
      <c r="V217" s="8">
        <v>30</v>
      </c>
      <c r="W217" s="8">
        <v>30</v>
      </c>
      <c r="X217" s="8"/>
      <c r="Y217" s="8">
        <v>110</v>
      </c>
      <c r="Z217" s="8">
        <v>241</v>
      </c>
      <c r="AA217" s="8">
        <v>243</v>
      </c>
      <c r="AB217" s="8">
        <v>4</v>
      </c>
      <c r="AC217" s="8">
        <v>40</v>
      </c>
      <c r="AD217" s="8" t="s">
        <v>4007</v>
      </c>
      <c r="AE217" s="8" t="s">
        <v>4005</v>
      </c>
      <c r="AF217" s="8" t="s">
        <v>69</v>
      </c>
      <c r="AG217" s="8" t="s">
        <v>725</v>
      </c>
      <c r="AH217" s="8" t="s">
        <v>83</v>
      </c>
      <c r="AI217" s="8" t="s">
        <v>726</v>
      </c>
      <c r="AJ217" s="8" t="s">
        <v>4000</v>
      </c>
      <c r="AK217" s="8" t="s">
        <v>3999</v>
      </c>
      <c r="AL217" s="8"/>
      <c r="AM217" s="8"/>
      <c r="AN217" s="8"/>
      <c r="AO217" s="8"/>
      <c r="AP217" s="8"/>
      <c r="AQ217" s="8"/>
      <c r="AR217" s="8"/>
      <c r="AS217" s="8"/>
      <c r="AT217" s="8"/>
      <c r="AU217" s="8"/>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row>
    <row r="218" spans="1:78" ht="13" customHeight="1" x14ac:dyDescent="0.15">
      <c r="A218" s="8" t="s">
        <v>6188</v>
      </c>
      <c r="B218" s="8" t="s">
        <v>2244</v>
      </c>
      <c r="C218" s="9">
        <v>2006</v>
      </c>
      <c r="D218" s="8" t="s">
        <v>4008</v>
      </c>
      <c r="E218" s="8" t="s">
        <v>4008</v>
      </c>
      <c r="F218" s="8" t="s">
        <v>4009</v>
      </c>
      <c r="G218" s="8" t="str" cm="1">
        <f t="array" ref="G218">LOWER(CleanCode(F218))</f>
        <v>acculturationandidentitytheroleofindividualizationtheory</v>
      </c>
      <c r="H218" s="8"/>
      <c r="I218" s="8"/>
      <c r="J218" s="8" t="s">
        <v>69</v>
      </c>
      <c r="K218" s="8"/>
      <c r="L218" s="8"/>
      <c r="M218" s="8" t="s">
        <v>717</v>
      </c>
      <c r="N218" s="8" t="str">
        <f t="shared" si="3"/>
        <v>Human Development</v>
      </c>
      <c r="O218" s="8" t="s">
        <v>727</v>
      </c>
      <c r="P218" s="8" t="s">
        <v>728</v>
      </c>
      <c r="Q218" s="8" t="s">
        <v>69</v>
      </c>
      <c r="R218" s="8"/>
      <c r="S218" s="8">
        <v>49</v>
      </c>
      <c r="T218" s="8">
        <v>1</v>
      </c>
      <c r="U218" s="8">
        <v>31</v>
      </c>
      <c r="V218" s="8">
        <v>35</v>
      </c>
      <c r="W218" s="8">
        <v>5</v>
      </c>
      <c r="X218" s="8"/>
      <c r="Y218" s="8">
        <v>14</v>
      </c>
      <c r="Z218" s="8">
        <v>2</v>
      </c>
      <c r="AA218" s="8">
        <v>2</v>
      </c>
      <c r="AB218" s="8">
        <v>0</v>
      </c>
      <c r="AC218" s="8">
        <v>10</v>
      </c>
      <c r="AD218" s="8" t="s">
        <v>4016</v>
      </c>
      <c r="AE218" s="8" t="s">
        <v>4015</v>
      </c>
      <c r="AF218" s="8" t="s">
        <v>69</v>
      </c>
      <c r="AG218" s="8" t="s">
        <v>725</v>
      </c>
      <c r="AH218" s="8" t="s">
        <v>83</v>
      </c>
      <c r="AI218" s="8" t="s">
        <v>726</v>
      </c>
      <c r="AJ218" s="8" t="s">
        <v>69</v>
      </c>
      <c r="AK218" s="8" t="s">
        <v>4010</v>
      </c>
      <c r="AL218" s="8"/>
      <c r="AM218" s="8"/>
      <c r="AN218" s="8"/>
      <c r="AO218" s="8"/>
      <c r="AP218" s="8"/>
      <c r="AQ218" s="8"/>
      <c r="AR218" s="8"/>
      <c r="AS218" s="8"/>
      <c r="AT218" s="8"/>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row>
    <row r="219" spans="1:78" ht="13" customHeight="1" x14ac:dyDescent="0.15">
      <c r="A219" s="8" t="s">
        <v>6188</v>
      </c>
      <c r="B219" s="8" t="s">
        <v>969</v>
      </c>
      <c r="C219" s="9">
        <v>2005</v>
      </c>
      <c r="D219" s="8" t="s">
        <v>4017</v>
      </c>
      <c r="E219" s="8" t="s">
        <v>4017</v>
      </c>
      <c r="F219" s="8" t="s">
        <v>4018</v>
      </c>
      <c r="G219" s="8" t="str" cm="1">
        <f t="array" ref="G219">LOWER(CleanCode(F219))</f>
        <v>integratingraceplaceandmotiveinsocialdisorganizationtheorylessonsfromacomparisonofblackandlatinohomicidetypesintwoimmigrantdestinationcities</v>
      </c>
      <c r="H219" s="8"/>
      <c r="I219" s="8"/>
      <c r="J219" s="8" t="s">
        <v>4026</v>
      </c>
      <c r="K219" s="8"/>
      <c r="L219" s="8"/>
      <c r="M219" s="8" t="s">
        <v>4019</v>
      </c>
      <c r="N219" s="8" t="str">
        <f t="shared" si="3"/>
        <v>Criminology</v>
      </c>
      <c r="O219" s="8" t="s">
        <v>4030</v>
      </c>
      <c r="P219" s="8" t="s">
        <v>4031</v>
      </c>
      <c r="Q219" s="8" t="s">
        <v>69</v>
      </c>
      <c r="R219" s="8"/>
      <c r="S219" s="8">
        <v>43</v>
      </c>
      <c r="T219" s="8">
        <v>3</v>
      </c>
      <c r="U219" s="8">
        <v>837</v>
      </c>
      <c r="V219" s="8">
        <v>872</v>
      </c>
      <c r="W219" s="8">
        <v>36</v>
      </c>
      <c r="X219" s="8"/>
      <c r="Y219" s="8">
        <v>75</v>
      </c>
      <c r="Z219" s="8">
        <v>80</v>
      </c>
      <c r="AA219" s="8">
        <v>80</v>
      </c>
      <c r="AB219" s="8">
        <v>0</v>
      </c>
      <c r="AC219" s="8">
        <v>15</v>
      </c>
      <c r="AD219" s="8" t="s">
        <v>4035</v>
      </c>
      <c r="AE219" s="8" t="s">
        <v>4033</v>
      </c>
      <c r="AF219" s="8" t="s">
        <v>69</v>
      </c>
      <c r="AG219" s="8" t="s">
        <v>223</v>
      </c>
      <c r="AH219" s="8" t="s">
        <v>224</v>
      </c>
      <c r="AI219" s="8" t="s">
        <v>225</v>
      </c>
      <c r="AJ219" s="8" t="s">
        <v>4025</v>
      </c>
      <c r="AK219" s="8" t="s">
        <v>4024</v>
      </c>
      <c r="AL219" s="8"/>
      <c r="AM219" s="8"/>
      <c r="AN219" s="8"/>
      <c r="AO219" s="8"/>
      <c r="AP219" s="8"/>
      <c r="AQ219" s="8"/>
      <c r="AR219" s="8"/>
      <c r="AS219" s="8"/>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row>
    <row r="220" spans="1:78" ht="13" customHeight="1" x14ac:dyDescent="0.15">
      <c r="A220" s="8" t="s">
        <v>6188</v>
      </c>
      <c r="B220" s="8" t="s">
        <v>74</v>
      </c>
      <c r="C220" s="9">
        <v>2005</v>
      </c>
      <c r="D220" s="8" t="s">
        <v>4036</v>
      </c>
      <c r="E220" s="8" t="s">
        <v>4036</v>
      </c>
      <c r="F220" s="8" t="s">
        <v>4037</v>
      </c>
      <c r="G220" s="8" t="str" cm="1">
        <f t="array" ref="G220">LOWER(CleanCode(F220))</f>
        <v>ideologicalorientationandtheprcacademicmigrationatheoreticalandlongitudinalanalysis</v>
      </c>
      <c r="H220" s="8"/>
      <c r="I220" s="8"/>
      <c r="J220" s="8" t="s">
        <v>4040</v>
      </c>
      <c r="K220" s="8"/>
      <c r="L220" s="8"/>
      <c r="M220" s="8" t="s">
        <v>4038</v>
      </c>
      <c r="N220" s="8" t="str">
        <f t="shared" si="3"/>
        <v>Sociological Inquiry</v>
      </c>
      <c r="O220" s="8" t="s">
        <v>4043</v>
      </c>
      <c r="P220" s="8" t="s">
        <v>4044</v>
      </c>
      <c r="Q220" s="8" t="s">
        <v>69</v>
      </c>
      <c r="R220" s="8"/>
      <c r="S220" s="8">
        <v>75</v>
      </c>
      <c r="T220" s="8">
        <v>2</v>
      </c>
      <c r="U220" s="8">
        <v>216</v>
      </c>
      <c r="V220" s="8">
        <v>248</v>
      </c>
      <c r="W220" s="8">
        <v>33</v>
      </c>
      <c r="X220" s="8"/>
      <c r="Y220" s="8">
        <v>57</v>
      </c>
      <c r="Z220" s="8">
        <v>5</v>
      </c>
      <c r="AA220" s="8">
        <v>5</v>
      </c>
      <c r="AB220" s="8">
        <v>0</v>
      </c>
      <c r="AC220" s="8">
        <v>5</v>
      </c>
      <c r="AD220" s="8" t="s">
        <v>4049</v>
      </c>
      <c r="AE220" s="8" t="s">
        <v>4047</v>
      </c>
      <c r="AF220" s="8" t="s">
        <v>69</v>
      </c>
      <c r="AG220" s="8" t="s">
        <v>223</v>
      </c>
      <c r="AH220" s="8" t="s">
        <v>224</v>
      </c>
      <c r="AI220" s="8" t="s">
        <v>225</v>
      </c>
      <c r="AJ220" s="8" t="s">
        <v>4039</v>
      </c>
      <c r="AK220" s="8" t="s">
        <v>69</v>
      </c>
      <c r="AL220" s="8"/>
      <c r="AM220" s="8"/>
      <c r="AN220" s="8"/>
      <c r="AO220" s="8"/>
      <c r="AP220" s="8"/>
      <c r="AQ220" s="8"/>
      <c r="AR220" s="8"/>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row>
    <row r="221" spans="1:78" ht="13" customHeight="1" x14ac:dyDescent="0.15">
      <c r="A221" s="8" t="s">
        <v>6188</v>
      </c>
      <c r="B221" s="8" t="s">
        <v>4054</v>
      </c>
      <c r="C221" s="9">
        <v>2005</v>
      </c>
      <c r="D221" s="8" t="s">
        <v>4050</v>
      </c>
      <c r="E221" s="8" t="s">
        <v>4050</v>
      </c>
      <c r="F221" s="8" t="s">
        <v>4051</v>
      </c>
      <c r="G221" s="8" t="str" cm="1">
        <f t="array" ref="G221">LOWER(CleanCode(F221))</f>
        <v>assessingimmigrantassimilationnewempiricalandtheoreticalchallenge</v>
      </c>
      <c r="H221" s="8"/>
      <c r="I221" s="8"/>
      <c r="J221" s="8" t="s">
        <v>4057</v>
      </c>
      <c r="K221" s="8"/>
      <c r="L221" s="8"/>
      <c r="M221" s="8" t="s">
        <v>4052</v>
      </c>
      <c r="N221" s="8" t="str">
        <f t="shared" si="3"/>
        <v>Annual Review Of Sociology</v>
      </c>
      <c r="O221" s="8" t="s">
        <v>4065</v>
      </c>
      <c r="P221" s="8" t="s">
        <v>69</v>
      </c>
      <c r="Q221" s="8" t="s">
        <v>4066</v>
      </c>
      <c r="R221" s="8"/>
      <c r="S221" s="8">
        <v>31</v>
      </c>
      <c r="T221" s="8" t="s">
        <v>69</v>
      </c>
      <c r="U221" s="8">
        <v>105</v>
      </c>
      <c r="V221" s="8">
        <v>125</v>
      </c>
      <c r="W221" s="8">
        <v>21</v>
      </c>
      <c r="X221" s="8"/>
      <c r="Y221" s="8">
        <v>75</v>
      </c>
      <c r="Z221" s="8">
        <v>400</v>
      </c>
      <c r="AA221" s="8">
        <v>404</v>
      </c>
      <c r="AB221" s="8">
        <v>4</v>
      </c>
      <c r="AC221" s="8">
        <v>106</v>
      </c>
      <c r="AD221" s="8" t="s">
        <v>4071</v>
      </c>
      <c r="AE221" s="8" t="s">
        <v>4069</v>
      </c>
      <c r="AF221" s="8" t="s">
        <v>69</v>
      </c>
      <c r="AG221" s="8" t="s">
        <v>4062</v>
      </c>
      <c r="AH221" s="8" t="s">
        <v>4063</v>
      </c>
      <c r="AI221" s="8" t="s">
        <v>4064</v>
      </c>
      <c r="AJ221" s="8" t="s">
        <v>4056</v>
      </c>
      <c r="AK221" s="8" t="s">
        <v>4055</v>
      </c>
      <c r="AL221" s="8"/>
      <c r="AM221" s="8"/>
      <c r="AN221" s="8"/>
      <c r="AO221" s="8"/>
      <c r="AP221" s="8"/>
      <c r="AQ221" s="8"/>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row>
    <row r="222" spans="1:78" ht="13" customHeight="1" x14ac:dyDescent="0.15">
      <c r="A222" s="8" t="s">
        <v>6188</v>
      </c>
      <c r="B222" s="8" t="s">
        <v>969</v>
      </c>
      <c r="C222" s="9">
        <v>2004</v>
      </c>
      <c r="D222" s="8" t="s">
        <v>4072</v>
      </c>
      <c r="E222" s="8" t="s">
        <v>4072</v>
      </c>
      <c r="F222" s="8" t="s">
        <v>4073</v>
      </c>
      <c r="G222" s="8" t="str" cm="1">
        <f t="array" ref="G222">LOWER(CleanCode(F222))</f>
        <v>acivictrendwithinethnictrasnationalismsomeinsightsfromclassicalsocialtheoryandthechineseamericanexperience</v>
      </c>
      <c r="H222" s="8"/>
      <c r="I222" s="8"/>
      <c r="J222" s="8" t="s">
        <v>4080</v>
      </c>
      <c r="K222" s="8"/>
      <c r="L222" s="8"/>
      <c r="M222" s="8" t="s">
        <v>4074</v>
      </c>
      <c r="N222" s="8" t="str">
        <f t="shared" si="3"/>
        <v>Global Networks-A Journal Of Transnational Affairs</v>
      </c>
      <c r="O222" s="8" t="s">
        <v>4083</v>
      </c>
      <c r="P222" s="8" t="s">
        <v>4084</v>
      </c>
      <c r="Q222" s="8" t="s">
        <v>69</v>
      </c>
      <c r="R222" s="8"/>
      <c r="S222" s="8">
        <v>4</v>
      </c>
      <c r="T222" s="8">
        <v>4</v>
      </c>
      <c r="U222" s="8">
        <v>391</v>
      </c>
      <c r="V222" s="8">
        <v>408</v>
      </c>
      <c r="W222" s="8">
        <v>18</v>
      </c>
      <c r="X222" s="8"/>
      <c r="Y222" s="8">
        <v>68</v>
      </c>
      <c r="Z222" s="8">
        <v>5</v>
      </c>
      <c r="AA222" s="8">
        <v>5</v>
      </c>
      <c r="AB222" s="8">
        <v>0</v>
      </c>
      <c r="AC222" s="8">
        <v>5</v>
      </c>
      <c r="AD222" s="8" t="s">
        <v>4090</v>
      </c>
      <c r="AE222" s="8" t="s">
        <v>4087</v>
      </c>
      <c r="AF222" s="8" t="s">
        <v>69</v>
      </c>
      <c r="AG222" s="8" t="s">
        <v>223</v>
      </c>
      <c r="AH222" s="8" t="s">
        <v>224</v>
      </c>
      <c r="AI222" s="8" t="s">
        <v>225</v>
      </c>
      <c r="AJ222" s="8" t="s">
        <v>4079</v>
      </c>
      <c r="AK222" s="8" t="s">
        <v>69</v>
      </c>
      <c r="AL222" s="8"/>
      <c r="AM222" s="8"/>
      <c r="AN222" s="8"/>
      <c r="AO222" s="8"/>
      <c r="AP222" s="8"/>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row>
    <row r="223" spans="1:78" ht="13" customHeight="1" x14ac:dyDescent="0.15">
      <c r="A223" s="8" t="s">
        <v>6188</v>
      </c>
      <c r="B223" s="8" t="s">
        <v>74</v>
      </c>
      <c r="C223" s="9">
        <v>2004</v>
      </c>
      <c r="D223" s="8" t="s">
        <v>4091</v>
      </c>
      <c r="E223" s="8" t="s">
        <v>4091</v>
      </c>
      <c r="F223" s="8" t="s">
        <v>4092</v>
      </c>
      <c r="G223" s="8" t="str" cm="1">
        <f t="array" ref="G223">LOWER(CleanCode(F223))</f>
        <v>acrossatlanticdialoguetheprogressofresearchandtheoryinthestudyofinternationalmigration</v>
      </c>
      <c r="H223" s="8"/>
      <c r="I223" s="8"/>
      <c r="J223" s="8" t="s">
        <v>4094</v>
      </c>
      <c r="K223" s="8"/>
      <c r="L223" s="8"/>
      <c r="M223" s="8" t="s">
        <v>3038</v>
      </c>
      <c r="N223" s="8" t="str">
        <f t="shared" si="3"/>
        <v>International Migration Review</v>
      </c>
      <c r="O223" s="8" t="s">
        <v>3043</v>
      </c>
      <c r="P223" s="8" t="s">
        <v>69</v>
      </c>
      <c r="Q223" s="8" t="s">
        <v>69</v>
      </c>
      <c r="R223" s="8"/>
      <c r="S223" s="8">
        <v>38</v>
      </c>
      <c r="T223" s="8">
        <v>3</v>
      </c>
      <c r="U223" s="8">
        <v>828</v>
      </c>
      <c r="V223" s="8">
        <v>851</v>
      </c>
      <c r="W223" s="8">
        <v>24</v>
      </c>
      <c r="X223" s="8"/>
      <c r="Y223" s="8">
        <v>53</v>
      </c>
      <c r="Z223" s="8">
        <v>66</v>
      </c>
      <c r="AA223" s="8">
        <v>68</v>
      </c>
      <c r="AB223" s="8">
        <v>0</v>
      </c>
      <c r="AC223" s="8">
        <v>14</v>
      </c>
      <c r="AD223" s="8" t="s">
        <v>4101</v>
      </c>
      <c r="AE223" s="8" t="s">
        <v>69</v>
      </c>
      <c r="AF223" s="8" t="s">
        <v>69</v>
      </c>
      <c r="AG223" s="8" t="s">
        <v>4097</v>
      </c>
      <c r="AH223" s="8" t="s">
        <v>4098</v>
      </c>
      <c r="AI223" s="8" t="s">
        <v>4099</v>
      </c>
      <c r="AJ223" s="8" t="s">
        <v>4093</v>
      </c>
      <c r="AK223" s="8" t="s">
        <v>69</v>
      </c>
      <c r="AL223" s="8"/>
      <c r="AM223" s="8"/>
      <c r="AN223" s="8"/>
      <c r="AO223" s="8"/>
      <c r="AP223" s="8"/>
      <c r="AQ223" s="8"/>
      <c r="AR223" s="8"/>
      <c r="AS223" s="8"/>
      <c r="AT223" s="8"/>
      <c r="AU223" s="8"/>
      <c r="AV223" s="8"/>
      <c r="AW223" s="8"/>
      <c r="AX223" s="8"/>
      <c r="AY223" s="8"/>
      <c r="AZ223" s="8"/>
      <c r="BA223" s="8"/>
      <c r="BB223" s="8"/>
      <c r="BC223" s="8"/>
      <c r="BD223" s="8"/>
      <c r="BE223" s="8"/>
      <c r="BF223" s="8"/>
      <c r="BG223" s="8"/>
      <c r="BH223" s="8"/>
      <c r="BI223" s="8"/>
      <c r="BJ223" s="8"/>
      <c r="BK223" s="8"/>
      <c r="BL223" s="8"/>
      <c r="BM223" s="8"/>
      <c r="BN223" s="8"/>
      <c r="BO223" s="8"/>
      <c r="BP223" s="8"/>
      <c r="BQ223" s="8"/>
      <c r="BR223" s="8"/>
      <c r="BS223" s="8"/>
      <c r="BT223" s="8"/>
      <c r="BU223" s="8"/>
      <c r="BV223" s="8"/>
      <c r="BW223" s="8"/>
      <c r="BX223" s="8"/>
      <c r="BY223" s="8"/>
      <c r="BZ223" s="8"/>
    </row>
    <row r="224" spans="1:78" ht="13" customHeight="1" x14ac:dyDescent="0.15">
      <c r="A224" s="8" t="s">
        <v>6188</v>
      </c>
      <c r="B224" s="8" t="s">
        <v>318</v>
      </c>
      <c r="C224" s="9">
        <v>2004</v>
      </c>
      <c r="D224" s="8" t="s">
        <v>4102</v>
      </c>
      <c r="E224" s="8" t="s">
        <v>4102</v>
      </c>
      <c r="F224" s="8" t="s">
        <v>4103</v>
      </c>
      <c r="G224" s="8" t="str" cm="1">
        <f t="array" ref="G224">LOWER(CleanCode(F224))</f>
        <v>conceptualizingsimultaneityatransnationalsocialfieldperspectiveonsociety</v>
      </c>
      <c r="H224" s="8"/>
      <c r="I224" s="8"/>
      <c r="J224" s="8" t="s">
        <v>4105</v>
      </c>
      <c r="K224" s="8"/>
      <c r="L224" s="8"/>
      <c r="M224" s="8" t="s">
        <v>3038</v>
      </c>
      <c r="N224" s="8" t="str">
        <f t="shared" si="3"/>
        <v>International Migration Review</v>
      </c>
      <c r="O224" s="8" t="s">
        <v>3043</v>
      </c>
      <c r="P224" s="8" t="s">
        <v>3044</v>
      </c>
      <c r="Q224" s="8" t="s">
        <v>69</v>
      </c>
      <c r="R224" s="8"/>
      <c r="S224" s="8">
        <v>38</v>
      </c>
      <c r="T224" s="8">
        <v>3</v>
      </c>
      <c r="U224" s="8">
        <v>1002</v>
      </c>
      <c r="V224" s="8">
        <v>1039</v>
      </c>
      <c r="W224" s="8">
        <v>38</v>
      </c>
      <c r="X224" s="8"/>
      <c r="Y224" s="8">
        <v>146</v>
      </c>
      <c r="Z224" s="8">
        <v>1055</v>
      </c>
      <c r="AA224" s="8">
        <v>1109</v>
      </c>
      <c r="AB224" s="8">
        <v>3</v>
      </c>
      <c r="AC224" s="8">
        <v>114</v>
      </c>
      <c r="AD224" s="8" t="s">
        <v>4109</v>
      </c>
      <c r="AE224" s="8" t="s">
        <v>4108</v>
      </c>
      <c r="AF224" s="8" t="s">
        <v>69</v>
      </c>
      <c r="AG224" s="8" t="s">
        <v>180</v>
      </c>
      <c r="AH224" s="8" t="s">
        <v>181</v>
      </c>
      <c r="AI224" s="8" t="s">
        <v>182</v>
      </c>
      <c r="AJ224" s="8" t="s">
        <v>4104</v>
      </c>
      <c r="AK224" s="8" t="s">
        <v>69</v>
      </c>
      <c r="AL224" s="8"/>
      <c r="AM224" s="8"/>
      <c r="AN224" s="8"/>
      <c r="AO224" s="8"/>
      <c r="AP224" s="8"/>
      <c r="AQ224" s="8"/>
      <c r="AR224" s="8"/>
      <c r="AS224" s="8"/>
      <c r="AT224" s="8"/>
      <c r="AU224" s="8"/>
      <c r="AV224" s="8"/>
      <c r="AW224" s="8"/>
      <c r="AX224" s="8"/>
      <c r="AY224" s="8"/>
      <c r="AZ224" s="8"/>
      <c r="BA224" s="8"/>
      <c r="BB224" s="8"/>
      <c r="BC224" s="8"/>
      <c r="BD224" s="8"/>
      <c r="BE224" s="8"/>
      <c r="BF224" s="8"/>
      <c r="BG224" s="8"/>
      <c r="BH224" s="8"/>
      <c r="BI224" s="8"/>
      <c r="BJ224" s="8"/>
      <c r="BK224" s="8"/>
      <c r="BL224" s="8"/>
      <c r="BM224" s="8"/>
      <c r="BN224" s="8"/>
      <c r="BO224" s="8"/>
      <c r="BP224" s="8"/>
      <c r="BQ224" s="8"/>
      <c r="BR224" s="8"/>
      <c r="BS224" s="8"/>
      <c r="BT224" s="8"/>
      <c r="BU224" s="8"/>
      <c r="BV224" s="8"/>
      <c r="BW224" s="8"/>
      <c r="BX224" s="8"/>
      <c r="BY224" s="8"/>
      <c r="BZ224" s="8"/>
    </row>
    <row r="225" spans="1:78" ht="13" customHeight="1" x14ac:dyDescent="0.15">
      <c r="A225" s="8" t="s">
        <v>6188</v>
      </c>
      <c r="B225" s="8" t="s">
        <v>74</v>
      </c>
      <c r="C225" s="9">
        <v>2004</v>
      </c>
      <c r="D225" s="8" t="s">
        <v>4110</v>
      </c>
      <c r="E225" s="8" t="s">
        <v>4110</v>
      </c>
      <c r="F225" s="8" t="s">
        <v>4111</v>
      </c>
      <c r="G225" s="8" t="str" cm="1">
        <f t="array" ref="G225">LOWER(CleanCode(F225))</f>
        <v>doesthenewimmigrationrequireanewtheoryofintergenerationalintegration</v>
      </c>
      <c r="H225" s="8"/>
      <c r="I225" s="8"/>
      <c r="J225" s="8" t="s">
        <v>4113</v>
      </c>
      <c r="K225" s="8"/>
      <c r="L225" s="8"/>
      <c r="M225" s="8" t="s">
        <v>3038</v>
      </c>
      <c r="N225" s="8" t="str">
        <f t="shared" si="3"/>
        <v>International Migration Review</v>
      </c>
      <c r="O225" s="8" t="s">
        <v>3043</v>
      </c>
      <c r="P225" s="8" t="s">
        <v>69</v>
      </c>
      <c r="Q225" s="8" t="s">
        <v>69</v>
      </c>
      <c r="R225" s="8"/>
      <c r="S225" s="8">
        <v>38</v>
      </c>
      <c r="T225" s="8">
        <v>3</v>
      </c>
      <c r="U225" s="8">
        <v>1126</v>
      </c>
      <c r="V225" s="8">
        <v>1159</v>
      </c>
      <c r="W225" s="8">
        <v>34</v>
      </c>
      <c r="X225" s="8"/>
      <c r="Y225" s="8">
        <v>68</v>
      </c>
      <c r="Z225" s="8">
        <v>106</v>
      </c>
      <c r="AA225" s="8">
        <v>109</v>
      </c>
      <c r="AB225" s="8">
        <v>1</v>
      </c>
      <c r="AC225" s="8">
        <v>35</v>
      </c>
      <c r="AD225" s="8" t="s">
        <v>4116</v>
      </c>
      <c r="AE225" s="8" t="s">
        <v>69</v>
      </c>
      <c r="AF225" s="8" t="s">
        <v>69</v>
      </c>
      <c r="AG225" s="8" t="s">
        <v>4097</v>
      </c>
      <c r="AH225" s="8" t="s">
        <v>4098</v>
      </c>
      <c r="AI225" s="8" t="s">
        <v>4099</v>
      </c>
      <c r="AJ225" s="8" t="s">
        <v>4112</v>
      </c>
      <c r="AK225" s="8" t="s">
        <v>69</v>
      </c>
      <c r="AL225" s="8"/>
      <c r="AM225" s="8"/>
      <c r="AN225" s="8"/>
      <c r="AO225" s="8"/>
      <c r="AP225" s="8"/>
      <c r="AQ225" s="8"/>
      <c r="AR225" s="8"/>
      <c r="AS225" s="8"/>
      <c r="AT225" s="8"/>
      <c r="AU225" s="8"/>
      <c r="AV225" s="8"/>
      <c r="AW225" s="8"/>
      <c r="AX225" s="8"/>
      <c r="AY225" s="8"/>
      <c r="AZ225" s="8"/>
      <c r="BA225" s="8"/>
      <c r="BB225" s="8"/>
      <c r="BC225" s="8"/>
      <c r="BD225" s="8"/>
      <c r="BE225" s="8"/>
      <c r="BF225" s="8"/>
      <c r="BG225" s="8"/>
      <c r="BH225" s="8"/>
      <c r="BI225" s="8"/>
      <c r="BJ225" s="8"/>
      <c r="BK225" s="8"/>
      <c r="BL225" s="8"/>
      <c r="BM225" s="8"/>
      <c r="BN225" s="8"/>
      <c r="BO225" s="8"/>
      <c r="BP225" s="8"/>
      <c r="BQ225" s="8"/>
      <c r="BR225" s="8"/>
      <c r="BS225" s="8"/>
      <c r="BT225" s="8"/>
      <c r="BU225" s="8"/>
      <c r="BV225" s="8"/>
      <c r="BW225" s="8"/>
      <c r="BX225" s="8"/>
      <c r="BY225" s="8"/>
      <c r="BZ225" s="8"/>
    </row>
    <row r="226" spans="1:78" ht="13" customHeight="1" x14ac:dyDescent="0.15">
      <c r="A226" s="8" t="s">
        <v>6188</v>
      </c>
      <c r="B226" s="8" t="s">
        <v>74</v>
      </c>
      <c r="C226" s="9">
        <v>2004</v>
      </c>
      <c r="D226" s="8" t="s">
        <v>4117</v>
      </c>
      <c r="E226" s="8" t="s">
        <v>4117</v>
      </c>
      <c r="F226" s="8" t="s">
        <v>4118</v>
      </c>
      <c r="G226" s="8" t="str" cm="1">
        <f t="array" ref="G226">LOWER(CleanCode(F226))</f>
        <v>raceethnicdifferencesinfemaleheadshipexploringtheassumptionsofassimilationtheory</v>
      </c>
      <c r="H226" s="8"/>
      <c r="I226" s="8"/>
      <c r="J226" s="8" t="s">
        <v>4120</v>
      </c>
      <c r="K226" s="8"/>
      <c r="L226" s="8"/>
      <c r="M226" s="8" t="s">
        <v>500</v>
      </c>
      <c r="N226" s="8" t="str">
        <f t="shared" si="3"/>
        <v>Social Science Quarterly</v>
      </c>
      <c r="O226" s="8" t="s">
        <v>507</v>
      </c>
      <c r="P226" s="8" t="s">
        <v>508</v>
      </c>
      <c r="Q226" s="8" t="s">
        <v>69</v>
      </c>
      <c r="R226" s="8"/>
      <c r="S226" s="8">
        <v>85</v>
      </c>
      <c r="T226" s="8">
        <v>1</v>
      </c>
      <c r="U226" s="8">
        <v>89</v>
      </c>
      <c r="V226" s="8">
        <v>106</v>
      </c>
      <c r="W226" s="8">
        <v>18</v>
      </c>
      <c r="X226" s="8"/>
      <c r="Y226" s="8">
        <v>40</v>
      </c>
      <c r="Z226" s="8">
        <v>19</v>
      </c>
      <c r="AA226" s="8">
        <v>19</v>
      </c>
      <c r="AB226" s="8">
        <v>0</v>
      </c>
      <c r="AC226" s="8">
        <v>7</v>
      </c>
      <c r="AD226" s="8" t="s">
        <v>4126</v>
      </c>
      <c r="AE226" s="8" t="s">
        <v>4124</v>
      </c>
      <c r="AF226" s="8" t="s">
        <v>69</v>
      </c>
      <c r="AG226" s="8" t="s">
        <v>223</v>
      </c>
      <c r="AH226" s="8" t="s">
        <v>224</v>
      </c>
      <c r="AI226" s="8" t="s">
        <v>225</v>
      </c>
      <c r="AJ226" s="8" t="s">
        <v>4119</v>
      </c>
      <c r="AK226" s="8" t="s">
        <v>69</v>
      </c>
      <c r="AL226" s="8"/>
      <c r="AM226" s="8"/>
      <c r="AN226" s="8"/>
      <c r="AO226" s="8"/>
      <c r="AP226" s="8"/>
      <c r="AQ226" s="8"/>
      <c r="AR226" s="8"/>
      <c r="AS226" s="8"/>
      <c r="AT226" s="8"/>
      <c r="AU226" s="8"/>
      <c r="AV226" s="8"/>
      <c r="AW226" s="8"/>
      <c r="AX226" s="8"/>
      <c r="AY226" s="8"/>
      <c r="AZ226" s="8"/>
      <c r="BA226" s="8"/>
      <c r="BB226" s="8"/>
      <c r="BC226" s="8"/>
      <c r="BD226" s="8"/>
      <c r="BE226" s="8"/>
      <c r="BF226" s="8"/>
      <c r="BG226" s="8"/>
      <c r="BH226" s="8"/>
      <c r="BI226" s="8"/>
      <c r="BJ226" s="8"/>
      <c r="BK226" s="8"/>
      <c r="BL226" s="8"/>
      <c r="BM226" s="8"/>
      <c r="BN226" s="8"/>
      <c r="BO226" s="8"/>
      <c r="BP226" s="8"/>
      <c r="BQ226" s="8"/>
      <c r="BR226" s="8"/>
      <c r="BS226" s="8"/>
      <c r="BT226" s="8"/>
      <c r="BU226" s="8"/>
      <c r="BV226" s="8"/>
      <c r="BW226" s="8"/>
      <c r="BX226" s="8"/>
      <c r="BY226" s="8"/>
      <c r="BZ226" s="8"/>
    </row>
    <row r="227" spans="1:78" ht="13" customHeight="1" x14ac:dyDescent="0.15">
      <c r="A227" s="8" t="s">
        <v>6188</v>
      </c>
      <c r="B227" s="8" t="s">
        <v>74</v>
      </c>
      <c r="C227" s="9">
        <v>2004</v>
      </c>
      <c r="D227" s="8" t="s">
        <v>4127</v>
      </c>
      <c r="E227" s="8" t="s">
        <v>4127</v>
      </c>
      <c r="F227" s="8" t="s">
        <v>4128</v>
      </c>
      <c r="G227" s="8" t="str" cm="1">
        <f t="array" ref="G227">LOWER(CleanCode(F227))</f>
        <v>marginalitytheorythelackofconstructvalidity</v>
      </c>
      <c r="H227" s="8"/>
      <c r="I227" s="8"/>
      <c r="J227" s="8" t="s">
        <v>4131</v>
      </c>
      <c r="K227" s="8"/>
      <c r="L227" s="8"/>
      <c r="M227" s="8" t="s">
        <v>1451</v>
      </c>
      <c r="N227" s="8" t="str">
        <f t="shared" si="3"/>
        <v>Hispanic Journal Of Behavioral Sciences</v>
      </c>
      <c r="O227" s="8" t="s">
        <v>1461</v>
      </c>
      <c r="P227" s="8" t="s">
        <v>1462</v>
      </c>
      <c r="Q227" s="8" t="s">
        <v>69</v>
      </c>
      <c r="R227" s="8"/>
      <c r="S227" s="8">
        <v>26</v>
      </c>
      <c r="T227" s="8">
        <v>1</v>
      </c>
      <c r="U227" s="8">
        <v>3</v>
      </c>
      <c r="V227" s="8">
        <v>15</v>
      </c>
      <c r="W227" s="8">
        <v>13</v>
      </c>
      <c r="X227" s="8"/>
      <c r="Y227" s="8">
        <v>74</v>
      </c>
      <c r="Z227" s="8">
        <v>23</v>
      </c>
      <c r="AA227" s="8">
        <v>23</v>
      </c>
      <c r="AB227" s="8">
        <v>0</v>
      </c>
      <c r="AC227" s="8">
        <v>11</v>
      </c>
      <c r="AD227" s="8" t="s">
        <v>4135</v>
      </c>
      <c r="AE227" s="8" t="s">
        <v>4133</v>
      </c>
      <c r="AF227" s="8" t="s">
        <v>69</v>
      </c>
      <c r="AG227" s="8" t="s">
        <v>180</v>
      </c>
      <c r="AH227" s="8" t="s">
        <v>181</v>
      </c>
      <c r="AI227" s="8" t="s">
        <v>182</v>
      </c>
      <c r="AJ227" s="8" t="s">
        <v>4130</v>
      </c>
      <c r="AK227" s="8" t="s">
        <v>4129</v>
      </c>
      <c r="AL227" s="8"/>
      <c r="AM227" s="8"/>
      <c r="AN227" s="8"/>
      <c r="AO227" s="8"/>
      <c r="AP227" s="8"/>
      <c r="AQ227" s="8"/>
      <c r="AR227" s="8"/>
      <c r="AS227" s="8"/>
      <c r="AT227" s="8"/>
      <c r="AU227" s="8"/>
      <c r="AV227" s="8"/>
      <c r="AW227" s="8"/>
      <c r="AX227" s="8"/>
      <c r="AY227" s="8"/>
      <c r="AZ227" s="8"/>
      <c r="BA227" s="8"/>
      <c r="BB227" s="8"/>
      <c r="BC227" s="8"/>
      <c r="BD227" s="8"/>
      <c r="BE227" s="8"/>
      <c r="BF227" s="8"/>
      <c r="BG227" s="8"/>
      <c r="BH227" s="8"/>
      <c r="BI227" s="8"/>
      <c r="BJ227" s="8"/>
      <c r="BK227" s="8"/>
      <c r="BL227" s="8"/>
      <c r="BM227" s="8"/>
      <c r="BN227" s="8"/>
      <c r="BO227" s="8"/>
      <c r="BP227" s="8"/>
      <c r="BQ227" s="8"/>
      <c r="BR227" s="8"/>
      <c r="BS227" s="8"/>
      <c r="BT227" s="8"/>
      <c r="BU227" s="8"/>
      <c r="BV227" s="8"/>
      <c r="BW227" s="8"/>
      <c r="BX227" s="8"/>
      <c r="BY227" s="8"/>
      <c r="BZ227" s="8"/>
    </row>
    <row r="228" spans="1:78" ht="13" customHeight="1" x14ac:dyDescent="0.15">
      <c r="A228" s="8" t="s">
        <v>6188</v>
      </c>
      <c r="B228" s="8" t="s">
        <v>74</v>
      </c>
      <c r="C228" s="9">
        <v>2004</v>
      </c>
      <c r="D228" s="8" t="s">
        <v>4136</v>
      </c>
      <c r="E228" s="8" t="s">
        <v>4136</v>
      </c>
      <c r="F228" s="8" t="s">
        <v>4137</v>
      </c>
      <c r="G228" s="8" t="str" cm="1">
        <f t="array" ref="G228">LOWER(CleanCode(F228))</f>
        <v>somaliyouthinthecontextofschoolinginmetropolitanhelsinkiaframeworkforassessingvariabilityineducationalperformance</v>
      </c>
      <c r="H228" s="8"/>
      <c r="I228" s="8"/>
      <c r="J228" s="8" t="s">
        <v>4140</v>
      </c>
      <c r="K228" s="8"/>
      <c r="L228" s="8"/>
      <c r="M228" s="8" t="s">
        <v>1726</v>
      </c>
      <c r="N228" s="8" t="str">
        <f t="shared" si="3"/>
        <v>Journal Of Ethnic And Migration Studies</v>
      </c>
      <c r="O228" s="8" t="s">
        <v>1734</v>
      </c>
      <c r="P228" s="8" t="s">
        <v>1735</v>
      </c>
      <c r="Q228" s="8" t="s">
        <v>69</v>
      </c>
      <c r="R228" s="8"/>
      <c r="S228" s="8">
        <v>30</v>
      </c>
      <c r="T228" s="8">
        <v>1</v>
      </c>
      <c r="U228" s="8">
        <v>81</v>
      </c>
      <c r="V228" s="8">
        <v>106</v>
      </c>
      <c r="W228" s="8">
        <v>26</v>
      </c>
      <c r="X228" s="8"/>
      <c r="Y228" s="8">
        <v>91</v>
      </c>
      <c r="Z228" s="8">
        <v>17</v>
      </c>
      <c r="AA228" s="8">
        <v>17</v>
      </c>
      <c r="AB228" s="8">
        <v>0</v>
      </c>
      <c r="AC228" s="8">
        <v>3</v>
      </c>
      <c r="AD228" s="8" t="s">
        <v>4146</v>
      </c>
      <c r="AE228" s="8" t="s">
        <v>4144</v>
      </c>
      <c r="AF228" s="8" t="s">
        <v>69</v>
      </c>
      <c r="AG228" s="8" t="s">
        <v>108</v>
      </c>
      <c r="AH228" s="8" t="s">
        <v>109</v>
      </c>
      <c r="AI228" s="8" t="s">
        <v>110</v>
      </c>
      <c r="AJ228" s="8" t="s">
        <v>4139</v>
      </c>
      <c r="AK228" s="8" t="s">
        <v>4138</v>
      </c>
      <c r="AL228" s="8"/>
      <c r="AM228" s="8"/>
      <c r="AN228" s="8"/>
      <c r="AO228" s="8"/>
      <c r="AP228" s="8"/>
      <c r="AQ228" s="8"/>
      <c r="AR228" s="8"/>
      <c r="AS228" s="8"/>
      <c r="AT228" s="8"/>
      <c r="AU228" s="8"/>
      <c r="AV228" s="8"/>
      <c r="AW228" s="8"/>
      <c r="AX228" s="8"/>
      <c r="AY228" s="8"/>
      <c r="AZ228" s="8"/>
      <c r="BA228" s="8"/>
      <c r="BB228" s="8"/>
      <c r="BC228" s="8"/>
      <c r="BD228" s="8"/>
      <c r="BE228" s="8"/>
      <c r="BF228" s="8"/>
      <c r="BG228" s="8"/>
      <c r="BH228" s="8"/>
      <c r="BI228" s="8"/>
      <c r="BJ228" s="8"/>
      <c r="BK228" s="8"/>
      <c r="BL228" s="8"/>
      <c r="BM228" s="8"/>
      <c r="BN228" s="8"/>
      <c r="BO228" s="8"/>
      <c r="BP228" s="8"/>
      <c r="BQ228" s="8"/>
      <c r="BR228" s="8"/>
      <c r="BS228" s="8"/>
      <c r="BT228" s="8"/>
      <c r="BU228" s="8"/>
      <c r="BV228" s="8"/>
      <c r="BW228" s="8"/>
      <c r="BX228" s="8"/>
      <c r="BY228" s="8"/>
      <c r="BZ228" s="8"/>
    </row>
    <row r="229" spans="1:78" ht="13" customHeight="1" x14ac:dyDescent="0.15">
      <c r="A229" s="8" t="s">
        <v>6188</v>
      </c>
      <c r="B229" s="8" t="s">
        <v>74</v>
      </c>
      <c r="C229" s="9">
        <v>2003</v>
      </c>
      <c r="D229" s="8" t="s">
        <v>4147</v>
      </c>
      <c r="E229" s="8" t="s">
        <v>4147</v>
      </c>
      <c r="F229" s="8" t="s">
        <v>4148</v>
      </c>
      <c r="G229" s="8" t="str" cm="1">
        <f t="array" ref="G229">LOWER(CleanCode(F229))</f>
        <v>brandmorphingimplicationsforadvertisingtheoryandpractice</v>
      </c>
      <c r="H229" s="8"/>
      <c r="I229" s="8"/>
      <c r="J229" s="8" t="s">
        <v>4151</v>
      </c>
      <c r="K229" s="8"/>
      <c r="L229" s="8"/>
      <c r="M229" s="8" t="s">
        <v>4149</v>
      </c>
      <c r="N229" s="8" t="str">
        <f t="shared" si="3"/>
        <v>Journal Of Advertising</v>
      </c>
      <c r="O229" s="8" t="s">
        <v>4154</v>
      </c>
      <c r="P229" s="8" t="s">
        <v>4155</v>
      </c>
      <c r="Q229" s="8" t="s">
        <v>69</v>
      </c>
      <c r="R229" s="8"/>
      <c r="S229" s="8">
        <v>32</v>
      </c>
      <c r="T229" s="8">
        <v>1</v>
      </c>
      <c r="U229" s="8">
        <v>59</v>
      </c>
      <c r="V229" s="8">
        <v>68</v>
      </c>
      <c r="W229" s="8">
        <v>10</v>
      </c>
      <c r="X229" s="8"/>
      <c r="Y229" s="8">
        <v>45</v>
      </c>
      <c r="Z229" s="8">
        <v>41</v>
      </c>
      <c r="AA229" s="8">
        <v>41</v>
      </c>
      <c r="AB229" s="8">
        <v>1</v>
      </c>
      <c r="AC229" s="8">
        <v>13</v>
      </c>
      <c r="AD229" s="8" t="s">
        <v>4163</v>
      </c>
      <c r="AE229" s="8" t="s">
        <v>4159</v>
      </c>
      <c r="AF229" s="8" t="s">
        <v>69</v>
      </c>
      <c r="AG229" s="8" t="s">
        <v>108</v>
      </c>
      <c r="AH229" s="8" t="s">
        <v>109</v>
      </c>
      <c r="AI229" s="8" t="s">
        <v>110</v>
      </c>
      <c r="AJ229" s="8" t="s">
        <v>4150</v>
      </c>
      <c r="AK229" s="8" t="s">
        <v>69</v>
      </c>
      <c r="AL229" s="8"/>
      <c r="AM229" s="8"/>
      <c r="AN229" s="8"/>
      <c r="AO229" s="8"/>
      <c r="AP229" s="8"/>
      <c r="AQ229" s="8"/>
      <c r="AR229" s="8"/>
      <c r="AS229" s="8"/>
      <c r="AT229" s="8"/>
      <c r="AU229" s="8"/>
      <c r="AV229" s="8"/>
      <c r="AW229" s="8"/>
      <c r="AX229" s="8"/>
      <c r="AY229" s="8"/>
      <c r="AZ229" s="8"/>
      <c r="BA229" s="8"/>
      <c r="BB229" s="8"/>
      <c r="BC229" s="8"/>
      <c r="BD229" s="8"/>
      <c r="BE229" s="8"/>
      <c r="BF229" s="8"/>
      <c r="BG229" s="8"/>
      <c r="BH229" s="8"/>
      <c r="BI229" s="8"/>
      <c r="BJ229" s="8"/>
      <c r="BK229" s="8"/>
      <c r="BL229" s="8"/>
      <c r="BM229" s="8"/>
      <c r="BN229" s="8"/>
      <c r="BO229" s="8"/>
      <c r="BP229" s="8"/>
      <c r="BQ229" s="8"/>
      <c r="BR229" s="8"/>
      <c r="BS229" s="8"/>
      <c r="BT229" s="8"/>
      <c r="BU229" s="8"/>
      <c r="BV229" s="8"/>
      <c r="BW229" s="8"/>
      <c r="BX229" s="8"/>
      <c r="BY229" s="8"/>
      <c r="BZ229" s="8"/>
    </row>
    <row r="230" spans="1:78" ht="13" customHeight="1" x14ac:dyDescent="0.15">
      <c r="A230" s="8" t="s">
        <v>6188</v>
      </c>
      <c r="B230" s="8" t="s">
        <v>74</v>
      </c>
      <c r="C230" s="9">
        <v>2003</v>
      </c>
      <c r="D230" s="8" t="s">
        <v>4164</v>
      </c>
      <c r="E230" s="8" t="s">
        <v>4164</v>
      </c>
      <c r="F230" s="8" t="s">
        <v>4165</v>
      </c>
      <c r="G230" s="8" t="str" cm="1">
        <f t="array" ref="G230">LOWER(CleanCode(F230))</f>
        <v>schoolcounselorsethnictoleranceattitudesandracismattitudesaspredictorsoftheirmulticulturalcaseconceptualizationofanimmigrantstudent</v>
      </c>
      <c r="H230" s="8"/>
      <c r="I230" s="8"/>
      <c r="J230" s="8" t="s">
        <v>4168</v>
      </c>
      <c r="K230" s="8"/>
      <c r="L230" s="8"/>
      <c r="M230" s="8" t="s">
        <v>4166</v>
      </c>
      <c r="N230" s="8" t="str">
        <f t="shared" si="3"/>
        <v>Journal Of Counseling And Development</v>
      </c>
      <c r="O230" s="8" t="s">
        <v>4174</v>
      </c>
      <c r="P230" s="8" t="s">
        <v>69</v>
      </c>
      <c r="Q230" s="8" t="s">
        <v>69</v>
      </c>
      <c r="R230" s="8"/>
      <c r="S230" s="8">
        <v>81</v>
      </c>
      <c r="T230" s="8">
        <v>2</v>
      </c>
      <c r="U230" s="8">
        <v>185</v>
      </c>
      <c r="V230" s="8">
        <v>190</v>
      </c>
      <c r="W230" s="8">
        <v>6</v>
      </c>
      <c r="X230" s="8"/>
      <c r="Y230" s="8">
        <v>46</v>
      </c>
      <c r="Z230" s="8">
        <v>27</v>
      </c>
      <c r="AA230" s="8">
        <v>27</v>
      </c>
      <c r="AB230" s="8">
        <v>0</v>
      </c>
      <c r="AC230" s="8">
        <v>5</v>
      </c>
      <c r="AD230" s="8" t="s">
        <v>4179</v>
      </c>
      <c r="AE230" s="8" t="s">
        <v>4177</v>
      </c>
      <c r="AF230" s="8" t="s">
        <v>69</v>
      </c>
      <c r="AG230" s="8" t="s">
        <v>4171</v>
      </c>
      <c r="AH230" s="8" t="s">
        <v>4172</v>
      </c>
      <c r="AI230" s="8" t="s">
        <v>4173</v>
      </c>
      <c r="AJ230" s="8" t="s">
        <v>4167</v>
      </c>
      <c r="AK230" s="8" t="s">
        <v>69</v>
      </c>
      <c r="AL230" s="8"/>
      <c r="AM230" s="8"/>
      <c r="AN230" s="8"/>
      <c r="AO230" s="8"/>
      <c r="AP230" s="8"/>
      <c r="AQ230" s="8"/>
      <c r="AR230" s="8"/>
      <c r="AS230" s="8"/>
      <c r="AT230" s="8"/>
      <c r="AU230" s="8"/>
      <c r="AV230" s="8"/>
      <c r="AW230" s="8"/>
      <c r="AX230" s="8"/>
      <c r="AY230" s="8"/>
      <c r="AZ230" s="8"/>
      <c r="BA230" s="8"/>
      <c r="BB230" s="8"/>
      <c r="BC230" s="8"/>
      <c r="BD230" s="8"/>
      <c r="BE230" s="8"/>
      <c r="BF230" s="8"/>
      <c r="BG230" s="8"/>
      <c r="BH230" s="8"/>
      <c r="BI230" s="8"/>
      <c r="BJ230" s="8"/>
      <c r="BK230" s="8"/>
      <c r="BL230" s="8"/>
      <c r="BM230" s="8"/>
      <c r="BN230" s="8"/>
      <c r="BO230" s="8"/>
      <c r="BP230" s="8"/>
      <c r="BQ230" s="8"/>
      <c r="BR230" s="8"/>
      <c r="BS230" s="8"/>
      <c r="BT230" s="8"/>
      <c r="BU230" s="8"/>
      <c r="BV230" s="8"/>
      <c r="BW230" s="8"/>
      <c r="BX230" s="8"/>
      <c r="BY230" s="8"/>
      <c r="BZ230" s="8"/>
    </row>
    <row r="231" spans="1:78" ht="13" customHeight="1" x14ac:dyDescent="0.15">
      <c r="A231" s="8" t="s">
        <v>6188</v>
      </c>
      <c r="B231" s="8" t="s">
        <v>74</v>
      </c>
      <c r="C231" s="9">
        <v>2003</v>
      </c>
      <c r="D231" s="8" t="s">
        <v>4180</v>
      </c>
      <c r="E231" s="8" t="s">
        <v>4180</v>
      </c>
      <c r="F231" s="8" t="s">
        <v>4181</v>
      </c>
      <c r="G231" s="8" t="str" cm="1">
        <f t="array" ref="G231">LOWER(CleanCode(F231))</f>
        <v>acculturationorientationsafacettheoryperspectiveonthebidimensionalmodel</v>
      </c>
      <c r="H231" s="8"/>
      <c r="I231" s="8"/>
      <c r="J231" s="8" t="s">
        <v>4185</v>
      </c>
      <c r="K231" s="8"/>
      <c r="L231" s="8"/>
      <c r="M231" s="8" t="s">
        <v>4182</v>
      </c>
      <c r="N231" s="8" t="str">
        <f t="shared" si="3"/>
        <v>Journal Of Cross-Cultural Psychology</v>
      </c>
      <c r="O231" s="8" t="s">
        <v>4189</v>
      </c>
      <c r="P231" s="8" t="s">
        <v>4190</v>
      </c>
      <c r="Q231" s="8" t="s">
        <v>69</v>
      </c>
      <c r="R231" s="8"/>
      <c r="S231" s="8">
        <v>34</v>
      </c>
      <c r="T231" s="8">
        <v>2</v>
      </c>
      <c r="U231" s="8">
        <v>176</v>
      </c>
      <c r="V231" s="8">
        <v>188</v>
      </c>
      <c r="W231" s="8">
        <v>13</v>
      </c>
      <c r="X231" s="8"/>
      <c r="Y231" s="8">
        <v>35</v>
      </c>
      <c r="Z231" s="8">
        <v>25</v>
      </c>
      <c r="AA231" s="8">
        <v>25</v>
      </c>
      <c r="AB231" s="8">
        <v>1</v>
      </c>
      <c r="AC231" s="8">
        <v>9</v>
      </c>
      <c r="AD231" s="8" t="s">
        <v>4195</v>
      </c>
      <c r="AE231" s="8" t="s">
        <v>4193</v>
      </c>
      <c r="AF231" s="8" t="s">
        <v>69</v>
      </c>
      <c r="AG231" s="8" t="s">
        <v>180</v>
      </c>
      <c r="AH231" s="8" t="s">
        <v>181</v>
      </c>
      <c r="AI231" s="8" t="s">
        <v>182</v>
      </c>
      <c r="AJ231" s="8" t="s">
        <v>4184</v>
      </c>
      <c r="AK231" s="8" t="s">
        <v>4183</v>
      </c>
      <c r="AL231" s="8"/>
      <c r="AM231" s="8"/>
      <c r="AN231" s="8"/>
      <c r="AO231" s="8"/>
      <c r="AP231" s="8"/>
      <c r="AQ231" s="8"/>
      <c r="AR231" s="8"/>
      <c r="AS231" s="8"/>
      <c r="AT231" s="8"/>
      <c r="AU231" s="8"/>
      <c r="AV231" s="8"/>
      <c r="AW231" s="8"/>
      <c r="AX231" s="8"/>
      <c r="AY231" s="8"/>
      <c r="AZ231" s="8"/>
      <c r="BA231" s="8"/>
      <c r="BB231" s="8"/>
      <c r="BC231" s="8"/>
      <c r="BD231" s="8"/>
      <c r="BE231" s="8"/>
      <c r="BF231" s="8"/>
      <c r="BG231" s="8"/>
      <c r="BH231" s="8"/>
      <c r="BI231" s="8"/>
      <c r="BJ231" s="8"/>
      <c r="BK231" s="8"/>
      <c r="BL231" s="8"/>
      <c r="BM231" s="8"/>
      <c r="BN231" s="8"/>
      <c r="BO231" s="8"/>
      <c r="BP231" s="8"/>
      <c r="BQ231" s="8"/>
      <c r="BR231" s="8"/>
      <c r="BS231" s="8"/>
      <c r="BT231" s="8"/>
      <c r="BU231" s="8"/>
      <c r="BV231" s="8"/>
      <c r="BW231" s="8"/>
      <c r="BX231" s="8"/>
      <c r="BY231" s="8"/>
      <c r="BZ231" s="8"/>
    </row>
    <row r="232" spans="1:78" ht="13" customHeight="1" x14ac:dyDescent="0.15">
      <c r="A232" s="8" t="s">
        <v>6188</v>
      </c>
      <c r="B232" s="8" t="s">
        <v>74</v>
      </c>
      <c r="C232" s="9">
        <v>2003</v>
      </c>
      <c r="D232" s="8" t="s">
        <v>4196</v>
      </c>
      <c r="E232" s="8" t="s">
        <v>4196</v>
      </c>
      <c r="F232" s="8" t="s">
        <v>4197</v>
      </c>
      <c r="G232" s="8" t="str" cm="1">
        <f t="array" ref="G232">LOWER(CleanCode(F232))</f>
        <v>refugeeeconomicadaptationtheoryevidenceandimplicationsforpolicyandpractice</v>
      </c>
      <c r="H232" s="8"/>
      <c r="I232" s="8"/>
      <c r="J232" s="8" t="s">
        <v>4201</v>
      </c>
      <c r="K232" s="8"/>
      <c r="L232" s="8"/>
      <c r="M232" s="8" t="s">
        <v>4198</v>
      </c>
      <c r="N232" s="8" t="str">
        <f t="shared" si="3"/>
        <v>Journal Of Social Service Research</v>
      </c>
      <c r="O232" s="8" t="s">
        <v>4207</v>
      </c>
      <c r="P232" s="8" t="s">
        <v>69</v>
      </c>
      <c r="Q232" s="8" t="s">
        <v>69</v>
      </c>
      <c r="R232" s="8"/>
      <c r="S232" s="8">
        <v>30</v>
      </c>
      <c r="T232" s="8">
        <v>1</v>
      </c>
      <c r="U232" s="8">
        <v>63</v>
      </c>
      <c r="V232" s="8">
        <v>91</v>
      </c>
      <c r="W232" s="8">
        <v>29</v>
      </c>
      <c r="X232" s="8"/>
      <c r="Y232" s="8">
        <v>40</v>
      </c>
      <c r="Z232" s="8">
        <v>29</v>
      </c>
      <c r="AA232" s="8">
        <v>29</v>
      </c>
      <c r="AB232" s="8">
        <v>2</v>
      </c>
      <c r="AC232" s="8">
        <v>17</v>
      </c>
      <c r="AD232" s="8" t="s">
        <v>4212</v>
      </c>
      <c r="AE232" s="8" t="s">
        <v>4210</v>
      </c>
      <c r="AF232" s="8" t="s">
        <v>69</v>
      </c>
      <c r="AG232" s="8" t="s">
        <v>4204</v>
      </c>
      <c r="AH232" s="8" t="s">
        <v>4205</v>
      </c>
      <c r="AI232" s="8" t="s">
        <v>4206</v>
      </c>
      <c r="AJ232" s="8" t="s">
        <v>4200</v>
      </c>
      <c r="AK232" s="8" t="s">
        <v>4199</v>
      </c>
      <c r="AL232" s="8"/>
      <c r="AM232" s="8"/>
      <c r="AN232" s="8"/>
      <c r="AO232" s="8"/>
      <c r="AP232" s="8"/>
      <c r="AQ232" s="8"/>
      <c r="AR232" s="8"/>
      <c r="AS232" s="8"/>
      <c r="AT232" s="8"/>
      <c r="AU232" s="8"/>
      <c r="AV232" s="8"/>
      <c r="AW232" s="8"/>
      <c r="AX232" s="8"/>
      <c r="AY232" s="8"/>
      <c r="AZ232" s="8"/>
      <c r="BA232" s="8"/>
      <c r="BB232" s="8"/>
      <c r="BC232" s="8"/>
      <c r="BD232" s="8"/>
      <c r="BE232" s="8"/>
      <c r="BF232" s="8"/>
      <c r="BG232" s="8"/>
      <c r="BH232" s="8"/>
      <c r="BI232" s="8"/>
      <c r="BJ232" s="8"/>
      <c r="BK232" s="8"/>
      <c r="BL232" s="8"/>
      <c r="BM232" s="8"/>
      <c r="BN232" s="8"/>
      <c r="BO232" s="8"/>
      <c r="BP232" s="8"/>
      <c r="BQ232" s="8"/>
      <c r="BR232" s="8"/>
      <c r="BS232" s="8"/>
      <c r="BT232" s="8"/>
      <c r="BU232" s="8"/>
      <c r="BV232" s="8"/>
      <c r="BW232" s="8"/>
      <c r="BX232" s="8"/>
      <c r="BY232" s="8"/>
      <c r="BZ232" s="8"/>
    </row>
    <row r="233" spans="1:78" ht="13" customHeight="1" x14ac:dyDescent="0.15">
      <c r="A233" s="8" t="s">
        <v>6188</v>
      </c>
      <c r="B233" s="8" t="s">
        <v>2244</v>
      </c>
      <c r="C233" s="9">
        <v>2002</v>
      </c>
      <c r="D233" s="8" t="s">
        <v>4213</v>
      </c>
      <c r="E233" s="8" t="s">
        <v>4213</v>
      </c>
      <c r="F233" s="8" t="s">
        <v>4214</v>
      </c>
      <c r="G233" s="8" t="str" cm="1">
        <f t="array" ref="G233">LOWER(CleanCode(F233))</f>
        <v>hostsocietiesandthereceptionofimmigrantsresearchthemesemergingtheoriesandmethodologicalissues</v>
      </c>
      <c r="H233" s="8"/>
      <c r="I233" s="8"/>
      <c r="J233" s="8" t="s">
        <v>4215</v>
      </c>
      <c r="K233" s="8"/>
      <c r="L233" s="8"/>
      <c r="M233" s="8" t="s">
        <v>3038</v>
      </c>
      <c r="N233" s="8" t="str">
        <f t="shared" si="3"/>
        <v>International Migration Review</v>
      </c>
      <c r="O233" s="8" t="s">
        <v>3043</v>
      </c>
      <c r="P233" s="8" t="s">
        <v>69</v>
      </c>
      <c r="Q233" s="8" t="s">
        <v>69</v>
      </c>
      <c r="R233" s="8"/>
      <c r="S233" s="8">
        <v>36</v>
      </c>
      <c r="T233" s="8">
        <v>4</v>
      </c>
      <c r="U233" s="8">
        <v>1005</v>
      </c>
      <c r="V233" s="8">
        <v>1019</v>
      </c>
      <c r="W233" s="8">
        <v>15</v>
      </c>
      <c r="X233" s="8"/>
      <c r="Y233" s="8">
        <v>15</v>
      </c>
      <c r="Z233" s="8">
        <v>62</v>
      </c>
      <c r="AA233" s="8">
        <v>63</v>
      </c>
      <c r="AB233" s="8">
        <v>0</v>
      </c>
      <c r="AC233" s="8">
        <v>13</v>
      </c>
      <c r="AD233" s="8" t="s">
        <v>4219</v>
      </c>
      <c r="AE233" s="8" t="s">
        <v>69</v>
      </c>
      <c r="AF233" s="8" t="s">
        <v>69</v>
      </c>
      <c r="AG233" s="8" t="s">
        <v>4097</v>
      </c>
      <c r="AH233" s="8" t="s">
        <v>4098</v>
      </c>
      <c r="AI233" s="8" t="s">
        <v>4099</v>
      </c>
      <c r="AJ233" s="8" t="s">
        <v>1810</v>
      </c>
      <c r="AK233" s="8" t="s">
        <v>69</v>
      </c>
      <c r="AL233" s="8"/>
      <c r="AM233" s="8"/>
      <c r="AN233" s="8"/>
      <c r="AO233" s="8"/>
      <c r="AP233" s="8"/>
      <c r="AQ233" s="8"/>
      <c r="AR233" s="8"/>
      <c r="AS233" s="8"/>
      <c r="AT233" s="8"/>
      <c r="AU233" s="8"/>
      <c r="AV233" s="8"/>
      <c r="AW233" s="8"/>
      <c r="AX233" s="8"/>
      <c r="AY233" s="8"/>
      <c r="AZ233" s="8"/>
      <c r="BA233" s="8"/>
      <c r="BB233" s="8"/>
      <c r="BC233" s="8"/>
      <c r="BD233" s="8"/>
      <c r="BE233" s="8"/>
      <c r="BF233" s="8"/>
      <c r="BG233" s="8"/>
      <c r="BH233" s="8"/>
      <c r="BI233" s="8"/>
      <c r="BJ233" s="8"/>
      <c r="BK233" s="8"/>
      <c r="BL233" s="8"/>
      <c r="BM233" s="8"/>
      <c r="BN233" s="8"/>
      <c r="BO233" s="8"/>
      <c r="BP233" s="8"/>
      <c r="BQ233" s="8"/>
      <c r="BR233" s="8"/>
      <c r="BS233" s="8"/>
      <c r="BT233" s="8"/>
      <c r="BU233" s="8"/>
      <c r="BV233" s="8"/>
      <c r="BW233" s="8"/>
      <c r="BX233" s="8"/>
      <c r="BY233" s="8"/>
      <c r="BZ233" s="8"/>
    </row>
    <row r="234" spans="1:78" ht="13" customHeight="1" x14ac:dyDescent="0.15">
      <c r="A234" s="8" t="s">
        <v>6188</v>
      </c>
      <c r="B234" s="8" t="s">
        <v>74</v>
      </c>
      <c r="C234" s="9">
        <v>2002</v>
      </c>
      <c r="D234" s="8" t="s">
        <v>4220</v>
      </c>
      <c r="E234" s="8" t="s">
        <v>4220</v>
      </c>
      <c r="F234" s="8" t="s">
        <v>4221</v>
      </c>
      <c r="G234" s="8" t="str" cm="1">
        <f t="array" ref="G234">LOWER(CleanCode(F234))</f>
        <v>conceptualandmethodologicallinkagesincrossculturalgroupsandcrossnationalagingresearch</v>
      </c>
      <c r="H234" s="8"/>
      <c r="I234" s="8"/>
      <c r="J234" s="8" t="s">
        <v>4223</v>
      </c>
      <c r="K234" s="8"/>
      <c r="L234" s="8"/>
      <c r="M234" s="8" t="s">
        <v>1285</v>
      </c>
      <c r="N234" s="8" t="str">
        <f t="shared" si="3"/>
        <v>Journal Of Social Issues</v>
      </c>
      <c r="O234" s="8" t="s">
        <v>1293</v>
      </c>
      <c r="P234" s="8" t="s">
        <v>1294</v>
      </c>
      <c r="Q234" s="8" t="s">
        <v>69</v>
      </c>
      <c r="R234" s="8"/>
      <c r="S234" s="8">
        <v>58</v>
      </c>
      <c r="T234" s="8">
        <v>4</v>
      </c>
      <c r="U234" s="8">
        <v>825</v>
      </c>
      <c r="V234" s="8">
        <v>835</v>
      </c>
      <c r="W234" s="8">
        <v>11</v>
      </c>
      <c r="X234" s="8"/>
      <c r="Y234" s="8">
        <v>53</v>
      </c>
      <c r="Z234" s="8">
        <v>12</v>
      </c>
      <c r="AA234" s="8">
        <v>12</v>
      </c>
      <c r="AB234" s="8">
        <v>0</v>
      </c>
      <c r="AC234" s="8">
        <v>6</v>
      </c>
      <c r="AD234" s="8" t="s">
        <v>4229</v>
      </c>
      <c r="AE234" s="8" t="s">
        <v>4227</v>
      </c>
      <c r="AF234" s="8" t="s">
        <v>69</v>
      </c>
      <c r="AG234" s="8" t="s">
        <v>223</v>
      </c>
      <c r="AH234" s="8" t="s">
        <v>224</v>
      </c>
      <c r="AI234" s="8" t="s">
        <v>225</v>
      </c>
      <c r="AJ234" s="8" t="s">
        <v>4222</v>
      </c>
      <c r="AK234" s="8" t="s">
        <v>69</v>
      </c>
      <c r="AL234" s="8"/>
      <c r="AM234" s="8"/>
      <c r="AN234" s="8"/>
      <c r="AO234" s="8"/>
      <c r="AP234" s="8"/>
      <c r="AQ234" s="8"/>
      <c r="AR234" s="8"/>
      <c r="AS234" s="8"/>
      <c r="AT234" s="8"/>
      <c r="AU234" s="8"/>
      <c r="AV234" s="8"/>
      <c r="AW234" s="8"/>
      <c r="AX234" s="8"/>
      <c r="AY234" s="8"/>
      <c r="AZ234" s="8"/>
      <c r="BA234" s="8"/>
      <c r="BB234" s="8"/>
      <c r="BC234" s="8"/>
      <c r="BD234" s="8"/>
      <c r="BE234" s="8"/>
      <c r="BF234" s="8"/>
      <c r="BG234" s="8"/>
      <c r="BH234" s="8"/>
      <c r="BI234" s="8"/>
      <c r="BJ234" s="8"/>
      <c r="BK234" s="8"/>
      <c r="BL234" s="8"/>
      <c r="BM234" s="8"/>
      <c r="BN234" s="8"/>
      <c r="BO234" s="8"/>
      <c r="BP234" s="8"/>
      <c r="BQ234" s="8"/>
      <c r="BR234" s="8"/>
      <c r="BS234" s="8"/>
      <c r="BT234" s="8"/>
      <c r="BU234" s="8"/>
      <c r="BV234" s="8"/>
      <c r="BW234" s="8"/>
      <c r="BX234" s="8"/>
      <c r="BY234" s="8"/>
      <c r="BZ234" s="8"/>
    </row>
    <row r="235" spans="1:78" ht="13" customHeight="1" x14ac:dyDescent="0.15">
      <c r="A235" s="8" t="s">
        <v>6188</v>
      </c>
      <c r="B235" s="8" t="s">
        <v>74</v>
      </c>
      <c r="C235" s="9">
        <v>2002</v>
      </c>
      <c r="D235" s="8" t="s">
        <v>4230</v>
      </c>
      <c r="E235" s="8" t="s">
        <v>4230</v>
      </c>
      <c r="F235" s="8" t="s">
        <v>4231</v>
      </c>
      <c r="G235" s="8" t="str" cm="1">
        <f t="array" ref="G235">LOWER(CleanCode(F235))</f>
        <v>protectivefactoragainstsubstanceuseamongasianamericanyouthatestofthepeerclustertheory</v>
      </c>
      <c r="H235" s="8"/>
      <c r="I235" s="8"/>
      <c r="J235" s="8" t="s">
        <v>4234</v>
      </c>
      <c r="K235" s="8"/>
      <c r="L235" s="8"/>
      <c r="M235" s="8" t="s">
        <v>4232</v>
      </c>
      <c r="N235" s="8" t="str">
        <f t="shared" si="3"/>
        <v>Journal Of Community Psychology</v>
      </c>
      <c r="O235" s="8" t="s">
        <v>4240</v>
      </c>
      <c r="P235" s="8" t="s">
        <v>69</v>
      </c>
      <c r="Q235" s="8" t="s">
        <v>69</v>
      </c>
      <c r="R235" s="8"/>
      <c r="S235" s="8">
        <v>30</v>
      </c>
      <c r="T235" s="8">
        <v>5</v>
      </c>
      <c r="U235" s="8">
        <v>565</v>
      </c>
      <c r="V235" s="8">
        <v>584</v>
      </c>
      <c r="W235" s="8">
        <v>20</v>
      </c>
      <c r="X235" s="8"/>
      <c r="Y235" s="8">
        <v>85</v>
      </c>
      <c r="Z235" s="8">
        <v>30</v>
      </c>
      <c r="AA235" s="8">
        <v>31</v>
      </c>
      <c r="AB235" s="8">
        <v>0</v>
      </c>
      <c r="AC235" s="8">
        <v>7</v>
      </c>
      <c r="AD235" s="8" t="s">
        <v>4245</v>
      </c>
      <c r="AE235" s="8" t="s">
        <v>4243</v>
      </c>
      <c r="AF235" s="8" t="s">
        <v>69</v>
      </c>
      <c r="AG235" s="8" t="s">
        <v>4238</v>
      </c>
      <c r="AH235" s="8" t="s">
        <v>224</v>
      </c>
      <c r="AI235" s="8" t="s">
        <v>4239</v>
      </c>
      <c r="AJ235" s="8" t="s">
        <v>4233</v>
      </c>
      <c r="AK235" s="8" t="s">
        <v>69</v>
      </c>
      <c r="AL235" s="8"/>
      <c r="AM235" s="8"/>
      <c r="AN235" s="8"/>
      <c r="AO235" s="8"/>
      <c r="AP235" s="8"/>
      <c r="AQ235" s="8"/>
      <c r="AR235" s="8"/>
      <c r="AS235" s="8"/>
      <c r="AT235" s="8"/>
      <c r="AU235" s="8"/>
      <c r="AV235" s="8"/>
      <c r="AW235" s="8"/>
      <c r="AX235" s="8"/>
      <c r="AY235" s="8"/>
      <c r="AZ235" s="8"/>
      <c r="BA235" s="8"/>
      <c r="BB235" s="8"/>
      <c r="BC235" s="8"/>
      <c r="BD235" s="8"/>
      <c r="BE235" s="8"/>
      <c r="BF235" s="8"/>
      <c r="BG235" s="8"/>
      <c r="BH235" s="8"/>
      <c r="BI235" s="8"/>
      <c r="BJ235" s="8"/>
      <c r="BK235" s="8"/>
      <c r="BL235" s="8"/>
      <c r="BM235" s="8"/>
      <c r="BN235" s="8"/>
      <c r="BO235" s="8"/>
      <c r="BP235" s="8"/>
      <c r="BQ235" s="8"/>
      <c r="BR235" s="8"/>
      <c r="BS235" s="8"/>
      <c r="BT235" s="8"/>
      <c r="BU235" s="8"/>
      <c r="BV235" s="8"/>
      <c r="BW235" s="8"/>
      <c r="BX235" s="8"/>
      <c r="BY235" s="8"/>
      <c r="BZ235" s="8"/>
    </row>
    <row r="236" spans="1:78" ht="13" customHeight="1" x14ac:dyDescent="0.15">
      <c r="A236" s="8" t="s">
        <v>6188</v>
      </c>
      <c r="B236" s="8" t="s">
        <v>969</v>
      </c>
      <c r="C236" s="9">
        <v>2002</v>
      </c>
      <c r="D236" s="8" t="s">
        <v>4246</v>
      </c>
      <c r="E236" s="8" t="s">
        <v>4246</v>
      </c>
      <c r="F236" s="8" t="s">
        <v>4247</v>
      </c>
      <c r="G236" s="8" t="str" cm="1">
        <f t="array" ref="G236">LOWER(CleanCode(F236))</f>
        <v>socialdisorganizationtheoryandthecontextualnatureofcrimeinnonmetropolitancounties</v>
      </c>
      <c r="H236" s="8"/>
      <c r="I236" s="8"/>
      <c r="J236" s="8" t="s">
        <v>4253</v>
      </c>
      <c r="K236" s="8"/>
      <c r="L236" s="8"/>
      <c r="M236" s="8" t="s">
        <v>4248</v>
      </c>
      <c r="N236" s="8" t="str">
        <f t="shared" si="3"/>
        <v>Rural Sociology</v>
      </c>
      <c r="O236" s="8" t="s">
        <v>4254</v>
      </c>
      <c r="P236" s="8" t="s">
        <v>4255</v>
      </c>
      <c r="Q236" s="8" t="s">
        <v>69</v>
      </c>
      <c r="R236" s="8"/>
      <c r="S236" s="8">
        <v>67</v>
      </c>
      <c r="T236" s="8">
        <v>3</v>
      </c>
      <c r="U236" s="8">
        <v>372</v>
      </c>
      <c r="V236" s="8">
        <v>393</v>
      </c>
      <c r="W236" s="8">
        <v>22</v>
      </c>
      <c r="X236" s="8"/>
      <c r="Y236" s="8">
        <v>63</v>
      </c>
      <c r="Z236" s="8">
        <v>62</v>
      </c>
      <c r="AA236" s="8">
        <v>62</v>
      </c>
      <c r="AB236" s="8">
        <v>2</v>
      </c>
      <c r="AC236" s="8">
        <v>14</v>
      </c>
      <c r="AD236" s="8" t="s">
        <v>4260</v>
      </c>
      <c r="AE236" s="8" t="s">
        <v>4258</v>
      </c>
      <c r="AF236" s="8" t="s">
        <v>69</v>
      </c>
      <c r="AG236" s="8" t="s">
        <v>223</v>
      </c>
      <c r="AH236" s="8" t="s">
        <v>224</v>
      </c>
      <c r="AI236" s="8" t="s">
        <v>225</v>
      </c>
      <c r="AJ236" s="8" t="s">
        <v>4252</v>
      </c>
      <c r="AK236" s="8" t="s">
        <v>69</v>
      </c>
      <c r="AL236" s="8"/>
      <c r="AM236" s="8"/>
      <c r="AN236" s="8"/>
      <c r="AO236" s="8"/>
      <c r="AP236" s="8"/>
      <c r="AQ236" s="8"/>
      <c r="AR236" s="8"/>
      <c r="AS236" s="8"/>
      <c r="AT236" s="8"/>
      <c r="AU236" s="8"/>
      <c r="AV236" s="8"/>
      <c r="AW236" s="8"/>
      <c r="AX236" s="8"/>
      <c r="AY236" s="8"/>
      <c r="AZ236" s="8"/>
      <c r="BA236" s="8"/>
      <c r="BB236" s="8"/>
      <c r="BC236" s="8"/>
      <c r="BD236" s="8"/>
      <c r="BE236" s="8"/>
      <c r="BF236" s="8"/>
      <c r="BG236" s="8"/>
      <c r="BH236" s="8"/>
      <c r="BI236" s="8"/>
      <c r="BJ236" s="8"/>
      <c r="BK236" s="8"/>
      <c r="BL236" s="8"/>
      <c r="BM236" s="8"/>
      <c r="BN236" s="8"/>
      <c r="BO236" s="8"/>
      <c r="BP236" s="8"/>
      <c r="BQ236" s="8"/>
      <c r="BR236" s="8"/>
      <c r="BS236" s="8"/>
      <c r="BT236" s="8"/>
      <c r="BU236" s="8"/>
      <c r="BV236" s="8"/>
      <c r="BW236" s="8"/>
      <c r="BX236" s="8"/>
      <c r="BY236" s="8"/>
      <c r="BZ236" s="8"/>
    </row>
    <row r="237" spans="1:78" ht="13" customHeight="1" x14ac:dyDescent="0.15">
      <c r="A237" s="8" t="s">
        <v>6188</v>
      </c>
      <c r="B237" s="8" t="s">
        <v>318</v>
      </c>
      <c r="C237" s="9">
        <v>2002</v>
      </c>
      <c r="D237" s="8" t="s">
        <v>4261</v>
      </c>
      <c r="E237" s="8" t="s">
        <v>4261</v>
      </c>
      <c r="F237" s="8" t="s">
        <v>4262</v>
      </c>
      <c r="G237" s="8" t="str" cm="1">
        <f t="array" ref="G237">LOWER(CleanCode(F237))</f>
        <v>areviewoftheoryandhealthpromotionstrategiesfornewimmigrantwomen</v>
      </c>
      <c r="H237" s="8"/>
      <c r="I237" s="8"/>
      <c r="J237" s="8" t="s">
        <v>4265</v>
      </c>
      <c r="K237" s="8"/>
      <c r="L237" s="8"/>
      <c r="M237" s="8" t="s">
        <v>4263</v>
      </c>
      <c r="N237" s="8" t="str">
        <f t="shared" si="3"/>
        <v>Canadian Journal Of Public Health-Revue Canadienne De Sante Publique</v>
      </c>
      <c r="O237" s="8" t="s">
        <v>4273</v>
      </c>
      <c r="P237" s="8" t="s">
        <v>4274</v>
      </c>
      <c r="Q237" s="8" t="s">
        <v>69</v>
      </c>
      <c r="R237" s="8"/>
      <c r="S237" s="8">
        <v>93</v>
      </c>
      <c r="T237" s="8">
        <v>3</v>
      </c>
      <c r="U237" s="8">
        <v>183</v>
      </c>
      <c r="V237" s="8">
        <v>187</v>
      </c>
      <c r="W237" s="8">
        <v>5</v>
      </c>
      <c r="X237" s="8"/>
      <c r="Y237" s="8">
        <v>44</v>
      </c>
      <c r="Z237" s="8">
        <v>25</v>
      </c>
      <c r="AA237" s="8">
        <v>26</v>
      </c>
      <c r="AB237" s="8">
        <v>0</v>
      </c>
      <c r="AC237" s="8">
        <v>4</v>
      </c>
      <c r="AD237" s="8" t="s">
        <v>4279</v>
      </c>
      <c r="AE237" s="8" t="s">
        <v>4277</v>
      </c>
      <c r="AF237" s="8">
        <v>12050984</v>
      </c>
      <c r="AG237" s="8" t="s">
        <v>4270</v>
      </c>
      <c r="AH237" s="8" t="s">
        <v>4271</v>
      </c>
      <c r="AI237" s="8" t="s">
        <v>4272</v>
      </c>
      <c r="AJ237" s="8" t="s">
        <v>4264</v>
      </c>
      <c r="AK237" s="8" t="s">
        <v>69</v>
      </c>
      <c r="AL237" s="8"/>
      <c r="AM237" s="8"/>
      <c r="AN237" s="8"/>
      <c r="AO237" s="8"/>
      <c r="AP237" s="8"/>
      <c r="AQ237" s="8"/>
      <c r="AR237" s="8"/>
      <c r="AS237" s="8"/>
      <c r="AT237" s="8"/>
      <c r="AU237" s="8"/>
      <c r="AV237" s="8"/>
      <c r="AW237" s="8"/>
      <c r="AX237" s="8"/>
      <c r="AY237" s="8"/>
      <c r="AZ237" s="8"/>
      <c r="BA237" s="8"/>
      <c r="BB237" s="8"/>
      <c r="BC237" s="8"/>
      <c r="BD237" s="8"/>
      <c r="BE237" s="8"/>
      <c r="BF237" s="8"/>
      <c r="BG237" s="8"/>
      <c r="BH237" s="8"/>
      <c r="BI237" s="8"/>
      <c r="BJ237" s="8"/>
      <c r="BK237" s="8"/>
      <c r="BL237" s="8"/>
      <c r="BM237" s="8"/>
      <c r="BN237" s="8"/>
      <c r="BO237" s="8"/>
      <c r="BP237" s="8"/>
      <c r="BQ237" s="8"/>
      <c r="BR237" s="8"/>
      <c r="BS237" s="8"/>
      <c r="BT237" s="8"/>
      <c r="BU237" s="8"/>
      <c r="BV237" s="8"/>
      <c r="BW237" s="8"/>
      <c r="BX237" s="8"/>
      <c r="BY237" s="8"/>
      <c r="BZ237" s="8"/>
    </row>
    <row r="238" spans="1:78" ht="13" customHeight="1" x14ac:dyDescent="0.15">
      <c r="A238" s="8" t="s">
        <v>6188</v>
      </c>
      <c r="B238" s="8" t="s">
        <v>74</v>
      </c>
      <c r="C238" s="9">
        <v>2002</v>
      </c>
      <c r="D238" s="8" t="s">
        <v>4280</v>
      </c>
      <c r="E238" s="8" t="s">
        <v>4280</v>
      </c>
      <c r="F238" s="8" t="s">
        <v>4281</v>
      </c>
      <c r="G238" s="8" t="str" cm="1">
        <f t="array" ref="G238">LOWER(CleanCode(F238))</f>
        <v>returnmigrationbygermanguestworkersneoclassicalversusneweconomictheories</v>
      </c>
      <c r="H238" s="8"/>
      <c r="I238" s="8"/>
      <c r="J238" s="8" t="s">
        <v>4284</v>
      </c>
      <c r="K238" s="8"/>
      <c r="L238" s="8"/>
      <c r="M238" s="8" t="s">
        <v>4282</v>
      </c>
      <c r="N238" s="8" t="str">
        <f t="shared" si="3"/>
        <v>International Migration</v>
      </c>
      <c r="O238" s="8" t="s">
        <v>4292</v>
      </c>
      <c r="P238" s="8" t="s">
        <v>69</v>
      </c>
      <c r="Q238" s="8" t="s">
        <v>69</v>
      </c>
      <c r="R238" s="8"/>
      <c r="S238" s="8">
        <v>40</v>
      </c>
      <c r="T238" s="8">
        <v>4</v>
      </c>
      <c r="U238" s="8">
        <v>5</v>
      </c>
      <c r="V238" s="8">
        <v>38</v>
      </c>
      <c r="W238" s="8">
        <v>34</v>
      </c>
      <c r="X238" s="8"/>
      <c r="Y238" s="8">
        <v>31</v>
      </c>
      <c r="Z238" s="8">
        <v>197</v>
      </c>
      <c r="AA238" s="8">
        <v>208</v>
      </c>
      <c r="AB238" s="8">
        <v>3</v>
      </c>
      <c r="AC238" s="8">
        <v>34</v>
      </c>
      <c r="AD238" s="8" t="s">
        <v>4297</v>
      </c>
      <c r="AE238" s="8" t="s">
        <v>4295</v>
      </c>
      <c r="AF238" s="8" t="s">
        <v>69</v>
      </c>
      <c r="AG238" s="8" t="s">
        <v>4289</v>
      </c>
      <c r="AH238" s="8" t="s">
        <v>4290</v>
      </c>
      <c r="AI238" s="8" t="s">
        <v>4291</v>
      </c>
      <c r="AJ238" s="8" t="s">
        <v>4283</v>
      </c>
      <c r="AK238" s="8" t="s">
        <v>69</v>
      </c>
      <c r="AL238" s="8"/>
      <c r="AM238" s="8"/>
      <c r="AN238" s="8"/>
      <c r="AO238" s="8"/>
      <c r="AP238" s="8"/>
      <c r="AQ238" s="8"/>
      <c r="AR238" s="8"/>
      <c r="AS238" s="8"/>
      <c r="AT238" s="8"/>
      <c r="AU238" s="8"/>
      <c r="AV238" s="8"/>
      <c r="AW238" s="8"/>
      <c r="AX238" s="8"/>
      <c r="AY238" s="8"/>
      <c r="AZ238" s="8"/>
      <c r="BA238" s="8"/>
      <c r="BB238" s="8"/>
      <c r="BC238" s="8"/>
      <c r="BD238" s="8"/>
      <c r="BE238" s="8"/>
      <c r="BF238" s="8"/>
      <c r="BG238" s="8"/>
      <c r="BH238" s="8"/>
      <c r="BI238" s="8"/>
      <c r="BJ238" s="8"/>
      <c r="BK238" s="8"/>
      <c r="BL238" s="8"/>
      <c r="BM238" s="8"/>
      <c r="BN238" s="8"/>
      <c r="BO238" s="8"/>
      <c r="BP238" s="8"/>
      <c r="BQ238" s="8"/>
      <c r="BR238" s="8"/>
      <c r="BS238" s="8"/>
      <c r="BT238" s="8"/>
      <c r="BU238" s="8"/>
      <c r="BV238" s="8"/>
      <c r="BW238" s="8"/>
      <c r="BX238" s="8"/>
      <c r="BY238" s="8"/>
      <c r="BZ238" s="8"/>
    </row>
    <row r="239" spans="1:78" ht="13" customHeight="1" x14ac:dyDescent="0.15">
      <c r="A239" s="8" t="s">
        <v>6188</v>
      </c>
      <c r="B239" s="8" t="s">
        <v>74</v>
      </c>
      <c r="C239" s="9">
        <v>2001</v>
      </c>
      <c r="D239" s="8" t="s">
        <v>4298</v>
      </c>
      <c r="E239" s="8" t="s">
        <v>4298</v>
      </c>
      <c r="F239" s="8" t="s">
        <v>4299</v>
      </c>
      <c r="G239" s="8" t="str" cm="1">
        <f t="array" ref="G239">LOWER(CleanCode(F239))</f>
        <v>usefulnessofpsychosocialtheoryvariablesinexplainingfatrelateddietarybehaviorinchineseamericansassociationwithdegreeofacculturation</v>
      </c>
      <c r="H239" s="8"/>
      <c r="I239" s="8"/>
      <c r="J239" s="8" t="s">
        <v>4303</v>
      </c>
      <c r="K239" s="8"/>
      <c r="L239" s="8"/>
      <c r="M239" s="8" t="s">
        <v>4300</v>
      </c>
      <c r="N239" s="8" t="str">
        <f t="shared" si="3"/>
        <v>Journal Of Nutrition Education</v>
      </c>
      <c r="O239" s="8" t="s">
        <v>4309</v>
      </c>
      <c r="P239" s="8" t="s">
        <v>69</v>
      </c>
      <c r="Q239" s="8" t="s">
        <v>69</v>
      </c>
      <c r="R239" s="8"/>
      <c r="S239" s="8">
        <v>33</v>
      </c>
      <c r="T239" s="8">
        <v>6</v>
      </c>
      <c r="U239" s="8">
        <v>322</v>
      </c>
      <c r="V239" s="8">
        <v>331</v>
      </c>
      <c r="W239" s="8">
        <v>10</v>
      </c>
      <c r="X239" s="8"/>
      <c r="Y239" s="8">
        <v>41</v>
      </c>
      <c r="Z239" s="8">
        <v>41</v>
      </c>
      <c r="AA239" s="8">
        <v>41</v>
      </c>
      <c r="AB239" s="8">
        <v>0</v>
      </c>
      <c r="AC239" s="8">
        <v>9</v>
      </c>
      <c r="AD239" s="8" t="s">
        <v>4316</v>
      </c>
      <c r="AE239" s="8" t="s">
        <v>4312</v>
      </c>
      <c r="AF239" s="8">
        <v>12031170</v>
      </c>
      <c r="AG239" s="8" t="s">
        <v>4306</v>
      </c>
      <c r="AH239" s="8" t="s">
        <v>4307</v>
      </c>
      <c r="AI239" s="8" t="s">
        <v>4308</v>
      </c>
      <c r="AJ239" s="8" t="s">
        <v>4302</v>
      </c>
      <c r="AK239" s="8" t="s">
        <v>4301</v>
      </c>
      <c r="AL239" s="8"/>
      <c r="AM239" s="8"/>
      <c r="AN239" s="8"/>
      <c r="AO239" s="8"/>
      <c r="AP239" s="8"/>
      <c r="AQ239" s="8"/>
      <c r="AR239" s="8"/>
      <c r="AS239" s="8"/>
      <c r="AT239" s="8"/>
      <c r="AU239" s="8"/>
      <c r="AV239" s="8"/>
      <c r="AW239" s="8"/>
      <c r="AX239" s="8"/>
      <c r="AY239" s="8"/>
      <c r="AZ239" s="8"/>
      <c r="BA239" s="8"/>
      <c r="BB239" s="8"/>
      <c r="BC239" s="8"/>
      <c r="BD239" s="8"/>
      <c r="BE239" s="8"/>
      <c r="BF239" s="8"/>
      <c r="BG239" s="8"/>
      <c r="BH239" s="8"/>
      <c r="BI239" s="8"/>
      <c r="BJ239" s="8"/>
      <c r="BK239" s="8"/>
      <c r="BL239" s="8"/>
      <c r="BM239" s="8"/>
      <c r="BN239" s="8"/>
      <c r="BO239" s="8"/>
      <c r="BP239" s="8"/>
      <c r="BQ239" s="8"/>
      <c r="BR239" s="8"/>
      <c r="BS239" s="8"/>
      <c r="BT239" s="8"/>
      <c r="BU239" s="8"/>
      <c r="BV239" s="8"/>
      <c r="BW239" s="8"/>
      <c r="BX239" s="8"/>
      <c r="BY239" s="8"/>
      <c r="BZ239" s="8"/>
    </row>
    <row r="240" spans="1:78" ht="13" customHeight="1" x14ac:dyDescent="0.15">
      <c r="A240" s="8" t="s">
        <v>6188</v>
      </c>
      <c r="B240" s="8" t="s">
        <v>74</v>
      </c>
      <c r="C240" s="9">
        <v>2001</v>
      </c>
      <c r="D240" s="8" t="s">
        <v>4317</v>
      </c>
      <c r="E240" s="8" t="s">
        <v>4317</v>
      </c>
      <c r="F240" s="8" t="s">
        <v>4318</v>
      </c>
      <c r="G240" s="8" t="str" cm="1">
        <f t="array" ref="G240">LOWER(CleanCode(F240))</f>
        <v>whitenesstheorizingraceelidingethnicityraceandlaborinamerica</v>
      </c>
      <c r="H240" s="8"/>
      <c r="I240" s="8"/>
      <c r="J240" s="8" t="s">
        <v>4320</v>
      </c>
      <c r="K240" s="8"/>
      <c r="L240" s="8"/>
      <c r="M240" s="8" t="s">
        <v>4319</v>
      </c>
      <c r="N240" s="8" t="str">
        <f t="shared" si="3"/>
        <v>International Labor And Working-Class History</v>
      </c>
      <c r="O240" s="8" t="s">
        <v>4323</v>
      </c>
      <c r="P240" s="8" t="s">
        <v>4324</v>
      </c>
      <c r="Q240" s="8" t="s">
        <v>69</v>
      </c>
      <c r="R240" s="8"/>
      <c r="S240" s="8" t="s">
        <v>69</v>
      </c>
      <c r="T240" s="8">
        <v>60</v>
      </c>
      <c r="U240" s="8">
        <v>61</v>
      </c>
      <c r="V240" s="8">
        <v>68</v>
      </c>
      <c r="W240" s="8">
        <v>8</v>
      </c>
      <c r="X240" s="8"/>
      <c r="Y240" s="8">
        <v>46</v>
      </c>
      <c r="Z240" s="8">
        <v>3</v>
      </c>
      <c r="AA240" s="8">
        <v>3</v>
      </c>
      <c r="AB240" s="8">
        <v>0</v>
      </c>
      <c r="AC240" s="8">
        <v>1</v>
      </c>
      <c r="AD240" s="8" t="s">
        <v>4330</v>
      </c>
      <c r="AE240" s="8" t="s">
        <v>69</v>
      </c>
      <c r="AF240" s="8" t="s">
        <v>69</v>
      </c>
      <c r="AG240" s="8" t="s">
        <v>1833</v>
      </c>
      <c r="AH240" s="8" t="s">
        <v>573</v>
      </c>
      <c r="AI240" s="8" t="s">
        <v>1834</v>
      </c>
      <c r="AJ240" s="8" t="s">
        <v>4039</v>
      </c>
      <c r="AK240" s="8" t="s">
        <v>69</v>
      </c>
      <c r="AL240" s="8"/>
      <c r="AM240" s="8"/>
      <c r="AN240" s="8"/>
      <c r="AO240" s="8"/>
      <c r="AP240" s="8"/>
      <c r="AQ240" s="8"/>
      <c r="AR240" s="8"/>
      <c r="AS240" s="8"/>
      <c r="AT240" s="8"/>
      <c r="AU240" s="8"/>
      <c r="AV240" s="8"/>
      <c r="AW240" s="8"/>
      <c r="AX240" s="8"/>
      <c r="AY240" s="8"/>
      <c r="AZ240" s="8"/>
      <c r="BA240" s="8"/>
      <c r="BB240" s="8"/>
      <c r="BC240" s="8"/>
      <c r="BD240" s="8"/>
      <c r="BE240" s="8"/>
      <c r="BF240" s="8"/>
      <c r="BG240" s="8"/>
      <c r="BH240" s="8"/>
      <c r="BI240" s="8"/>
      <c r="BJ240" s="8"/>
      <c r="BK240" s="8"/>
      <c r="BL240" s="8"/>
      <c r="BM240" s="8"/>
      <c r="BN240" s="8"/>
      <c r="BO240" s="8"/>
      <c r="BP240" s="8"/>
      <c r="BQ240" s="8"/>
      <c r="BR240" s="8"/>
      <c r="BS240" s="8"/>
      <c r="BT240" s="8"/>
      <c r="BU240" s="8"/>
      <c r="BV240" s="8"/>
      <c r="BW240" s="8"/>
      <c r="BX240" s="8"/>
      <c r="BY240" s="8"/>
      <c r="BZ240" s="8"/>
    </row>
    <row r="241" spans="1:78" ht="13" customHeight="1" x14ac:dyDescent="0.15">
      <c r="A241" s="8" t="s">
        <v>6188</v>
      </c>
      <c r="B241" s="8" t="s">
        <v>969</v>
      </c>
      <c r="C241" s="9">
        <v>2001</v>
      </c>
      <c r="D241" s="8" t="s">
        <v>4331</v>
      </c>
      <c r="E241" s="8" t="s">
        <v>4331</v>
      </c>
      <c r="F241" s="8" t="s">
        <v>4332</v>
      </c>
      <c r="G241" s="8" t="str" cm="1">
        <f t="array" ref="G241">LOWER(CleanCode(F241))</f>
        <v>resourceallocationbasedlifehistoriesaconceptualbasisforstudiesofecologicaltoxicology</v>
      </c>
      <c r="H241" s="8"/>
      <c r="I241" s="8"/>
      <c r="J241" s="8" t="s">
        <v>4340</v>
      </c>
      <c r="K241" s="8"/>
      <c r="L241" s="8"/>
      <c r="M241" s="8" t="s">
        <v>4333</v>
      </c>
      <c r="N241" s="8" t="str">
        <f t="shared" si="3"/>
        <v>Environmental Toxicology And Chemistry</v>
      </c>
      <c r="O241" s="8" t="s">
        <v>4346</v>
      </c>
      <c r="P241" s="8" t="s">
        <v>4347</v>
      </c>
      <c r="Q241" s="8" t="s">
        <v>69</v>
      </c>
      <c r="R241" s="8"/>
      <c r="S241" s="8">
        <v>20</v>
      </c>
      <c r="T241" s="8">
        <v>8</v>
      </c>
      <c r="U241" s="8">
        <v>1698</v>
      </c>
      <c r="V241" s="8">
        <v>1703</v>
      </c>
      <c r="W241" s="8">
        <v>6</v>
      </c>
      <c r="X241" s="8"/>
      <c r="Y241" s="8">
        <v>57</v>
      </c>
      <c r="Z241" s="8">
        <v>96</v>
      </c>
      <c r="AA241" s="8">
        <v>96</v>
      </c>
      <c r="AB241" s="8">
        <v>0</v>
      </c>
      <c r="AC241" s="8">
        <v>32</v>
      </c>
      <c r="AD241" s="8" t="s">
        <v>4354</v>
      </c>
      <c r="AE241" s="8" t="s">
        <v>4350</v>
      </c>
      <c r="AF241" s="8">
        <v>11491551</v>
      </c>
      <c r="AG241" s="8" t="s">
        <v>223</v>
      </c>
      <c r="AH241" s="8" t="s">
        <v>224</v>
      </c>
      <c r="AI241" s="8" t="s">
        <v>225</v>
      </c>
      <c r="AJ241" s="8" t="s">
        <v>4339</v>
      </c>
      <c r="AK241" s="8" t="s">
        <v>4338</v>
      </c>
      <c r="AL241" s="8"/>
      <c r="AM241" s="8"/>
      <c r="AN241" s="8"/>
      <c r="AO241" s="8"/>
      <c r="AP241" s="8"/>
      <c r="AQ241" s="8"/>
      <c r="AR241" s="8"/>
      <c r="AS241" s="8"/>
      <c r="AT241" s="8"/>
      <c r="AU241" s="8"/>
      <c r="AV241" s="8"/>
      <c r="AW241" s="8"/>
      <c r="AX241" s="8"/>
      <c r="AY241" s="8"/>
      <c r="AZ241" s="8"/>
      <c r="BA241" s="8"/>
      <c r="BB241" s="8"/>
      <c r="BC241" s="8"/>
      <c r="BD241" s="8"/>
      <c r="BE241" s="8"/>
      <c r="BF241" s="8"/>
      <c r="BG241" s="8"/>
      <c r="BH241" s="8"/>
      <c r="BI241" s="8"/>
      <c r="BJ241" s="8"/>
      <c r="BK241" s="8"/>
      <c r="BL241" s="8"/>
      <c r="BM241" s="8"/>
      <c r="BN241" s="8"/>
      <c r="BO241" s="8"/>
      <c r="BP241" s="8"/>
      <c r="BQ241" s="8"/>
      <c r="BR241" s="8"/>
      <c r="BS241" s="8"/>
      <c r="BT241" s="8"/>
      <c r="BU241" s="8"/>
      <c r="BV241" s="8"/>
      <c r="BW241" s="8"/>
      <c r="BX241" s="8"/>
      <c r="BY241" s="8"/>
      <c r="BZ241" s="8"/>
    </row>
    <row r="242" spans="1:78" ht="13" customHeight="1" x14ac:dyDescent="0.15">
      <c r="A242" s="8" t="s">
        <v>6188</v>
      </c>
      <c r="B242" s="8" t="s">
        <v>74</v>
      </c>
      <c r="C242" s="9">
        <v>2001</v>
      </c>
      <c r="D242" s="8" t="s">
        <v>4355</v>
      </c>
      <c r="E242" s="8" t="s">
        <v>4355</v>
      </c>
      <c r="F242" s="8" t="s">
        <v>4356</v>
      </c>
      <c r="G242" s="8" t="str" cm="1">
        <f t="array" ref="G242">LOWER(CleanCode(F242))</f>
        <v>immigrantsincontextframeworkunderstandingtheinteractiveinfluenceofsocioculturalcontexts</v>
      </c>
      <c r="H242" s="8"/>
      <c r="I242" s="8"/>
      <c r="J242" s="8" t="s">
        <v>4360</v>
      </c>
      <c r="K242" s="8"/>
      <c r="L242" s="8"/>
      <c r="M242" s="8" t="s">
        <v>4357</v>
      </c>
      <c r="N242" s="8" t="str">
        <f t="shared" si="3"/>
        <v>Evaluation And Program Planning</v>
      </c>
      <c r="O242" s="8" t="s">
        <v>4364</v>
      </c>
      <c r="P242" s="8" t="s">
        <v>4365</v>
      </c>
      <c r="Q242" s="8" t="s">
        <v>69</v>
      </c>
      <c r="R242" s="8"/>
      <c r="S242" s="8">
        <v>24</v>
      </c>
      <c r="T242" s="8">
        <v>3</v>
      </c>
      <c r="U242" s="8">
        <v>307</v>
      </c>
      <c r="V242" s="8">
        <v>318</v>
      </c>
      <c r="W242" s="8">
        <v>12</v>
      </c>
      <c r="X242" s="8"/>
      <c r="Y242" s="8">
        <v>52</v>
      </c>
      <c r="Z242" s="8">
        <v>19</v>
      </c>
      <c r="AA242" s="8">
        <v>19</v>
      </c>
      <c r="AB242" s="8">
        <v>0</v>
      </c>
      <c r="AC242" s="8">
        <v>3</v>
      </c>
      <c r="AD242" s="8" t="s">
        <v>4370</v>
      </c>
      <c r="AE242" s="8" t="s">
        <v>4368</v>
      </c>
      <c r="AF242" s="8" t="s">
        <v>69</v>
      </c>
      <c r="AG242" s="8" t="s">
        <v>771</v>
      </c>
      <c r="AH242" s="8" t="s">
        <v>772</v>
      </c>
      <c r="AI242" s="8" t="s">
        <v>773</v>
      </c>
      <c r="AJ242" s="8" t="s">
        <v>4359</v>
      </c>
      <c r="AK242" s="8" t="s">
        <v>4358</v>
      </c>
      <c r="AL242" s="8"/>
      <c r="AM242" s="8"/>
      <c r="AN242" s="8"/>
      <c r="AO242" s="8"/>
      <c r="AP242" s="8"/>
      <c r="AQ242" s="8"/>
      <c r="AR242" s="8"/>
      <c r="AS242" s="8"/>
      <c r="AT242" s="8"/>
      <c r="AU242" s="8"/>
      <c r="AV242" s="8"/>
      <c r="AW242" s="8"/>
      <c r="AX242" s="8"/>
      <c r="AY242" s="8"/>
      <c r="AZ242" s="8"/>
      <c r="BA242" s="8"/>
      <c r="BB242" s="8"/>
      <c r="BC242" s="8"/>
      <c r="BD242" s="8"/>
      <c r="BE242" s="8"/>
      <c r="BF242" s="8"/>
      <c r="BG242" s="8"/>
      <c r="BH242" s="8"/>
      <c r="BI242" s="8"/>
      <c r="BJ242" s="8"/>
      <c r="BK242" s="8"/>
      <c r="BL242" s="8"/>
      <c r="BM242" s="8"/>
      <c r="BN242" s="8"/>
      <c r="BO242" s="8"/>
      <c r="BP242" s="8"/>
      <c r="BQ242" s="8"/>
      <c r="BR242" s="8"/>
      <c r="BS242" s="8"/>
      <c r="BT242" s="8"/>
      <c r="BU242" s="8"/>
      <c r="BV242" s="8"/>
      <c r="BW242" s="8"/>
      <c r="BX242" s="8"/>
      <c r="BY242" s="8"/>
      <c r="BZ242" s="8"/>
    </row>
    <row r="243" spans="1:78" ht="13" customHeight="1" x14ac:dyDescent="0.15">
      <c r="A243" s="8" t="s">
        <v>6188</v>
      </c>
      <c r="B243" s="8" t="s">
        <v>74</v>
      </c>
      <c r="C243" s="9">
        <v>2001</v>
      </c>
      <c r="D243" s="8" t="s">
        <v>4371</v>
      </c>
      <c r="E243" s="8" t="s">
        <v>4371</v>
      </c>
      <c r="F243" s="8" t="s">
        <v>4372</v>
      </c>
      <c r="G243" s="8" t="str" cm="1">
        <f t="array" ref="G243">LOWER(CleanCode(F243))</f>
        <v>theorizingtransnationalimmigrationacriticalreviewofcurrentefforts</v>
      </c>
      <c r="H243" s="8"/>
      <c r="I243" s="8"/>
      <c r="J243" s="8" t="s">
        <v>4375</v>
      </c>
      <c r="K243" s="8"/>
      <c r="L243" s="8"/>
      <c r="M243" s="8" t="s">
        <v>197</v>
      </c>
      <c r="N243" s="8" t="str">
        <f t="shared" si="3"/>
        <v>Ethnic And Racial Studies</v>
      </c>
      <c r="O243" s="8" t="s">
        <v>205</v>
      </c>
      <c r="P243" s="8" t="s">
        <v>69</v>
      </c>
      <c r="Q243" s="8" t="s">
        <v>69</v>
      </c>
      <c r="R243" s="8"/>
      <c r="S243" s="8">
        <v>24</v>
      </c>
      <c r="T243" s="8">
        <v>4</v>
      </c>
      <c r="U243" s="8">
        <v>549</v>
      </c>
      <c r="V243" s="8">
        <v>577</v>
      </c>
      <c r="W243" s="8">
        <v>29</v>
      </c>
      <c r="X243" s="8"/>
      <c r="Y243" s="8">
        <v>80</v>
      </c>
      <c r="Z243" s="8">
        <v>300</v>
      </c>
      <c r="AA243" s="8">
        <v>309</v>
      </c>
      <c r="AB243" s="8">
        <v>0</v>
      </c>
      <c r="AC243" s="8">
        <v>75</v>
      </c>
      <c r="AD243" s="8" t="s">
        <v>4383</v>
      </c>
      <c r="AE243" s="8" t="s">
        <v>4381</v>
      </c>
      <c r="AF243" s="8" t="s">
        <v>69</v>
      </c>
      <c r="AG243" s="8" t="s">
        <v>4378</v>
      </c>
      <c r="AH243" s="8" t="s">
        <v>4379</v>
      </c>
      <c r="AI243" s="8" t="s">
        <v>4380</v>
      </c>
      <c r="AJ243" s="8" t="s">
        <v>4374</v>
      </c>
      <c r="AK243" s="8" t="s">
        <v>4373</v>
      </c>
      <c r="AL243" s="8"/>
      <c r="AM243" s="8"/>
      <c r="AN243" s="8"/>
      <c r="AO243" s="8"/>
      <c r="AP243" s="8"/>
      <c r="AQ243" s="8"/>
      <c r="AR243" s="8"/>
      <c r="AS243" s="8"/>
      <c r="AT243" s="8"/>
      <c r="AU243" s="8"/>
      <c r="AV243" s="8"/>
      <c r="AW243" s="8"/>
      <c r="AX243" s="8"/>
      <c r="AY243" s="8"/>
      <c r="AZ243" s="8"/>
      <c r="BA243" s="8"/>
      <c r="BB243" s="8"/>
      <c r="BC243" s="8"/>
      <c r="BD243" s="8"/>
      <c r="BE243" s="8"/>
      <c r="BF243" s="8"/>
      <c r="BG243" s="8"/>
      <c r="BH243" s="8"/>
      <c r="BI243" s="8"/>
      <c r="BJ243" s="8"/>
      <c r="BK243" s="8"/>
      <c r="BL243" s="8"/>
      <c r="BM243" s="8"/>
      <c r="BN243" s="8"/>
      <c r="BO243" s="8"/>
      <c r="BP243" s="8"/>
      <c r="BQ243" s="8"/>
      <c r="BR243" s="8"/>
      <c r="BS243" s="8"/>
      <c r="BT243" s="8"/>
      <c r="BU243" s="8"/>
      <c r="BV243" s="8"/>
      <c r="BW243" s="8"/>
      <c r="BX243" s="8"/>
      <c r="BY243" s="8"/>
      <c r="BZ243" s="8"/>
    </row>
    <row r="244" spans="1:78" ht="13" customHeight="1" x14ac:dyDescent="0.15">
      <c r="A244" s="8" t="s">
        <v>6188</v>
      </c>
      <c r="B244" s="8" t="s">
        <v>74</v>
      </c>
      <c r="C244" s="9">
        <v>2001</v>
      </c>
      <c r="D244" s="8" t="s">
        <v>4384</v>
      </c>
      <c r="E244" s="8" t="s">
        <v>4384</v>
      </c>
      <c r="F244" s="8" t="s">
        <v>4385</v>
      </c>
      <c r="G244" s="8" t="str" cm="1">
        <f t="array" ref="G244">LOWER(CleanCode(F244))</f>
        <v>theoryofsegmentedassimilationandtheadoptionofmarijuanauseanddelinquentbehaviorbyasianpacificyouth</v>
      </c>
      <c r="H244" s="8"/>
      <c r="I244" s="8"/>
      <c r="J244" s="8" t="s">
        <v>4388</v>
      </c>
      <c r="K244" s="8"/>
      <c r="L244" s="8"/>
      <c r="M244" s="8" t="s">
        <v>4386</v>
      </c>
      <c r="N244" s="8" t="str">
        <f t="shared" si="3"/>
        <v>Sociological Quarterly</v>
      </c>
      <c r="O244" s="8" t="s">
        <v>4394</v>
      </c>
      <c r="P244" s="8" t="s">
        <v>69</v>
      </c>
      <c r="Q244" s="8" t="s">
        <v>69</v>
      </c>
      <c r="R244" s="8"/>
      <c r="S244" s="8">
        <v>42</v>
      </c>
      <c r="T244" s="8">
        <v>3</v>
      </c>
      <c r="U244" s="8">
        <v>351</v>
      </c>
      <c r="V244" s="8">
        <v>372</v>
      </c>
      <c r="W244" s="8">
        <v>22</v>
      </c>
      <c r="X244" s="8"/>
      <c r="Y244" s="8">
        <v>45</v>
      </c>
      <c r="Z244" s="8">
        <v>52</v>
      </c>
      <c r="AA244" s="8">
        <v>52</v>
      </c>
      <c r="AB244" s="8">
        <v>0</v>
      </c>
      <c r="AC244" s="8">
        <v>8</v>
      </c>
      <c r="AD244" s="8" t="s">
        <v>4399</v>
      </c>
      <c r="AE244" s="8" t="s">
        <v>4397</v>
      </c>
      <c r="AF244" s="8" t="s">
        <v>69</v>
      </c>
      <c r="AG244" s="8" t="s">
        <v>4391</v>
      </c>
      <c r="AH244" s="8" t="s">
        <v>4392</v>
      </c>
      <c r="AI244" s="8" t="s">
        <v>4393</v>
      </c>
      <c r="AJ244" s="8" t="s">
        <v>4387</v>
      </c>
      <c r="AK244" s="8" t="s">
        <v>69</v>
      </c>
      <c r="AL244" s="8"/>
      <c r="AM244" s="8"/>
      <c r="AN244" s="8"/>
      <c r="AO244" s="8"/>
      <c r="AP244" s="8"/>
      <c r="AQ244" s="8"/>
      <c r="AR244" s="8"/>
      <c r="AS244" s="8"/>
      <c r="AT244" s="8"/>
      <c r="AU244" s="8"/>
      <c r="AV244" s="8"/>
      <c r="AW244" s="8"/>
      <c r="AX244" s="8"/>
      <c r="AY244" s="8"/>
      <c r="AZ244" s="8"/>
      <c r="BA244" s="8"/>
      <c r="BB244" s="8"/>
      <c r="BC244" s="8"/>
      <c r="BD244" s="8"/>
      <c r="BE244" s="8"/>
      <c r="BF244" s="8"/>
      <c r="BG244" s="8"/>
      <c r="BH244" s="8"/>
      <c r="BI244" s="8"/>
      <c r="BJ244" s="8"/>
      <c r="BK244" s="8"/>
      <c r="BL244" s="8"/>
      <c r="BM244" s="8"/>
      <c r="BN244" s="8"/>
      <c r="BO244" s="8"/>
      <c r="BP244" s="8"/>
      <c r="BQ244" s="8"/>
      <c r="BR244" s="8"/>
      <c r="BS244" s="8"/>
      <c r="BT244" s="8"/>
      <c r="BU244" s="8"/>
      <c r="BV244" s="8"/>
      <c r="BW244" s="8"/>
      <c r="BX244" s="8"/>
      <c r="BY244" s="8"/>
      <c r="BZ244" s="8"/>
    </row>
    <row r="245" spans="1:78" ht="13" customHeight="1" x14ac:dyDescent="0.15">
      <c r="A245" s="8" t="s">
        <v>6188</v>
      </c>
      <c r="B245" s="8" t="s">
        <v>969</v>
      </c>
      <c r="C245" s="9">
        <v>1999</v>
      </c>
      <c r="D245" s="8" t="s">
        <v>4400</v>
      </c>
      <c r="E245" s="8" t="s">
        <v>4400</v>
      </c>
      <c r="F245" s="8" t="s">
        <v>4401</v>
      </c>
      <c r="G245" s="8" t="str" cm="1">
        <f t="array" ref="G245">LOWER(CleanCode(F245))</f>
        <v>interculturalnetworktheoryacrossparadigmaticapproachtoacculturation</v>
      </c>
      <c r="H245" s="8"/>
      <c r="I245" s="8"/>
      <c r="J245" s="8" t="s">
        <v>4408</v>
      </c>
      <c r="K245" s="8"/>
      <c r="L245" s="8"/>
      <c r="M245" s="8" t="s">
        <v>762</v>
      </c>
      <c r="N245" s="8" t="str">
        <f t="shared" si="3"/>
        <v>International Journal Of Intercultural Relations</v>
      </c>
      <c r="O245" s="8" t="s">
        <v>774</v>
      </c>
      <c r="P245" s="8" t="s">
        <v>775</v>
      </c>
      <c r="Q245" s="8" t="s">
        <v>69</v>
      </c>
      <c r="R245" s="8"/>
      <c r="S245" s="8">
        <v>23</v>
      </c>
      <c r="T245" s="8">
        <v>4</v>
      </c>
      <c r="U245" s="8">
        <v>629</v>
      </c>
      <c r="V245" s="8">
        <v>658</v>
      </c>
      <c r="W245" s="8">
        <v>30</v>
      </c>
      <c r="X245" s="8"/>
      <c r="Y245" s="8">
        <v>100</v>
      </c>
      <c r="Z245" s="8">
        <v>15</v>
      </c>
      <c r="AA245" s="8">
        <v>15</v>
      </c>
      <c r="AB245" s="8">
        <v>0</v>
      </c>
      <c r="AC245" s="8">
        <v>9</v>
      </c>
      <c r="AD245" s="8" t="s">
        <v>4414</v>
      </c>
      <c r="AE245" s="8" t="s">
        <v>4412</v>
      </c>
      <c r="AF245" s="8" t="s">
        <v>69</v>
      </c>
      <c r="AG245" s="8" t="s">
        <v>771</v>
      </c>
      <c r="AH245" s="8" t="s">
        <v>772</v>
      </c>
      <c r="AI245" s="8" t="s">
        <v>773</v>
      </c>
      <c r="AJ245" s="8" t="s">
        <v>4407</v>
      </c>
      <c r="AK245" s="8" t="s">
        <v>69</v>
      </c>
      <c r="AL245" s="8"/>
      <c r="AM245" s="8"/>
      <c r="AN245" s="8"/>
      <c r="AO245" s="8"/>
      <c r="AP245" s="8"/>
      <c r="AQ245" s="8"/>
      <c r="AR245" s="8"/>
      <c r="AS245" s="8"/>
      <c r="AT245" s="8"/>
      <c r="AU245" s="8"/>
      <c r="AV245" s="8"/>
      <c r="AW245" s="8"/>
      <c r="AX245" s="8"/>
      <c r="AY245" s="8"/>
      <c r="AZ245" s="8"/>
      <c r="BA245" s="8"/>
      <c r="BB245" s="8"/>
      <c r="BC245" s="8"/>
      <c r="BD245" s="8"/>
      <c r="BE245" s="8"/>
      <c r="BF245" s="8"/>
      <c r="BG245" s="8"/>
      <c r="BH245" s="8"/>
      <c r="BI245" s="8"/>
      <c r="BJ245" s="8"/>
      <c r="BK245" s="8"/>
      <c r="BL245" s="8"/>
      <c r="BM245" s="8"/>
      <c r="BN245" s="8"/>
      <c r="BO245" s="8"/>
      <c r="BP245" s="8"/>
      <c r="BQ245" s="8"/>
      <c r="BR245" s="8"/>
      <c r="BS245" s="8"/>
      <c r="BT245" s="8"/>
      <c r="BU245" s="8"/>
      <c r="BV245" s="8"/>
      <c r="BW245" s="8"/>
      <c r="BX245" s="8"/>
      <c r="BY245" s="8"/>
      <c r="BZ245" s="8"/>
    </row>
    <row r="246" spans="1:78" ht="13" customHeight="1" x14ac:dyDescent="0.15">
      <c r="A246" s="8" t="s">
        <v>6188</v>
      </c>
      <c r="B246" s="8" t="s">
        <v>74</v>
      </c>
      <c r="C246" s="9">
        <v>1999</v>
      </c>
      <c r="D246" s="8" t="s">
        <v>4415</v>
      </c>
      <c r="E246" s="8" t="s">
        <v>4415</v>
      </c>
      <c r="F246" s="8" t="s">
        <v>4416</v>
      </c>
      <c r="G246" s="8" t="str" cm="1">
        <f t="array" ref="G246">LOWER(CleanCode(F246))</f>
        <v>residencesocialmobilityandpracticetheorythecaseofsephardicjewsofsydney</v>
      </c>
      <c r="H246" s="8"/>
      <c r="I246" s="8"/>
      <c r="J246" s="8" t="s">
        <v>4418</v>
      </c>
      <c r="K246" s="8"/>
      <c r="L246" s="8"/>
      <c r="M246" s="8" t="s">
        <v>4417</v>
      </c>
      <c r="N246" s="8" t="str">
        <f t="shared" si="3"/>
        <v>Journal Of Sociology</v>
      </c>
      <c r="O246" s="8" t="s">
        <v>4424</v>
      </c>
      <c r="P246" s="8" t="s">
        <v>69</v>
      </c>
      <c r="Q246" s="8" t="s">
        <v>69</v>
      </c>
      <c r="R246" s="8"/>
      <c r="S246" s="8">
        <v>35</v>
      </c>
      <c r="T246" s="8">
        <v>2</v>
      </c>
      <c r="U246" s="8">
        <v>149</v>
      </c>
      <c r="V246" s="8">
        <v>168</v>
      </c>
      <c r="W246" s="8">
        <v>20</v>
      </c>
      <c r="X246" s="8"/>
      <c r="Y246" s="8">
        <v>80</v>
      </c>
      <c r="Z246" s="8">
        <v>1</v>
      </c>
      <c r="AA246" s="8">
        <v>1</v>
      </c>
      <c r="AB246" s="8">
        <v>0</v>
      </c>
      <c r="AC246" s="8">
        <v>2</v>
      </c>
      <c r="AD246" s="8" t="s">
        <v>4429</v>
      </c>
      <c r="AE246" s="8" t="s">
        <v>4427</v>
      </c>
      <c r="AF246" s="8" t="s">
        <v>69</v>
      </c>
      <c r="AG246" s="8" t="s">
        <v>4421</v>
      </c>
      <c r="AH246" s="8" t="s">
        <v>4422</v>
      </c>
      <c r="AI246" s="8" t="s">
        <v>4423</v>
      </c>
      <c r="AJ246" s="8" t="s">
        <v>69</v>
      </c>
      <c r="AK246" s="8" t="s">
        <v>69</v>
      </c>
      <c r="AL246" s="8"/>
      <c r="AM246" s="8"/>
      <c r="AN246" s="8"/>
      <c r="AO246" s="8"/>
      <c r="AP246" s="8"/>
      <c r="AQ246" s="8"/>
      <c r="AR246" s="8"/>
      <c r="AS246" s="8"/>
      <c r="AT246" s="8"/>
      <c r="AU246" s="8"/>
      <c r="AV246" s="8"/>
      <c r="AW246" s="8"/>
      <c r="AX246" s="8"/>
      <c r="AY246" s="8"/>
      <c r="AZ246" s="8"/>
      <c r="BA246" s="8"/>
      <c r="BB246" s="8"/>
      <c r="BC246" s="8"/>
      <c r="BD246" s="8"/>
      <c r="BE246" s="8"/>
      <c r="BF246" s="8"/>
      <c r="BG246" s="8"/>
      <c r="BH246" s="8"/>
      <c r="BI246" s="8"/>
      <c r="BJ246" s="8"/>
      <c r="BK246" s="8"/>
      <c r="BL246" s="8"/>
      <c r="BM246" s="8"/>
      <c r="BN246" s="8"/>
      <c r="BO246" s="8"/>
      <c r="BP246" s="8"/>
      <c r="BQ246" s="8"/>
      <c r="BR246" s="8"/>
      <c r="BS246" s="8"/>
      <c r="BT246" s="8"/>
      <c r="BU246" s="8"/>
      <c r="BV246" s="8"/>
      <c r="BW246" s="8"/>
      <c r="BX246" s="8"/>
      <c r="BY246" s="8"/>
      <c r="BZ246" s="8"/>
    </row>
    <row r="247" spans="1:78" ht="13" customHeight="1" x14ac:dyDescent="0.15">
      <c r="A247" s="8" t="s">
        <v>6188</v>
      </c>
      <c r="B247" s="8" t="s">
        <v>969</v>
      </c>
      <c r="C247" s="9">
        <v>1998</v>
      </c>
      <c r="D247" s="8" t="s">
        <v>4430</v>
      </c>
      <c r="E247" s="8" t="s">
        <v>4430</v>
      </c>
      <c r="F247" s="8" t="s">
        <v>4431</v>
      </c>
      <c r="G247" s="8" t="str" cm="1">
        <f t="array" ref="G247">LOWER(CleanCode(F247))</f>
        <v>reviewofsocialepidemiologicresearchonmigrantshealthfindingsmethodologicalcautionsandtheoreticalperspectives</v>
      </c>
      <c r="H247" s="8"/>
      <c r="I247" s="8"/>
      <c r="J247" s="8" t="s">
        <v>4438</v>
      </c>
      <c r="K247" s="8"/>
      <c r="L247" s="8"/>
      <c r="M247" s="8" t="s">
        <v>4432</v>
      </c>
      <c r="N247" s="8" t="str">
        <f t="shared" si="3"/>
        <v>Scandinavian Journal Of Social Medicine</v>
      </c>
      <c r="O247" s="8" t="s">
        <v>4446</v>
      </c>
      <c r="P247" s="8" t="s">
        <v>69</v>
      </c>
      <c r="Q247" s="8" t="s">
        <v>69</v>
      </c>
      <c r="R247" s="8"/>
      <c r="S247" s="8">
        <v>26</v>
      </c>
      <c r="T247" s="8">
        <v>3</v>
      </c>
      <c r="U247" s="8">
        <v>173</v>
      </c>
      <c r="V247" s="8">
        <v>180</v>
      </c>
      <c r="W247" s="8">
        <v>8</v>
      </c>
      <c r="X247" s="8"/>
      <c r="Y247" s="8">
        <v>58</v>
      </c>
      <c r="Z247" s="8">
        <v>20</v>
      </c>
      <c r="AA247" s="8">
        <v>21</v>
      </c>
      <c r="AB247" s="8">
        <v>0</v>
      </c>
      <c r="AC247" s="8">
        <v>3</v>
      </c>
      <c r="AD247" s="8" t="s">
        <v>4451</v>
      </c>
      <c r="AE247" s="8" t="s">
        <v>4449</v>
      </c>
      <c r="AF247" s="8">
        <v>9768446</v>
      </c>
      <c r="AG247" s="8" t="s">
        <v>4443</v>
      </c>
      <c r="AH247" s="8" t="s">
        <v>4444</v>
      </c>
      <c r="AI247" s="8" t="s">
        <v>4445</v>
      </c>
      <c r="AJ247" s="8" t="s">
        <v>4437</v>
      </c>
      <c r="AK247" s="8" t="s">
        <v>4436</v>
      </c>
      <c r="AL247" s="8"/>
      <c r="AM247" s="8"/>
      <c r="AN247" s="8"/>
      <c r="AO247" s="8"/>
      <c r="AP247" s="8"/>
      <c r="AQ247" s="8"/>
      <c r="AR247" s="8"/>
      <c r="AS247" s="8"/>
      <c r="AT247" s="8"/>
      <c r="AU247" s="8"/>
      <c r="AV247" s="8"/>
      <c r="AW247" s="8"/>
      <c r="AX247" s="8"/>
      <c r="AY247" s="8"/>
      <c r="AZ247" s="8"/>
      <c r="BA247" s="8"/>
      <c r="BB247" s="8"/>
      <c r="BC247" s="8"/>
      <c r="BD247" s="8"/>
      <c r="BE247" s="8"/>
      <c r="BF247" s="8"/>
      <c r="BG247" s="8"/>
      <c r="BH247" s="8"/>
      <c r="BI247" s="8"/>
      <c r="BJ247" s="8"/>
      <c r="BK247" s="8"/>
      <c r="BL247" s="8"/>
      <c r="BM247" s="8"/>
      <c r="BN247" s="8"/>
      <c r="BO247" s="8"/>
      <c r="BP247" s="8"/>
      <c r="BQ247" s="8"/>
      <c r="BR247" s="8"/>
      <c r="BS247" s="8"/>
      <c r="BT247" s="8"/>
      <c r="BU247" s="8"/>
      <c r="BV247" s="8"/>
      <c r="BW247" s="8"/>
      <c r="BX247" s="8"/>
      <c r="BY247" s="8"/>
      <c r="BZ247" s="8"/>
    </row>
    <row r="248" spans="1:78" ht="13" customHeight="1" x14ac:dyDescent="0.15">
      <c r="A248" s="8" t="s">
        <v>6188</v>
      </c>
      <c r="B248" s="8" t="s">
        <v>74</v>
      </c>
      <c r="C248" s="9">
        <v>1998</v>
      </c>
      <c r="D248" s="8" t="s">
        <v>4452</v>
      </c>
      <c r="E248" s="8" t="s">
        <v>4452</v>
      </c>
      <c r="F248" s="8" t="s">
        <v>4453</v>
      </c>
      <c r="G248" s="8" t="str" cm="1">
        <f t="array" ref="G248">LOWER(CleanCode(F248))</f>
        <v>incorporatingoriginandprocessinmigrationfertilityframeworksthecaseofpuertoricanwomen</v>
      </c>
      <c r="H248" s="8"/>
      <c r="I248" s="8"/>
      <c r="J248" s="8" t="s">
        <v>4456</v>
      </c>
      <c r="K248" s="8"/>
      <c r="L248" s="8"/>
      <c r="M248" s="8" t="s">
        <v>4454</v>
      </c>
      <c r="N248" s="8" t="str">
        <f t="shared" si="3"/>
        <v>Social Forces</v>
      </c>
      <c r="O248" s="8" t="s">
        <v>4462</v>
      </c>
      <c r="P248" s="8" t="s">
        <v>69</v>
      </c>
      <c r="Q248" s="8" t="s">
        <v>69</v>
      </c>
      <c r="R248" s="8"/>
      <c r="S248" s="8">
        <v>76</v>
      </c>
      <c r="T248" s="8">
        <v>4</v>
      </c>
      <c r="U248" s="8">
        <v>1437</v>
      </c>
      <c r="V248" s="8">
        <v>1464</v>
      </c>
      <c r="W248" s="8">
        <v>28</v>
      </c>
      <c r="X248" s="8"/>
      <c r="Y248" s="8">
        <v>32</v>
      </c>
      <c r="Z248" s="8">
        <v>59</v>
      </c>
      <c r="AA248" s="8">
        <v>60</v>
      </c>
      <c r="AB248" s="8">
        <v>0</v>
      </c>
      <c r="AC248" s="8">
        <v>10</v>
      </c>
      <c r="AD248" s="8" t="s">
        <v>4467</v>
      </c>
      <c r="AE248" s="8" t="s">
        <v>4465</v>
      </c>
      <c r="AF248" s="8" t="s">
        <v>69</v>
      </c>
      <c r="AG248" s="8" t="s">
        <v>4459</v>
      </c>
      <c r="AH248" s="8" t="s">
        <v>4460</v>
      </c>
      <c r="AI248" s="8" t="s">
        <v>4461</v>
      </c>
      <c r="AJ248" s="8" t="s">
        <v>4455</v>
      </c>
      <c r="AK248" s="8" t="s">
        <v>69</v>
      </c>
      <c r="AL248" s="8"/>
      <c r="AM248" s="8"/>
      <c r="AN248" s="8"/>
      <c r="AO248" s="8"/>
      <c r="AP248" s="8"/>
      <c r="AQ248" s="8"/>
      <c r="AR248" s="8"/>
      <c r="AS248" s="8"/>
      <c r="AT248" s="8"/>
      <c r="AU248" s="8"/>
      <c r="AV248" s="8"/>
      <c r="AW248" s="8"/>
      <c r="AX248" s="8"/>
      <c r="AY248" s="8"/>
      <c r="AZ248" s="8"/>
      <c r="BA248" s="8"/>
      <c r="BB248" s="8"/>
      <c r="BC248" s="8"/>
      <c r="BD248" s="8"/>
      <c r="BE248" s="8"/>
      <c r="BF248" s="8"/>
      <c r="BG248" s="8"/>
      <c r="BH248" s="8"/>
      <c r="BI248" s="8"/>
      <c r="BJ248" s="8"/>
      <c r="BK248" s="8"/>
      <c r="BL248" s="8"/>
      <c r="BM248" s="8"/>
      <c r="BN248" s="8"/>
      <c r="BO248" s="8"/>
      <c r="BP248" s="8"/>
      <c r="BQ248" s="8"/>
      <c r="BR248" s="8"/>
      <c r="BS248" s="8"/>
      <c r="BT248" s="8"/>
      <c r="BU248" s="8"/>
      <c r="BV248" s="8"/>
      <c r="BW248" s="8"/>
      <c r="BX248" s="8"/>
      <c r="BY248" s="8"/>
      <c r="BZ248" s="8"/>
    </row>
    <row r="249" spans="1:78" ht="13" customHeight="1" x14ac:dyDescent="0.15">
      <c r="A249" s="8" t="s">
        <v>6188</v>
      </c>
      <c r="B249" s="8" t="s">
        <v>318</v>
      </c>
      <c r="C249" s="9">
        <v>1998</v>
      </c>
      <c r="D249" s="8" t="s">
        <v>4468</v>
      </c>
      <c r="E249" s="8" t="s">
        <v>4468</v>
      </c>
      <c r="F249" s="8" t="s">
        <v>4469</v>
      </c>
      <c r="G249" s="8" t="str" cm="1">
        <f t="array" ref="G249">LOWER(CleanCode(F249))</f>
        <v>theorieslinkingcultureandpsychologyuniversalandcommunityspecificprocesses</v>
      </c>
      <c r="H249" s="8"/>
      <c r="I249" s="8"/>
      <c r="J249" s="8" t="s">
        <v>4473</v>
      </c>
      <c r="K249" s="8"/>
      <c r="L249" s="8"/>
      <c r="M249" s="8" t="s">
        <v>4470</v>
      </c>
      <c r="N249" s="8" t="str">
        <f t="shared" si="3"/>
        <v>Annual Review Of Psychology</v>
      </c>
      <c r="O249" s="8" t="s">
        <v>4477</v>
      </c>
      <c r="P249" s="8" t="s">
        <v>69</v>
      </c>
      <c r="Q249" s="8" t="s">
        <v>69</v>
      </c>
      <c r="R249" s="8"/>
      <c r="S249" s="8">
        <v>49</v>
      </c>
      <c r="T249" s="8" t="s">
        <v>69</v>
      </c>
      <c r="U249" s="8">
        <v>559</v>
      </c>
      <c r="V249" s="8">
        <v>584</v>
      </c>
      <c r="W249" s="8">
        <v>26</v>
      </c>
      <c r="X249" s="8"/>
      <c r="Y249" s="8">
        <v>107</v>
      </c>
      <c r="Z249" s="8">
        <v>107</v>
      </c>
      <c r="AA249" s="8">
        <v>109</v>
      </c>
      <c r="AB249" s="8">
        <v>0</v>
      </c>
      <c r="AC249" s="8">
        <v>38</v>
      </c>
      <c r="AD249" s="8" t="s">
        <v>4483</v>
      </c>
      <c r="AE249" s="8" t="s">
        <v>4480</v>
      </c>
      <c r="AF249" s="8">
        <v>15012474</v>
      </c>
      <c r="AG249" s="8" t="s">
        <v>4062</v>
      </c>
      <c r="AH249" s="8" t="s">
        <v>4063</v>
      </c>
      <c r="AI249" s="8" t="s">
        <v>4064</v>
      </c>
      <c r="AJ249" s="8" t="s">
        <v>4472</v>
      </c>
      <c r="AK249" s="8" t="s">
        <v>4471</v>
      </c>
      <c r="AL249" s="8"/>
      <c r="AM249" s="8"/>
      <c r="AN249" s="8"/>
      <c r="AO249" s="8"/>
      <c r="AP249" s="8"/>
      <c r="AQ249" s="8"/>
      <c r="AR249" s="8"/>
      <c r="AS249" s="8"/>
      <c r="AT249" s="8"/>
      <c r="AU249" s="8"/>
      <c r="AV249" s="8"/>
      <c r="AW249" s="8"/>
      <c r="AX249" s="8"/>
      <c r="AY249" s="8"/>
      <c r="AZ249" s="8"/>
      <c r="BA249" s="8"/>
      <c r="BB249" s="8"/>
      <c r="BC249" s="8"/>
      <c r="BD249" s="8"/>
      <c r="BE249" s="8"/>
      <c r="BF249" s="8"/>
      <c r="BG249" s="8"/>
      <c r="BH249" s="8"/>
      <c r="BI249" s="8"/>
      <c r="BJ249" s="8"/>
      <c r="BK249" s="8"/>
      <c r="BL249" s="8"/>
      <c r="BM249" s="8"/>
      <c r="BN249" s="8"/>
      <c r="BO249" s="8"/>
      <c r="BP249" s="8"/>
      <c r="BQ249" s="8"/>
      <c r="BR249" s="8"/>
      <c r="BS249" s="8"/>
      <c r="BT249" s="8"/>
      <c r="BU249" s="8"/>
      <c r="BV249" s="8"/>
      <c r="BW249" s="8"/>
      <c r="BX249" s="8"/>
      <c r="BY249" s="8"/>
      <c r="BZ249" s="8"/>
    </row>
    <row r="250" spans="1:78" ht="13" customHeight="1" x14ac:dyDescent="0.15">
      <c r="A250" s="8" t="s">
        <v>6188</v>
      </c>
      <c r="B250" s="8" t="s">
        <v>74</v>
      </c>
      <c r="C250" s="9">
        <v>1997</v>
      </c>
      <c r="D250" s="8" t="s">
        <v>4484</v>
      </c>
      <c r="E250" s="8" t="s">
        <v>4484</v>
      </c>
      <c r="F250" s="8" t="s">
        <v>4485</v>
      </c>
      <c r="G250" s="8" t="str" cm="1">
        <f t="array" ref="G250">LOWER(CleanCode(F250))</f>
        <v>rethinkingassimilationtheoryforaneweraofimmigration</v>
      </c>
      <c r="H250" s="8"/>
      <c r="I250" s="8"/>
      <c r="J250" s="8" t="s">
        <v>4487</v>
      </c>
      <c r="K250" s="8"/>
      <c r="L250" s="8"/>
      <c r="M250" s="8" t="s">
        <v>3038</v>
      </c>
      <c r="N250" s="8" t="str">
        <f t="shared" si="3"/>
        <v>International Migration Review</v>
      </c>
      <c r="O250" s="8" t="s">
        <v>3043</v>
      </c>
      <c r="P250" s="8" t="s">
        <v>69</v>
      </c>
      <c r="Q250" s="8" t="s">
        <v>69</v>
      </c>
      <c r="R250" s="8"/>
      <c r="S250" s="8">
        <v>31</v>
      </c>
      <c r="T250" s="8">
        <v>4</v>
      </c>
      <c r="U250" s="8">
        <v>826</v>
      </c>
      <c r="V250" s="8">
        <v>874</v>
      </c>
      <c r="W250" s="8">
        <v>49</v>
      </c>
      <c r="X250" s="8"/>
      <c r="Y250" s="8">
        <v>160</v>
      </c>
      <c r="Z250" s="8">
        <v>948</v>
      </c>
      <c r="AA250" s="8">
        <v>973</v>
      </c>
      <c r="AB250" s="8">
        <v>5</v>
      </c>
      <c r="AC250" s="8">
        <v>210</v>
      </c>
      <c r="AD250" s="8" t="s">
        <v>4494</v>
      </c>
      <c r="AE250" s="8" t="s">
        <v>4492</v>
      </c>
      <c r="AF250" s="8">
        <v>12293207</v>
      </c>
      <c r="AG250" s="8" t="s">
        <v>4097</v>
      </c>
      <c r="AH250" s="8" t="s">
        <v>4098</v>
      </c>
      <c r="AI250" s="8" t="s">
        <v>4491</v>
      </c>
      <c r="AJ250" s="8" t="s">
        <v>4486</v>
      </c>
      <c r="AK250" s="8" t="s">
        <v>69</v>
      </c>
      <c r="AL250" s="8"/>
      <c r="AM250" s="8"/>
      <c r="AN250" s="8"/>
      <c r="AO250" s="8"/>
      <c r="AP250" s="8"/>
      <c r="AQ250" s="8"/>
      <c r="AR250" s="8"/>
      <c r="AS250" s="8"/>
      <c r="AT250" s="8"/>
      <c r="AU250" s="8"/>
      <c r="AV250" s="8"/>
      <c r="AW250" s="8"/>
      <c r="AX250" s="8"/>
      <c r="AY250" s="8"/>
      <c r="AZ250" s="8"/>
      <c r="BA250" s="8"/>
      <c r="BB250" s="8"/>
      <c r="BC250" s="8"/>
      <c r="BD250" s="8"/>
      <c r="BE250" s="8"/>
      <c r="BF250" s="8"/>
      <c r="BG250" s="8"/>
      <c r="BH250" s="8"/>
      <c r="BI250" s="8"/>
      <c r="BJ250" s="8"/>
      <c r="BK250" s="8"/>
      <c r="BL250" s="8"/>
      <c r="BM250" s="8"/>
      <c r="BN250" s="8"/>
      <c r="BO250" s="8"/>
      <c r="BP250" s="8"/>
      <c r="BQ250" s="8"/>
      <c r="BR250" s="8"/>
      <c r="BS250" s="8"/>
      <c r="BT250" s="8"/>
      <c r="BU250" s="8"/>
      <c r="BV250" s="8"/>
      <c r="BW250" s="8"/>
      <c r="BX250" s="8"/>
      <c r="BY250" s="8"/>
      <c r="BZ250" s="8"/>
    </row>
    <row r="251" spans="1:78" ht="13" customHeight="1" x14ac:dyDescent="0.15">
      <c r="A251" s="8" t="s">
        <v>6188</v>
      </c>
      <c r="B251" s="8" t="s">
        <v>74</v>
      </c>
      <c r="C251" s="9">
        <v>1997</v>
      </c>
      <c r="D251" s="8" t="s">
        <v>4495</v>
      </c>
      <c r="E251" s="8" t="s">
        <v>4495</v>
      </c>
      <c r="F251" s="8" t="s">
        <v>4496</v>
      </c>
      <c r="G251" s="8" t="str" cm="1">
        <f t="array" ref="G251">LOWER(CleanCode(F251))</f>
        <v>everythingoldisnewagainprocessesandtheoriesofimmigrantincorporation</v>
      </c>
      <c r="H251" s="8"/>
      <c r="I251" s="8"/>
      <c r="J251" s="8" t="s">
        <v>4497</v>
      </c>
      <c r="K251" s="8"/>
      <c r="L251" s="8"/>
      <c r="M251" s="8" t="s">
        <v>3038</v>
      </c>
      <c r="N251" s="8" t="str">
        <f t="shared" si="3"/>
        <v>International Migration Review</v>
      </c>
      <c r="O251" s="8" t="s">
        <v>3043</v>
      </c>
      <c r="P251" s="8" t="s">
        <v>69</v>
      </c>
      <c r="Q251" s="8" t="s">
        <v>69</v>
      </c>
      <c r="R251" s="8"/>
      <c r="S251" s="8">
        <v>31</v>
      </c>
      <c r="T251" s="8">
        <v>4</v>
      </c>
      <c r="U251" s="8">
        <v>1096</v>
      </c>
      <c r="V251" s="8">
        <v>1111</v>
      </c>
      <c r="W251" s="8">
        <v>16</v>
      </c>
      <c r="X251" s="8"/>
      <c r="Y251" s="8">
        <v>40</v>
      </c>
      <c r="Z251" s="8">
        <v>48</v>
      </c>
      <c r="AA251" s="8">
        <v>48</v>
      </c>
      <c r="AB251" s="8">
        <v>0</v>
      </c>
      <c r="AC251" s="8">
        <v>6</v>
      </c>
      <c r="AD251" s="8" t="s">
        <v>4500</v>
      </c>
      <c r="AE251" s="8" t="s">
        <v>4499</v>
      </c>
      <c r="AF251" s="8" t="s">
        <v>69</v>
      </c>
      <c r="AG251" s="8" t="s">
        <v>4097</v>
      </c>
      <c r="AH251" s="8" t="s">
        <v>4098</v>
      </c>
      <c r="AI251" s="8" t="s">
        <v>4491</v>
      </c>
      <c r="AJ251" s="8" t="s">
        <v>3536</v>
      </c>
      <c r="AK251" s="8" t="s">
        <v>69</v>
      </c>
      <c r="AL251" s="8"/>
      <c r="AM251" s="8"/>
      <c r="AN251" s="8"/>
      <c r="AO251" s="8"/>
      <c r="AP251" s="8"/>
      <c r="AQ251" s="8"/>
      <c r="AR251" s="8"/>
      <c r="AS251" s="8"/>
      <c r="AT251" s="8"/>
      <c r="AU251" s="8"/>
      <c r="AV251" s="8"/>
      <c r="AW251" s="8"/>
      <c r="AX251" s="8"/>
      <c r="AY251" s="8"/>
      <c r="AZ251" s="8"/>
      <c r="BA251" s="8"/>
      <c r="BB251" s="8"/>
      <c r="BC251" s="8"/>
      <c r="BD251" s="8"/>
      <c r="BE251" s="8"/>
      <c r="BF251" s="8"/>
      <c r="BG251" s="8"/>
      <c r="BH251" s="8"/>
      <c r="BI251" s="8"/>
      <c r="BJ251" s="8"/>
      <c r="BK251" s="8"/>
      <c r="BL251" s="8"/>
      <c r="BM251" s="8"/>
      <c r="BN251" s="8"/>
      <c r="BO251" s="8"/>
      <c r="BP251" s="8"/>
      <c r="BQ251" s="8"/>
      <c r="BR251" s="8"/>
      <c r="BS251" s="8"/>
      <c r="BT251" s="8"/>
      <c r="BU251" s="8"/>
      <c r="BV251" s="8"/>
      <c r="BW251" s="8"/>
      <c r="BX251" s="8"/>
      <c r="BY251" s="8"/>
      <c r="BZ251" s="8"/>
    </row>
    <row r="252" spans="1:78" ht="13" customHeight="1" x14ac:dyDescent="0.15">
      <c r="A252" s="8" t="s">
        <v>6188</v>
      </c>
      <c r="B252" s="8" t="s">
        <v>74</v>
      </c>
      <c r="C252" s="9">
        <v>1997</v>
      </c>
      <c r="D252" s="8" t="s">
        <v>4501</v>
      </c>
      <c r="E252" s="8" t="s">
        <v>4501</v>
      </c>
      <c r="F252" s="8" t="s">
        <v>4502</v>
      </c>
      <c r="G252" s="8" t="str" cm="1">
        <f t="array" ref="G252">LOWER(CleanCode(F252))</f>
        <v>viewingalcoholandotherdrugusecrossculturallyaculturalframeworkforclinicalpractice</v>
      </c>
      <c r="H252" s="8"/>
      <c r="I252" s="8"/>
      <c r="J252" s="8" t="s">
        <v>4504</v>
      </c>
      <c r="K252" s="8"/>
      <c r="L252" s="8"/>
      <c r="M252" s="8" t="s">
        <v>4503</v>
      </c>
      <c r="N252" s="8" t="str">
        <f t="shared" si="3"/>
        <v>Families In Society-The Journal Of Contemporary Human Services</v>
      </c>
      <c r="O252" s="8" t="s">
        <v>4510</v>
      </c>
      <c r="P252" s="8" t="s">
        <v>69</v>
      </c>
      <c r="Q252" s="8" t="s">
        <v>69</v>
      </c>
      <c r="R252" s="8"/>
      <c r="S252" s="8">
        <v>78</v>
      </c>
      <c r="T252" s="8">
        <v>3</v>
      </c>
      <c r="U252" s="8">
        <v>240</v>
      </c>
      <c r="V252" s="8">
        <v>254</v>
      </c>
      <c r="W252" s="8">
        <v>15</v>
      </c>
      <c r="X252" s="8"/>
      <c r="Y252" s="8">
        <v>43</v>
      </c>
      <c r="Z252" s="8">
        <v>11</v>
      </c>
      <c r="AA252" s="8">
        <v>11</v>
      </c>
      <c r="AB252" s="8">
        <v>0</v>
      </c>
      <c r="AC252" s="8">
        <v>5</v>
      </c>
      <c r="AD252" s="8" t="s">
        <v>4515</v>
      </c>
      <c r="AE252" s="8" t="s">
        <v>4513</v>
      </c>
      <c r="AF252" s="8" t="s">
        <v>69</v>
      </c>
      <c r="AG252" s="8" t="s">
        <v>4507</v>
      </c>
      <c r="AH252" s="8" t="s">
        <v>4508</v>
      </c>
      <c r="AI252" s="8" t="s">
        <v>4509</v>
      </c>
      <c r="AJ252" s="8" t="s">
        <v>69</v>
      </c>
      <c r="AK252" s="8" t="s">
        <v>69</v>
      </c>
      <c r="AL252" s="8"/>
      <c r="AM252" s="8"/>
      <c r="AN252" s="8"/>
      <c r="AO252" s="8"/>
      <c r="AP252" s="8"/>
      <c r="AQ252" s="8"/>
      <c r="AR252" s="8"/>
      <c r="AS252" s="8"/>
      <c r="AT252" s="8"/>
      <c r="AU252" s="8"/>
      <c r="AV252" s="8"/>
      <c r="AW252" s="8"/>
      <c r="AX252" s="8"/>
      <c r="AY252" s="8"/>
      <c r="AZ252" s="8"/>
      <c r="BA252" s="8"/>
      <c r="BB252" s="8"/>
      <c r="BC252" s="8"/>
      <c r="BD252" s="8"/>
      <c r="BE252" s="8"/>
      <c r="BF252" s="8"/>
      <c r="BG252" s="8"/>
      <c r="BH252" s="8"/>
      <c r="BI252" s="8"/>
      <c r="BJ252" s="8"/>
      <c r="BK252" s="8"/>
      <c r="BL252" s="8"/>
      <c r="BM252" s="8"/>
      <c r="BN252" s="8"/>
      <c r="BO252" s="8"/>
      <c r="BP252" s="8"/>
      <c r="BQ252" s="8"/>
      <c r="BR252" s="8"/>
      <c r="BS252" s="8"/>
      <c r="BT252" s="8"/>
      <c r="BU252" s="8"/>
      <c r="BV252" s="8"/>
      <c r="BW252" s="8"/>
      <c r="BX252" s="8"/>
      <c r="BY252" s="8"/>
      <c r="BZ252" s="8"/>
    </row>
    <row r="253" spans="1:78" ht="13" customHeight="1" x14ac:dyDescent="0.15">
      <c r="A253" s="8" t="s">
        <v>6188</v>
      </c>
      <c r="B253" s="8" t="s">
        <v>74</v>
      </c>
      <c r="C253" s="9">
        <v>1997</v>
      </c>
      <c r="D253" s="8" t="s">
        <v>4516</v>
      </c>
      <c r="E253" s="8" t="s">
        <v>4516</v>
      </c>
      <c r="F253" s="8" t="s">
        <v>4517</v>
      </c>
      <c r="G253" s="8" t="str" cm="1">
        <f t="array" ref="G253">LOWER(CleanCode(F253))</f>
        <v>factorsaffectingimmigrationofadultsexperimentalandtheoreticalobservationswithrodents</v>
      </c>
      <c r="H253" s="8"/>
      <c r="I253" s="8"/>
      <c r="J253" s="8" t="s">
        <v>4521</v>
      </c>
      <c r="K253" s="8"/>
      <c r="L253" s="8"/>
      <c r="M253" s="8" t="s">
        <v>4518</v>
      </c>
      <c r="N253" s="8" t="str">
        <f t="shared" si="3"/>
        <v>Acta Oecologica-International Journal Of Ecology</v>
      </c>
      <c r="O253" s="8" t="s">
        <v>4524</v>
      </c>
      <c r="P253" s="8" t="s">
        <v>4525</v>
      </c>
      <c r="Q253" s="8" t="s">
        <v>69</v>
      </c>
      <c r="R253" s="8"/>
      <c r="S253" s="8">
        <v>18</v>
      </c>
      <c r="T253" s="8">
        <v>6</v>
      </c>
      <c r="U253" s="8">
        <v>637</v>
      </c>
      <c r="V253" s="8">
        <v>655</v>
      </c>
      <c r="W253" s="8">
        <v>19</v>
      </c>
      <c r="X253" s="8"/>
      <c r="Y253" s="8">
        <v>57</v>
      </c>
      <c r="Z253" s="8">
        <v>3</v>
      </c>
      <c r="AA253" s="8">
        <v>3</v>
      </c>
      <c r="AB253" s="8">
        <v>0</v>
      </c>
      <c r="AC253" s="8">
        <v>3</v>
      </c>
      <c r="AD253" s="8" t="s">
        <v>4532</v>
      </c>
      <c r="AE253" s="8" t="s">
        <v>4528</v>
      </c>
      <c r="AF253" s="8" t="s">
        <v>69</v>
      </c>
      <c r="AG253" s="8" t="s">
        <v>953</v>
      </c>
      <c r="AH253" s="8" t="s">
        <v>954</v>
      </c>
      <c r="AI253" s="8" t="s">
        <v>955</v>
      </c>
      <c r="AJ253" s="8" t="s">
        <v>4520</v>
      </c>
      <c r="AK253" s="8" t="s">
        <v>4519</v>
      </c>
      <c r="AL253" s="8"/>
      <c r="AM253" s="8"/>
      <c r="AN253" s="8"/>
      <c r="AO253" s="8"/>
      <c r="AP253" s="8"/>
      <c r="AQ253" s="8"/>
      <c r="AR253" s="8"/>
      <c r="AS253" s="8"/>
      <c r="AT253" s="8"/>
      <c r="AU253" s="8"/>
      <c r="AV253" s="8"/>
      <c r="AW253" s="8"/>
      <c r="AX253" s="8"/>
      <c r="AY253" s="8"/>
      <c r="AZ253" s="8"/>
      <c r="BA253" s="8"/>
      <c r="BB253" s="8"/>
      <c r="BC253" s="8"/>
      <c r="BD253" s="8"/>
      <c r="BE253" s="8"/>
      <c r="BF253" s="8"/>
      <c r="BG253" s="8"/>
      <c r="BH253" s="8"/>
      <c r="BI253" s="8"/>
      <c r="BJ253" s="8"/>
      <c r="BK253" s="8"/>
      <c r="BL253" s="8"/>
      <c r="BM253" s="8"/>
      <c r="BN253" s="8"/>
      <c r="BO253" s="8"/>
      <c r="BP253" s="8"/>
      <c r="BQ253" s="8"/>
      <c r="BR253" s="8"/>
      <c r="BS253" s="8"/>
      <c r="BT253" s="8"/>
      <c r="BU253" s="8"/>
      <c r="BV253" s="8"/>
      <c r="BW253" s="8"/>
      <c r="BX253" s="8"/>
      <c r="BY253" s="8"/>
      <c r="BZ253" s="8"/>
    </row>
    <row r="254" spans="1:78" ht="13" customHeight="1" x14ac:dyDescent="0.15">
      <c r="A254" s="8" t="s">
        <v>6188</v>
      </c>
      <c r="B254" s="8" t="s">
        <v>74</v>
      </c>
      <c r="C254" s="9">
        <v>1997</v>
      </c>
      <c r="D254" s="8" t="s">
        <v>4533</v>
      </c>
      <c r="E254" s="8" t="s">
        <v>4533</v>
      </c>
      <c r="F254" s="8" t="s">
        <v>4534</v>
      </c>
      <c r="G254" s="8" t="str" cm="1">
        <f t="array" ref="G254">LOWER(CleanCode(F254))</f>
        <v>workandculturethetwodimensionsofsocialintegrationofrefugeesexpelleesingermanyafterworldwariiatheoreticalempiricalessay</v>
      </c>
      <c r="H254" s="8"/>
      <c r="I254" s="8"/>
      <c r="J254" s="8" t="s">
        <v>4536</v>
      </c>
      <c r="K254" s="8"/>
      <c r="L254" s="8"/>
      <c r="M254" s="8" t="s">
        <v>4535</v>
      </c>
      <c r="N254" s="8" t="str">
        <f t="shared" si="3"/>
        <v>Soziale Welt-Zeitschrift Fur Sozialwissenschaftliche Forschung Und Praxis</v>
      </c>
      <c r="O254" s="8" t="s">
        <v>4541</v>
      </c>
      <c r="P254" s="8" t="s">
        <v>69</v>
      </c>
      <c r="Q254" s="8" t="s">
        <v>69</v>
      </c>
      <c r="R254" s="8"/>
      <c r="S254" s="8">
        <v>48</v>
      </c>
      <c r="T254" s="8">
        <v>3</v>
      </c>
      <c r="U254" s="8">
        <v>253</v>
      </c>
      <c r="V254" s="8" t="s">
        <v>1757</v>
      </c>
      <c r="W254" s="8">
        <v>24</v>
      </c>
      <c r="X254" s="8"/>
      <c r="Y254" s="8">
        <v>58</v>
      </c>
      <c r="Z254" s="8">
        <v>0</v>
      </c>
      <c r="AA254" s="8">
        <v>0</v>
      </c>
      <c r="AB254" s="8">
        <v>0</v>
      </c>
      <c r="AC254" s="8">
        <v>11</v>
      </c>
      <c r="AD254" s="8" t="s">
        <v>4545</v>
      </c>
      <c r="AE254" s="8" t="s">
        <v>69</v>
      </c>
      <c r="AF254" s="8" t="s">
        <v>69</v>
      </c>
      <c r="AG254" s="8" t="s">
        <v>4539</v>
      </c>
      <c r="AH254" s="8" t="s">
        <v>3284</v>
      </c>
      <c r="AI254" s="8" t="s">
        <v>4540</v>
      </c>
      <c r="AJ254" s="8" t="s">
        <v>69</v>
      </c>
      <c r="AK254" s="8" t="s">
        <v>69</v>
      </c>
      <c r="AL254" s="8"/>
      <c r="AM254" s="8"/>
      <c r="AN254" s="8"/>
      <c r="AO254" s="8"/>
      <c r="AP254" s="8"/>
      <c r="AQ254" s="8"/>
      <c r="AR254" s="8"/>
      <c r="AS254" s="8"/>
      <c r="AT254" s="8"/>
      <c r="AU254" s="8"/>
      <c r="AV254" s="8"/>
      <c r="AW254" s="8"/>
      <c r="AX254" s="8"/>
      <c r="AY254" s="8"/>
      <c r="AZ254" s="8"/>
      <c r="BA254" s="8"/>
      <c r="BB254" s="8"/>
      <c r="BC254" s="8"/>
      <c r="BD254" s="8"/>
      <c r="BE254" s="8"/>
      <c r="BF254" s="8"/>
      <c r="BG254" s="8"/>
      <c r="BH254" s="8"/>
      <c r="BI254" s="8"/>
      <c r="BJ254" s="8"/>
      <c r="BK254" s="8"/>
      <c r="BL254" s="8"/>
      <c r="BM254" s="8"/>
      <c r="BN254" s="8"/>
      <c r="BO254" s="8"/>
      <c r="BP254" s="8"/>
      <c r="BQ254" s="8"/>
      <c r="BR254" s="8"/>
      <c r="BS254" s="8"/>
      <c r="BT254" s="8"/>
      <c r="BU254" s="8"/>
      <c r="BV254" s="8"/>
      <c r="BW254" s="8"/>
      <c r="BX254" s="8"/>
      <c r="BY254" s="8"/>
      <c r="BZ254" s="8"/>
    </row>
    <row r="255" spans="1:78" ht="13" customHeight="1" x14ac:dyDescent="0.15">
      <c r="A255" s="8" t="s">
        <v>6188</v>
      </c>
      <c r="B255" s="8" t="s">
        <v>74</v>
      </c>
      <c r="C255" s="9">
        <v>1996</v>
      </c>
      <c r="D255" s="8" t="s">
        <v>4546</v>
      </c>
      <c r="E255" s="8" t="s">
        <v>4546</v>
      </c>
      <c r="F255" s="8" t="s">
        <v>4547</v>
      </c>
      <c r="G255" s="8" t="str" cm="1">
        <f t="array" ref="G255">LOWER(CleanCode(F255))</f>
        <v>aconceptualmodelforstudyingparentingbehaviorsinimmigrantpopulations</v>
      </c>
      <c r="H255" s="8"/>
      <c r="I255" s="8"/>
      <c r="J255" s="8" t="s">
        <v>4551</v>
      </c>
      <c r="K255" s="8"/>
      <c r="L255" s="8"/>
      <c r="M255" s="8" t="s">
        <v>4548</v>
      </c>
      <c r="N255" s="8" t="str">
        <f t="shared" si="3"/>
        <v>Advances In Nursing Science</v>
      </c>
      <c r="O255" s="8" t="s">
        <v>4556</v>
      </c>
      <c r="P255" s="8" t="s">
        <v>4557</v>
      </c>
      <c r="Q255" s="8" t="s">
        <v>69</v>
      </c>
      <c r="R255" s="8"/>
      <c r="S255" s="8">
        <v>19</v>
      </c>
      <c r="T255" s="8">
        <v>2</v>
      </c>
      <c r="U255" s="8">
        <v>74</v>
      </c>
      <c r="V255" s="8">
        <v>87</v>
      </c>
      <c r="W255" s="8">
        <v>14</v>
      </c>
      <c r="X255" s="8"/>
      <c r="Y255" s="8">
        <v>66</v>
      </c>
      <c r="Z255" s="8">
        <v>10</v>
      </c>
      <c r="AA255" s="8">
        <v>10</v>
      </c>
      <c r="AB255" s="8">
        <v>0</v>
      </c>
      <c r="AC255" s="8">
        <v>20</v>
      </c>
      <c r="AD255" s="8" t="s">
        <v>4562</v>
      </c>
      <c r="AE255" s="8" t="s">
        <v>4560</v>
      </c>
      <c r="AF255" s="8">
        <v>8939290</v>
      </c>
      <c r="AG255" s="8" t="s">
        <v>4554</v>
      </c>
      <c r="AH255" s="8" t="s">
        <v>702</v>
      </c>
      <c r="AI255" s="8" t="s">
        <v>4555</v>
      </c>
      <c r="AJ255" s="8" t="s">
        <v>4550</v>
      </c>
      <c r="AK255" s="8" t="s">
        <v>4549</v>
      </c>
      <c r="AL255" s="8"/>
      <c r="AM255" s="8"/>
      <c r="AN255" s="8"/>
      <c r="AO255" s="8"/>
      <c r="AP255" s="8"/>
      <c r="AQ255" s="8"/>
      <c r="AR255" s="8"/>
      <c r="AS255" s="8"/>
      <c r="AT255" s="8"/>
      <c r="AU255" s="8"/>
      <c r="AV255" s="8"/>
      <c r="AW255" s="8"/>
      <c r="AX255" s="8"/>
      <c r="AY255" s="8"/>
      <c r="AZ255" s="8"/>
      <c r="BA255" s="8"/>
      <c r="BB255" s="8"/>
      <c r="BC255" s="8"/>
      <c r="BD255" s="8"/>
      <c r="BE255" s="8"/>
      <c r="BF255" s="8"/>
      <c r="BG255" s="8"/>
      <c r="BH255" s="8"/>
      <c r="BI255" s="8"/>
      <c r="BJ255" s="8"/>
      <c r="BK255" s="8"/>
      <c r="BL255" s="8"/>
      <c r="BM255" s="8"/>
      <c r="BN255" s="8"/>
      <c r="BO255" s="8"/>
      <c r="BP255" s="8"/>
      <c r="BQ255" s="8"/>
      <c r="BR255" s="8"/>
      <c r="BS255" s="8"/>
      <c r="BT255" s="8"/>
      <c r="BU255" s="8"/>
      <c r="BV255" s="8"/>
      <c r="BW255" s="8"/>
      <c r="BX255" s="8"/>
      <c r="BY255" s="8"/>
      <c r="BZ255" s="8"/>
    </row>
    <row r="256" spans="1:78" ht="13" customHeight="1" x14ac:dyDescent="0.15">
      <c r="A256" s="8" t="s">
        <v>6188</v>
      </c>
      <c r="B256" s="8" t="s">
        <v>74</v>
      </c>
      <c r="C256" s="9">
        <v>1996</v>
      </c>
      <c r="D256" s="8" t="s">
        <v>4563</v>
      </c>
      <c r="E256" s="8" t="s">
        <v>4563</v>
      </c>
      <c r="F256" s="8" t="s">
        <v>4564</v>
      </c>
      <c r="G256" s="8" t="str" cm="1">
        <f t="array" ref="G256">LOWER(CleanCode(F256))</f>
        <v>transnationalsocialspacesatheoreticalempiricalsketchbasedonmexicanamericanlabormigration</v>
      </c>
      <c r="H256" s="8"/>
      <c r="I256" s="8"/>
      <c r="J256" s="8" t="s">
        <v>4566</v>
      </c>
      <c r="K256" s="8"/>
      <c r="L256" s="8"/>
      <c r="M256" s="8" t="s">
        <v>3636</v>
      </c>
      <c r="N256" s="8" t="str">
        <f t="shared" si="3"/>
        <v>Zeitschrift Fur Soziologie</v>
      </c>
      <c r="O256" s="8" t="s">
        <v>3645</v>
      </c>
      <c r="P256" s="8" t="s">
        <v>69</v>
      </c>
      <c r="Q256" s="8" t="s">
        <v>69</v>
      </c>
      <c r="R256" s="8"/>
      <c r="S256" s="8">
        <v>25</v>
      </c>
      <c r="T256" s="8">
        <v>6</v>
      </c>
      <c r="U256" s="8">
        <v>456</v>
      </c>
      <c r="V256" s="8" t="s">
        <v>4570</v>
      </c>
      <c r="W256" s="8">
        <v>18</v>
      </c>
      <c r="X256" s="8"/>
      <c r="Y256" s="8">
        <v>61</v>
      </c>
      <c r="Z256" s="8">
        <v>26</v>
      </c>
      <c r="AA256" s="8">
        <v>28</v>
      </c>
      <c r="AB256" s="8">
        <v>1</v>
      </c>
      <c r="AC256" s="8">
        <v>3</v>
      </c>
      <c r="AD256" s="8" t="s">
        <v>4572</v>
      </c>
      <c r="AE256" s="8" t="s">
        <v>69</v>
      </c>
      <c r="AF256" s="8" t="s">
        <v>69</v>
      </c>
      <c r="AG256" s="8" t="s">
        <v>4568</v>
      </c>
      <c r="AH256" s="8" t="s">
        <v>552</v>
      </c>
      <c r="AI256" s="8" t="s">
        <v>4569</v>
      </c>
      <c r="AJ256" s="8" t="s">
        <v>4565</v>
      </c>
      <c r="AK256" s="8" t="s">
        <v>69</v>
      </c>
      <c r="AL256" s="8"/>
      <c r="AM256" s="8"/>
      <c r="AN256" s="8"/>
      <c r="AO256" s="8"/>
      <c r="AP256" s="8"/>
      <c r="AQ256" s="8"/>
      <c r="AR256" s="8"/>
      <c r="AS256" s="8"/>
      <c r="AT256" s="8"/>
      <c r="AU256" s="8"/>
      <c r="AV256" s="8"/>
      <c r="AW256" s="8"/>
      <c r="AX256" s="8"/>
      <c r="AY256" s="8"/>
      <c r="AZ256" s="8"/>
      <c r="BA256" s="8"/>
      <c r="BB256" s="8"/>
      <c r="BC256" s="8"/>
      <c r="BD256" s="8"/>
      <c r="BE256" s="8"/>
      <c r="BF256" s="8"/>
      <c r="BG256" s="8"/>
      <c r="BH256" s="8"/>
      <c r="BI256" s="8"/>
      <c r="BJ256" s="8"/>
      <c r="BK256" s="8"/>
      <c r="BL256" s="8"/>
      <c r="BM256" s="8"/>
      <c r="BN256" s="8"/>
      <c r="BO256" s="8"/>
      <c r="BP256" s="8"/>
      <c r="BQ256" s="8"/>
      <c r="BR256" s="8"/>
      <c r="BS256" s="8"/>
      <c r="BT256" s="8"/>
      <c r="BU256" s="8"/>
      <c r="BV256" s="8"/>
      <c r="BW256" s="8"/>
      <c r="BX256" s="8"/>
      <c r="BY256" s="8"/>
      <c r="BZ256" s="8"/>
    </row>
    <row r="257" spans="1:78" ht="13" customHeight="1" x14ac:dyDescent="0.15">
      <c r="A257" s="8" t="s">
        <v>6188</v>
      </c>
      <c r="B257" s="8" t="s">
        <v>74</v>
      </c>
      <c r="C257" s="9">
        <v>1996</v>
      </c>
      <c r="D257" s="8" t="s">
        <v>4573</v>
      </c>
      <c r="E257" s="8" t="s">
        <v>4573</v>
      </c>
      <c r="F257" s="8" t="s">
        <v>4574</v>
      </c>
      <c r="G257" s="8" t="str" cm="1">
        <f t="array" ref="G257">LOWER(CleanCode(F257))</f>
        <v>adolescentsanddevianceinavietnameseamericancommunityatheoreticalsynthesis</v>
      </c>
      <c r="H257" s="8"/>
      <c r="I257" s="8"/>
      <c r="J257" s="8" t="s">
        <v>4575</v>
      </c>
      <c r="K257" s="8"/>
      <c r="L257" s="8"/>
      <c r="M257" s="8" t="s">
        <v>695</v>
      </c>
      <c r="N257" s="8" t="str">
        <f t="shared" si="3"/>
        <v>Deviant Behavior</v>
      </c>
      <c r="O257" s="8" t="s">
        <v>704</v>
      </c>
      <c r="P257" s="8" t="s">
        <v>69</v>
      </c>
      <c r="Q257" s="8" t="s">
        <v>69</v>
      </c>
      <c r="R257" s="8"/>
      <c r="S257" s="8">
        <v>17</v>
      </c>
      <c r="T257" s="8">
        <v>2</v>
      </c>
      <c r="U257" s="8">
        <v>159</v>
      </c>
      <c r="V257" s="8">
        <v>181</v>
      </c>
      <c r="W257" s="8">
        <v>23</v>
      </c>
      <c r="X257" s="8"/>
      <c r="Y257" s="8">
        <v>37</v>
      </c>
      <c r="Z257" s="8">
        <v>8</v>
      </c>
      <c r="AA257" s="8">
        <v>8</v>
      </c>
      <c r="AB257" s="8">
        <v>0</v>
      </c>
      <c r="AC257" s="8">
        <v>3</v>
      </c>
      <c r="AD257" s="8" t="s">
        <v>4583</v>
      </c>
      <c r="AE257" s="8" t="s">
        <v>4581</v>
      </c>
      <c r="AF257" s="8" t="s">
        <v>69</v>
      </c>
      <c r="AG257" s="8" t="s">
        <v>4578</v>
      </c>
      <c r="AH257" s="8" t="s">
        <v>4579</v>
      </c>
      <c r="AI257" s="8" t="s">
        <v>4580</v>
      </c>
      <c r="AJ257" s="8" t="s">
        <v>69</v>
      </c>
      <c r="AK257" s="8" t="s">
        <v>69</v>
      </c>
      <c r="AL257" s="8"/>
      <c r="AM257" s="8"/>
      <c r="AN257" s="8"/>
      <c r="AO257" s="8"/>
      <c r="AP257" s="8"/>
      <c r="AQ257" s="8"/>
      <c r="AR257" s="8"/>
      <c r="AS257" s="8"/>
      <c r="AT257" s="8"/>
      <c r="AU257" s="8"/>
      <c r="AV257" s="8"/>
      <c r="AW257" s="8"/>
      <c r="AX257" s="8"/>
      <c r="AY257" s="8"/>
      <c r="AZ257" s="8"/>
      <c r="BA257" s="8"/>
      <c r="BB257" s="8"/>
      <c r="BC257" s="8"/>
      <c r="BD257" s="8"/>
      <c r="BE257" s="8"/>
      <c r="BF257" s="8"/>
      <c r="BG257" s="8"/>
      <c r="BH257" s="8"/>
      <c r="BI257" s="8"/>
      <c r="BJ257" s="8"/>
      <c r="BK257" s="8"/>
      <c r="BL257" s="8"/>
      <c r="BM257" s="8"/>
      <c r="BN257" s="8"/>
      <c r="BO257" s="8"/>
      <c r="BP257" s="8"/>
      <c r="BQ257" s="8"/>
      <c r="BR257" s="8"/>
      <c r="BS257" s="8"/>
      <c r="BT257" s="8"/>
      <c r="BU257" s="8"/>
      <c r="BV257" s="8"/>
      <c r="BW257" s="8"/>
      <c r="BX257" s="8"/>
      <c r="BY257" s="8"/>
      <c r="BZ257" s="8"/>
    </row>
    <row r="258" spans="1:78" ht="13" customHeight="1" x14ac:dyDescent="0.15">
      <c r="A258" s="8" t="s">
        <v>6188</v>
      </c>
      <c r="B258" s="8" t="s">
        <v>969</v>
      </c>
      <c r="C258" s="9">
        <v>1996</v>
      </c>
      <c r="D258" s="8" t="s">
        <v>4584</v>
      </c>
      <c r="E258" s="8" t="s">
        <v>4584</v>
      </c>
      <c r="F258" s="8" t="s">
        <v>4586</v>
      </c>
      <c r="G258" s="8" t="str" cm="1">
        <f t="array" ref="G258">LOWER(CleanCode(F258))</f>
        <v>thehealthcareconsumptionpatternsofasianimmigrantsgroundedtheoryimplicationsforconsumeracculturationtheory</v>
      </c>
      <c r="H258" s="8"/>
      <c r="I258" s="8"/>
      <c r="J258" s="8" t="s">
        <v>4593</v>
      </c>
      <c r="K258" s="8"/>
      <c r="L258" s="8"/>
      <c r="M258" s="8" t="s">
        <v>4587</v>
      </c>
      <c r="N258" s="8" t="str">
        <f t="shared" si="3"/>
        <v>Advances In Consumer Research, Vol 23: Research Frame Synergies</v>
      </c>
      <c r="O258" s="8" t="s">
        <v>4598</v>
      </c>
      <c r="P258" s="8" t="s">
        <v>69</v>
      </c>
      <c r="Q258" s="8" t="s">
        <v>4599</v>
      </c>
      <c r="R258" s="8"/>
      <c r="S258" s="8">
        <v>23</v>
      </c>
      <c r="T258" s="8" t="s">
        <v>69</v>
      </c>
      <c r="U258" s="8">
        <v>418</v>
      </c>
      <c r="V258" s="8">
        <v>423</v>
      </c>
      <c r="W258" s="8">
        <v>6</v>
      </c>
      <c r="X258" s="8"/>
      <c r="Y258" s="8">
        <v>29</v>
      </c>
      <c r="Z258" s="8">
        <v>7</v>
      </c>
      <c r="AA258" s="8">
        <v>7</v>
      </c>
      <c r="AB258" s="8">
        <v>0</v>
      </c>
      <c r="AC258" s="8">
        <v>1</v>
      </c>
      <c r="AD258" s="8" t="s">
        <v>4602</v>
      </c>
      <c r="AE258" s="8" t="s">
        <v>69</v>
      </c>
      <c r="AF258" s="8" t="s">
        <v>69</v>
      </c>
      <c r="AG258" s="8" t="s">
        <v>4595</v>
      </c>
      <c r="AH258" s="8" t="s">
        <v>4596</v>
      </c>
      <c r="AI258" s="8" t="s">
        <v>4597</v>
      </c>
      <c r="AJ258" s="8" t="s">
        <v>69</v>
      </c>
      <c r="AK258" s="8" t="s">
        <v>69</v>
      </c>
      <c r="AL258" s="8"/>
      <c r="AM258" s="8"/>
      <c r="AN258" s="8"/>
      <c r="AO258" s="8"/>
      <c r="AP258" s="8"/>
      <c r="AQ258" s="8"/>
      <c r="AR258" s="8"/>
      <c r="AS258" s="8"/>
      <c r="AT258" s="8"/>
      <c r="AU258" s="8"/>
      <c r="AV258" s="8"/>
      <c r="AW258" s="8"/>
      <c r="AX258" s="8"/>
      <c r="AY258" s="8"/>
      <c r="AZ258" s="8"/>
      <c r="BA258" s="8"/>
      <c r="BB258" s="8"/>
      <c r="BC258" s="8"/>
      <c r="BD258" s="8"/>
      <c r="BE258" s="8"/>
      <c r="BF258" s="8"/>
      <c r="BG258" s="8"/>
      <c r="BH258" s="8"/>
      <c r="BI258" s="8"/>
      <c r="BJ258" s="8"/>
      <c r="BK258" s="8"/>
      <c r="BL258" s="8"/>
      <c r="BM258" s="8"/>
      <c r="BN258" s="8"/>
      <c r="BO258" s="8"/>
      <c r="BP258" s="8"/>
      <c r="BQ258" s="8"/>
      <c r="BR258" s="8"/>
      <c r="BS258" s="8"/>
      <c r="BT258" s="8"/>
      <c r="BU258" s="8"/>
      <c r="BV258" s="8"/>
      <c r="BW258" s="8"/>
      <c r="BX258" s="8"/>
      <c r="BY258" s="8"/>
      <c r="BZ258" s="8"/>
    </row>
    <row r="259" spans="1:78" ht="13" customHeight="1" x14ac:dyDescent="0.15">
      <c r="A259" s="8" t="s">
        <v>6188</v>
      </c>
      <c r="B259" s="8" t="s">
        <v>969</v>
      </c>
      <c r="C259" s="9">
        <v>1995</v>
      </c>
      <c r="D259" s="8" t="s">
        <v>4603</v>
      </c>
      <c r="E259" s="8" t="s">
        <v>4603</v>
      </c>
      <c r="F259" s="8" t="s">
        <v>4604</v>
      </c>
      <c r="G259" s="8" t="str" cm="1">
        <f t="array" ref="G259">LOWER(CleanCode(F259))</f>
        <v>trainingtothinkculturallyamultidimensionalcomparativeframework</v>
      </c>
      <c r="H259" s="8"/>
      <c r="I259" s="8"/>
      <c r="J259" s="8" t="s">
        <v>4611</v>
      </c>
      <c r="K259" s="8"/>
      <c r="L259" s="8"/>
      <c r="M259" s="8" t="s">
        <v>4605</v>
      </c>
      <c r="N259" s="8" t="str">
        <f t="shared" ref="N259:N322" si="4">PROPER(M259)</f>
        <v>Family Process</v>
      </c>
      <c r="O259" s="8" t="s">
        <v>4616</v>
      </c>
      <c r="P259" s="8" t="s">
        <v>69</v>
      </c>
      <c r="Q259" s="8" t="s">
        <v>69</v>
      </c>
      <c r="R259" s="8"/>
      <c r="S259" s="8">
        <v>34</v>
      </c>
      <c r="T259" s="8">
        <v>4</v>
      </c>
      <c r="U259" s="8">
        <v>373</v>
      </c>
      <c r="V259" s="8">
        <v>388</v>
      </c>
      <c r="W259" s="8">
        <v>16</v>
      </c>
      <c r="X259" s="8"/>
      <c r="Y259" s="8">
        <v>56</v>
      </c>
      <c r="Z259" s="8">
        <v>129</v>
      </c>
      <c r="AA259" s="8">
        <v>130</v>
      </c>
      <c r="AB259" s="8">
        <v>0</v>
      </c>
      <c r="AC259" s="8">
        <v>12</v>
      </c>
      <c r="AD259" s="8" t="s">
        <v>4621</v>
      </c>
      <c r="AE259" s="8" t="s">
        <v>4619</v>
      </c>
      <c r="AF259" s="8">
        <v>8674519</v>
      </c>
      <c r="AG259" s="8" t="s">
        <v>4613</v>
      </c>
      <c r="AH259" s="8" t="s">
        <v>4614</v>
      </c>
      <c r="AI259" s="8" t="s">
        <v>4615</v>
      </c>
      <c r="AJ259" s="8" t="s">
        <v>4610</v>
      </c>
      <c r="AK259" s="8" t="s">
        <v>69</v>
      </c>
      <c r="AL259" s="8"/>
      <c r="AM259" s="8"/>
      <c r="AN259" s="8"/>
      <c r="AO259" s="8"/>
      <c r="AP259" s="8"/>
      <c r="AQ259" s="8"/>
      <c r="AR259" s="8"/>
      <c r="AS259" s="8"/>
      <c r="AT259" s="8"/>
      <c r="AU259" s="8"/>
      <c r="AV259" s="8"/>
      <c r="AW259" s="8"/>
      <c r="AX259" s="8"/>
      <c r="AY259" s="8"/>
      <c r="AZ259" s="8"/>
      <c r="BA259" s="8"/>
      <c r="BB259" s="8"/>
      <c r="BC259" s="8"/>
      <c r="BD259" s="8"/>
      <c r="BE259" s="8"/>
      <c r="BF259" s="8"/>
      <c r="BG259" s="8"/>
      <c r="BH259" s="8"/>
      <c r="BI259" s="8"/>
      <c r="BJ259" s="8"/>
      <c r="BK259" s="8"/>
      <c r="BL259" s="8"/>
      <c r="BM259" s="8"/>
      <c r="BN259" s="8"/>
      <c r="BO259" s="8"/>
      <c r="BP259" s="8"/>
      <c r="BQ259" s="8"/>
      <c r="BR259" s="8"/>
      <c r="BS259" s="8"/>
      <c r="BT259" s="8"/>
      <c r="BU259" s="8"/>
      <c r="BV259" s="8"/>
      <c r="BW259" s="8"/>
      <c r="BX259" s="8"/>
      <c r="BY259" s="8"/>
      <c r="BZ259" s="8"/>
    </row>
    <row r="260" spans="1:78" ht="13" customHeight="1" x14ac:dyDescent="0.15">
      <c r="A260" s="8" t="s">
        <v>6188</v>
      </c>
      <c r="B260" s="8" t="s">
        <v>74</v>
      </c>
      <c r="C260" s="9">
        <v>1993</v>
      </c>
      <c r="D260" s="8" t="s">
        <v>4622</v>
      </c>
      <c r="E260" s="8" t="s">
        <v>4622</v>
      </c>
      <c r="F260" s="8" t="s">
        <v>4623</v>
      </c>
      <c r="G260" s="8" t="str" cm="1">
        <f t="array" ref="G260">LOWER(CleanCode(F260))</f>
        <v>suicideinjapanandinthewestevidencefordurkheimtheory</v>
      </c>
      <c r="H260" s="8"/>
      <c r="I260" s="8"/>
      <c r="J260" s="8" t="s">
        <v>4626</v>
      </c>
      <c r="K260" s="8"/>
      <c r="L260" s="8"/>
      <c r="M260" s="8" t="s">
        <v>4624</v>
      </c>
      <c r="N260" s="8" t="str">
        <f t="shared" si="4"/>
        <v>International Journal Of Comparative Sociology</v>
      </c>
      <c r="O260" s="8" t="s">
        <v>4630</v>
      </c>
      <c r="P260" s="8" t="s">
        <v>69</v>
      </c>
      <c r="Q260" s="8" t="s">
        <v>69</v>
      </c>
      <c r="R260" s="8"/>
      <c r="S260" s="8">
        <v>34</v>
      </c>
      <c r="T260" s="8" t="s">
        <v>379</v>
      </c>
      <c r="U260" s="8">
        <v>244</v>
      </c>
      <c r="V260" s="8">
        <v>259</v>
      </c>
      <c r="W260" s="8">
        <v>16</v>
      </c>
      <c r="X260" s="8"/>
      <c r="Y260" s="8">
        <v>48</v>
      </c>
      <c r="Z260" s="8">
        <v>11</v>
      </c>
      <c r="AA260" s="8">
        <v>12</v>
      </c>
      <c r="AB260" s="8">
        <v>1</v>
      </c>
      <c r="AC260" s="8">
        <v>19</v>
      </c>
      <c r="AD260" s="8" t="s">
        <v>4636</v>
      </c>
      <c r="AE260" s="8" t="s">
        <v>4634</v>
      </c>
      <c r="AF260" s="8" t="s">
        <v>69</v>
      </c>
      <c r="AG260" s="8" t="s">
        <v>4628</v>
      </c>
      <c r="AH260" s="8" t="s">
        <v>1108</v>
      </c>
      <c r="AI260" s="8" t="s">
        <v>4629</v>
      </c>
      <c r="AJ260" s="8" t="s">
        <v>4625</v>
      </c>
      <c r="AK260" s="8" t="s">
        <v>69</v>
      </c>
      <c r="AL260" s="8"/>
      <c r="AM260" s="8"/>
      <c r="AN260" s="8"/>
      <c r="AO260" s="8"/>
      <c r="AP260" s="8"/>
      <c r="AQ260" s="8"/>
      <c r="AR260" s="8"/>
      <c r="AS260" s="8"/>
      <c r="AT260" s="8"/>
      <c r="AU260" s="8"/>
      <c r="AV260" s="8"/>
      <c r="AW260" s="8"/>
      <c r="AX260" s="8"/>
      <c r="AY260" s="8"/>
      <c r="AZ260" s="8"/>
      <c r="BA260" s="8"/>
      <c r="BB260" s="8"/>
      <c r="BC260" s="8"/>
      <c r="BD260" s="8"/>
      <c r="BE260" s="8"/>
      <c r="BF260" s="8"/>
      <c r="BG260" s="8"/>
      <c r="BH260" s="8"/>
      <c r="BI260" s="8"/>
      <c r="BJ260" s="8"/>
      <c r="BK260" s="8"/>
      <c r="BL260" s="8"/>
      <c r="BM260" s="8"/>
      <c r="BN260" s="8"/>
      <c r="BO260" s="8"/>
      <c r="BP260" s="8"/>
      <c r="BQ260" s="8"/>
      <c r="BR260" s="8"/>
      <c r="BS260" s="8"/>
      <c r="BT260" s="8"/>
      <c r="BU260" s="8"/>
      <c r="BV260" s="8"/>
      <c r="BW260" s="8"/>
      <c r="BX260" s="8"/>
      <c r="BY260" s="8"/>
      <c r="BZ260" s="8"/>
    </row>
    <row r="261" spans="1:78" ht="13" customHeight="1" x14ac:dyDescent="0.15">
      <c r="A261" s="8" t="s">
        <v>6188</v>
      </c>
      <c r="B261" s="8" t="s">
        <v>74</v>
      </c>
      <c r="C261" s="9">
        <v>1986</v>
      </c>
      <c r="D261" s="8" t="s">
        <v>4637</v>
      </c>
      <c r="E261" s="8" t="s">
        <v>4637</v>
      </c>
      <c r="F261" s="8" t="s">
        <v>4638</v>
      </c>
      <c r="G261" s="8" t="str" cm="1">
        <f t="array" ref="G261">LOWER(CleanCode(F261))</f>
        <v>migrationmedicalcarepreferencesandthelayreferralsystemanetworktheoryofroleassimilation</v>
      </c>
      <c r="H261" s="8"/>
      <c r="I261" s="8"/>
      <c r="J261" s="8" t="s">
        <v>69</v>
      </c>
      <c r="K261" s="8"/>
      <c r="L261" s="8"/>
      <c r="M261" s="8" t="s">
        <v>4639</v>
      </c>
      <c r="N261" s="8" t="str">
        <f t="shared" si="4"/>
        <v>American Sociological Review</v>
      </c>
      <c r="O261" s="8" t="s">
        <v>4643</v>
      </c>
      <c r="P261" s="8" t="s">
        <v>69</v>
      </c>
      <c r="Q261" s="8" t="s">
        <v>69</v>
      </c>
      <c r="R261" s="8"/>
      <c r="S261" s="8">
        <v>51</v>
      </c>
      <c r="T261" s="8">
        <v>4</v>
      </c>
      <c r="U261" s="8">
        <v>523</v>
      </c>
      <c r="V261" s="8">
        <v>540</v>
      </c>
      <c r="W261" s="8">
        <v>18</v>
      </c>
      <c r="X261" s="8"/>
      <c r="Y261" s="8">
        <v>103</v>
      </c>
      <c r="Z261" s="8">
        <v>25</v>
      </c>
      <c r="AA261" s="8">
        <v>25</v>
      </c>
      <c r="AB261" s="8">
        <v>0</v>
      </c>
      <c r="AC261" s="8">
        <v>2</v>
      </c>
      <c r="AD261" s="8" t="s">
        <v>4648</v>
      </c>
      <c r="AE261" s="8" t="s">
        <v>4646</v>
      </c>
      <c r="AF261" s="8" t="s">
        <v>69</v>
      </c>
      <c r="AG261" s="8" t="s">
        <v>4641</v>
      </c>
      <c r="AH261" s="8" t="s">
        <v>1184</v>
      </c>
      <c r="AI261" s="8" t="s">
        <v>4642</v>
      </c>
      <c r="AJ261" s="8" t="s">
        <v>69</v>
      </c>
      <c r="AK261" s="8" t="s">
        <v>69</v>
      </c>
      <c r="AL261" s="8"/>
      <c r="AM261" s="8"/>
      <c r="AN261" s="8"/>
      <c r="AO261" s="8"/>
      <c r="AP261" s="8"/>
      <c r="AQ261" s="8"/>
      <c r="AR261" s="8"/>
      <c r="AS261" s="8"/>
      <c r="AT261" s="8"/>
      <c r="AU261" s="8"/>
      <c r="AV261" s="8"/>
      <c r="AW261" s="8"/>
      <c r="AX261" s="8"/>
      <c r="AY261" s="8"/>
      <c r="AZ261" s="8"/>
      <c r="BA261" s="8"/>
      <c r="BB261" s="8"/>
      <c r="BC261" s="8"/>
      <c r="BD261" s="8"/>
      <c r="BE261" s="8"/>
      <c r="BF261" s="8"/>
      <c r="BG261" s="8"/>
      <c r="BH261" s="8"/>
      <c r="BI261" s="8"/>
      <c r="BJ261" s="8"/>
      <c r="BK261" s="8"/>
      <c r="BL261" s="8"/>
      <c r="BM261" s="8"/>
      <c r="BN261" s="8"/>
      <c r="BO261" s="8"/>
      <c r="BP261" s="8"/>
      <c r="BQ261" s="8"/>
      <c r="BR261" s="8"/>
      <c r="BS261" s="8"/>
      <c r="BT261" s="8"/>
      <c r="BU261" s="8"/>
      <c r="BV261" s="8"/>
      <c r="BW261" s="8"/>
      <c r="BX261" s="8"/>
      <c r="BY261" s="8"/>
      <c r="BZ261" s="8"/>
    </row>
    <row r="262" spans="1:78" ht="13" customHeight="1" x14ac:dyDescent="0.15">
      <c r="A262" s="8" t="s">
        <v>6188</v>
      </c>
      <c r="B262" s="8" t="s">
        <v>4651</v>
      </c>
      <c r="C262" s="9">
        <v>1981</v>
      </c>
      <c r="D262" s="8" t="s">
        <v>4649</v>
      </c>
      <c r="E262" s="8" t="s">
        <v>4649</v>
      </c>
      <c r="F262" s="8" t="s">
        <v>4650</v>
      </c>
      <c r="G262" s="8" t="str" cm="1">
        <f t="array" ref="G262">LOWER(CleanCode(F262))</f>
        <v>aspectsofmigrationsociologyassimilationandintegrationofmigrantsethnicgroupsandminoritiesanactiontheoreticalanalysisgermanesserh</v>
      </c>
      <c r="H262" s="8"/>
      <c r="I262" s="8"/>
      <c r="J262" s="8" t="s">
        <v>69</v>
      </c>
      <c r="K262" s="8"/>
      <c r="L262" s="8"/>
      <c r="M262" s="8" t="s">
        <v>1764</v>
      </c>
      <c r="N262" s="8" t="str">
        <f t="shared" si="4"/>
        <v>Kolner Zeitschrift Fur Soziologie Und Sozialpsychologie</v>
      </c>
      <c r="O262" s="8" t="s">
        <v>1774</v>
      </c>
      <c r="P262" s="8" t="s">
        <v>69</v>
      </c>
      <c r="Q262" s="8" t="s">
        <v>69</v>
      </c>
      <c r="R262" s="8"/>
      <c r="S262" s="8">
        <v>33</v>
      </c>
      <c r="T262" s="8">
        <v>2</v>
      </c>
      <c r="U262" s="8">
        <v>385</v>
      </c>
      <c r="V262" s="8">
        <v>386</v>
      </c>
      <c r="W262" s="8">
        <v>2</v>
      </c>
      <c r="X262" s="8"/>
      <c r="Y262" s="8">
        <v>1</v>
      </c>
      <c r="Z262" s="8">
        <v>0</v>
      </c>
      <c r="AA262" s="8">
        <v>0</v>
      </c>
      <c r="AB262" s="8">
        <v>0</v>
      </c>
      <c r="AC262" s="8">
        <v>3</v>
      </c>
      <c r="AD262" s="8" t="s">
        <v>4655</v>
      </c>
      <c r="AE262" s="8" t="s">
        <v>69</v>
      </c>
      <c r="AF262" s="8" t="s">
        <v>69</v>
      </c>
      <c r="AG262" s="8" t="s">
        <v>4652</v>
      </c>
      <c r="AH262" s="8" t="s">
        <v>1772</v>
      </c>
      <c r="AI262" s="8" t="s">
        <v>4653</v>
      </c>
      <c r="AJ262" s="8" t="s">
        <v>69</v>
      </c>
      <c r="AK262" s="8" t="s">
        <v>69</v>
      </c>
      <c r="AL262" s="8"/>
      <c r="AM262" s="8"/>
      <c r="AN262" s="8"/>
      <c r="AO262" s="8"/>
      <c r="AP262" s="8"/>
      <c r="AQ262" s="8"/>
      <c r="AR262" s="8"/>
      <c r="AS262" s="8"/>
      <c r="AT262" s="8"/>
      <c r="AU262" s="8"/>
      <c r="AV262" s="8"/>
      <c r="AW262" s="8"/>
      <c r="AX262" s="8"/>
      <c r="AY262" s="8"/>
      <c r="AZ262" s="8"/>
      <c r="BA262" s="8"/>
      <c r="BB262" s="8"/>
      <c r="BC262" s="8"/>
      <c r="BD262" s="8"/>
      <c r="BE262" s="8"/>
      <c r="BF262" s="8"/>
      <c r="BG262" s="8"/>
      <c r="BH262" s="8"/>
      <c r="BI262" s="8"/>
      <c r="BJ262" s="8"/>
      <c r="BK262" s="8"/>
      <c r="BL262" s="8"/>
      <c r="BM262" s="8"/>
      <c r="BN262" s="8"/>
      <c r="BO262" s="8"/>
      <c r="BP262" s="8"/>
      <c r="BQ262" s="8"/>
      <c r="BR262" s="8"/>
      <c r="BS262" s="8"/>
      <c r="BT262" s="8"/>
      <c r="BU262" s="8"/>
      <c r="BV262" s="8"/>
      <c r="BW262" s="8"/>
      <c r="BX262" s="8"/>
      <c r="BY262" s="8"/>
      <c r="BZ262" s="8"/>
    </row>
    <row r="263" spans="1:78" ht="13" customHeight="1" x14ac:dyDescent="0.15">
      <c r="A263" s="8" t="s">
        <v>6189</v>
      </c>
      <c r="B263" s="8" t="s">
        <v>4671</v>
      </c>
      <c r="C263" s="11">
        <v>2012</v>
      </c>
      <c r="D263" s="8" t="s">
        <v>4666</v>
      </c>
      <c r="E263" s="8"/>
      <c r="F263" s="8" t="s">
        <v>4665</v>
      </c>
      <c r="G263" s="8" t="str" cm="1">
        <f t="array" ref="G263">LOWER(CleanCode(F263))</f>
        <v>acomparisonofconceptualmodelsofdepressionandanxietyinchineseamericansandeuropeanamericansandtheroleofculture</v>
      </c>
      <c r="H263" s="8"/>
      <c r="I263" s="8"/>
      <c r="J263" s="8" t="s">
        <v>4673</v>
      </c>
      <c r="K263" s="8"/>
      <c r="L263" s="8"/>
      <c r="M263" s="8" t="s">
        <v>4667</v>
      </c>
      <c r="N263" s="8" t="str">
        <f t="shared" si="4"/>
        <v>Dissertation Abstracts International: Section B: The Sciences And Engineering</v>
      </c>
      <c r="O263" s="8" t="str">
        <f>"04194217"</f>
        <v>04194217</v>
      </c>
      <c r="P263" s="8"/>
      <c r="Q263" s="8" t="str">
        <f>"9781124610313"</f>
        <v>9781124610313</v>
      </c>
      <c r="R263" s="8" t="str">
        <f>"20120101"</f>
        <v>20120101</v>
      </c>
      <c r="S263" s="8">
        <v>72</v>
      </c>
      <c r="T263" s="8" t="s">
        <v>4668</v>
      </c>
      <c r="U263" s="8">
        <v>4317</v>
      </c>
      <c r="V263" s="8"/>
      <c r="W263" s="8">
        <v>1</v>
      </c>
      <c r="X263" s="8"/>
      <c r="Y263" s="8"/>
      <c r="Z263" s="8"/>
      <c r="AA263" s="8"/>
      <c r="AB263" s="8"/>
      <c r="AC263" s="8"/>
      <c r="AD263" s="8" t="s">
        <v>4669</v>
      </c>
      <c r="AE263" s="8"/>
      <c r="AF263" s="8"/>
      <c r="AG263" s="8" t="s">
        <v>4670</v>
      </c>
      <c r="AH263" s="8"/>
      <c r="AI263" s="8"/>
      <c r="AJ263" s="8" t="s">
        <v>4672</v>
      </c>
      <c r="AK263" s="8"/>
      <c r="AL263" s="8" t="s">
        <v>4674</v>
      </c>
      <c r="AM263" s="8"/>
      <c r="AN263" s="8"/>
      <c r="AO263" s="8"/>
      <c r="AP263" s="8"/>
      <c r="AQ263" s="8"/>
      <c r="AR263" s="8"/>
      <c r="AS263" s="8"/>
      <c r="AT263" s="8"/>
      <c r="AU263" s="8"/>
      <c r="AV263" s="8"/>
      <c r="AW263" s="8"/>
      <c r="AX263" s="8"/>
      <c r="AY263" s="8"/>
      <c r="AZ263" s="8"/>
      <c r="BA263" s="8"/>
      <c r="BB263" s="8"/>
      <c r="BC263" s="8"/>
      <c r="BD263" s="8"/>
      <c r="BE263" s="8"/>
      <c r="BF263" s="8"/>
      <c r="BG263" s="8"/>
      <c r="BH263" s="8"/>
      <c r="BI263" s="8"/>
      <c r="BJ263" s="8"/>
      <c r="BK263" s="8"/>
      <c r="BL263" s="8"/>
      <c r="BM263" s="8"/>
      <c r="BN263" s="8"/>
      <c r="BO263" s="8"/>
      <c r="BP263" s="8"/>
      <c r="BQ263" s="8"/>
      <c r="BR263" s="8"/>
      <c r="BS263" s="8"/>
      <c r="BT263" s="8"/>
      <c r="BU263" s="8"/>
      <c r="BV263" s="8"/>
      <c r="BW263" s="8"/>
      <c r="BX263" s="8"/>
      <c r="BY263" s="8"/>
      <c r="BZ263" s="8"/>
    </row>
    <row r="264" spans="1:78" ht="13" customHeight="1" x14ac:dyDescent="0.15">
      <c r="A264" s="8" t="s">
        <v>6189</v>
      </c>
      <c r="B264" s="8" t="s">
        <v>4679</v>
      </c>
      <c r="C264" s="11">
        <v>2018</v>
      </c>
      <c r="D264" s="8" t="s">
        <v>1449</v>
      </c>
      <c r="E264" s="8"/>
      <c r="F264" s="8" t="s">
        <v>4675</v>
      </c>
      <c r="G264" s="8" t="str" cm="1">
        <f t="array" ref="G264">LOWER(CleanCode(F264))</f>
        <v>aconceptualframeworkforunderstandinglatinoimmigrantsambiguouslossofhomeland</v>
      </c>
      <c r="H264" s="8"/>
      <c r="I264" s="8"/>
      <c r="J264" s="8" t="s">
        <v>4681</v>
      </c>
      <c r="K264" s="8"/>
      <c r="L264" s="8"/>
      <c r="M264" s="8" t="s">
        <v>4676</v>
      </c>
      <c r="N264" s="8" t="str">
        <f t="shared" si="4"/>
        <v>Hispanic Journal Of Behavioral Sciences</v>
      </c>
      <c r="O264" s="8" t="str">
        <f>"07399863"</f>
        <v>07399863</v>
      </c>
      <c r="P264" s="8"/>
      <c r="Q264" s="8"/>
      <c r="R264" s="8" t="str">
        <f>"20180501"</f>
        <v>20180501</v>
      </c>
      <c r="S264" s="8">
        <v>40</v>
      </c>
      <c r="T264" s="8">
        <v>2</v>
      </c>
      <c r="U264" s="8">
        <v>91</v>
      </c>
      <c r="V264" s="8"/>
      <c r="W264" s="8">
        <v>24</v>
      </c>
      <c r="X264" s="8"/>
      <c r="Y264" s="8"/>
      <c r="Z264" s="8"/>
      <c r="AA264" s="8"/>
      <c r="AB264" s="8"/>
      <c r="AC264" s="8"/>
      <c r="AD264" s="8" t="s">
        <v>4677</v>
      </c>
      <c r="AE264" s="8" t="s">
        <v>1465</v>
      </c>
      <c r="AF264" s="8"/>
      <c r="AG264" s="8" t="s">
        <v>4678</v>
      </c>
      <c r="AH264" s="8"/>
      <c r="AI264" s="8"/>
      <c r="AJ264" s="8" t="s">
        <v>4680</v>
      </c>
      <c r="AK264" s="8"/>
      <c r="AL264" s="8" t="s">
        <v>4682</v>
      </c>
      <c r="AM264" s="8"/>
      <c r="AN264" s="8"/>
      <c r="AO264" s="8"/>
      <c r="AP264" s="8"/>
      <c r="AQ264" s="8"/>
      <c r="AR264" s="8"/>
      <c r="AS264" s="8"/>
      <c r="AT264" s="8"/>
      <c r="AU264" s="8"/>
      <c r="AV264" s="8"/>
      <c r="AW264" s="8"/>
      <c r="AX264" s="8"/>
      <c r="AY264" s="8"/>
      <c r="AZ264" s="8"/>
      <c r="BA264" s="8"/>
      <c r="BB264" s="8"/>
      <c r="BC264" s="8"/>
      <c r="BD264" s="8"/>
      <c r="BE264" s="8"/>
      <c r="BF264" s="8"/>
      <c r="BG264" s="8"/>
      <c r="BH264" s="8"/>
      <c r="BI264" s="8"/>
      <c r="BJ264" s="8"/>
      <c r="BK264" s="8"/>
      <c r="BL264" s="8"/>
      <c r="BM264" s="8"/>
      <c r="BN264" s="8"/>
      <c r="BO264" s="8"/>
      <c r="BP264" s="8"/>
      <c r="BQ264" s="8"/>
      <c r="BR264" s="8"/>
      <c r="BS264" s="8"/>
      <c r="BT264" s="8"/>
      <c r="BU264" s="8"/>
      <c r="BV264" s="8"/>
      <c r="BW264" s="8"/>
      <c r="BX264" s="8"/>
      <c r="BY264" s="8"/>
      <c r="BZ264" s="8"/>
    </row>
    <row r="265" spans="1:78" ht="13" customHeight="1" x14ac:dyDescent="0.15">
      <c r="A265" s="8" t="s">
        <v>6189</v>
      </c>
      <c r="B265" s="8" t="s">
        <v>4679</v>
      </c>
      <c r="C265" s="11">
        <v>1996</v>
      </c>
      <c r="D265" s="8" t="s">
        <v>4684</v>
      </c>
      <c r="E265" s="8"/>
      <c r="F265" s="8" t="s">
        <v>4683</v>
      </c>
      <c r="G265" s="8" t="str" cm="1">
        <f t="array" ref="G265">LOWER(CleanCode(F265))</f>
        <v>aconceptualmodelforstudyingparentingbehaviorsinimmigrantpopulations</v>
      </c>
      <c r="H265" s="8"/>
      <c r="I265" s="8"/>
      <c r="J265" s="8" t="s">
        <v>4689</v>
      </c>
      <c r="K265" s="8"/>
      <c r="L265" s="8"/>
      <c r="M265" s="8" t="s">
        <v>4685</v>
      </c>
      <c r="N265" s="8" t="str">
        <f t="shared" si="4"/>
        <v>Advances In Nursing Science</v>
      </c>
      <c r="O265" s="8" t="str">
        <f>"01619268"</f>
        <v>01619268</v>
      </c>
      <c r="P265" s="8"/>
      <c r="Q265" s="8"/>
      <c r="R265" s="8" t="str">
        <f>"19961201"</f>
        <v>19961201</v>
      </c>
      <c r="S265" s="8">
        <v>19</v>
      </c>
      <c r="T265" s="8">
        <v>2</v>
      </c>
      <c r="U265" s="8">
        <v>74</v>
      </c>
      <c r="V265" s="8"/>
      <c r="W265" s="8">
        <v>14</v>
      </c>
      <c r="X265" s="8"/>
      <c r="Y265" s="8"/>
      <c r="Z265" s="8"/>
      <c r="AA265" s="8"/>
      <c r="AB265" s="8"/>
      <c r="AC265" s="8"/>
      <c r="AD265" s="8" t="s">
        <v>4686</v>
      </c>
      <c r="AE265" s="8" t="s">
        <v>4560</v>
      </c>
      <c r="AF265" s="8"/>
      <c r="AG265" s="8" t="s">
        <v>4687</v>
      </c>
      <c r="AH265" s="8"/>
      <c r="AI265" s="8"/>
      <c r="AJ265" s="8" t="s">
        <v>4688</v>
      </c>
      <c r="AK265" s="8"/>
      <c r="AL265" s="8" t="s">
        <v>4690</v>
      </c>
      <c r="AM265" s="8"/>
      <c r="AN265" s="8"/>
      <c r="AO265" s="8"/>
      <c r="AP265" s="8"/>
      <c r="AQ265" s="8"/>
      <c r="AR265" s="8"/>
      <c r="AS265" s="8"/>
      <c r="AT265" s="8"/>
      <c r="AU265" s="8"/>
      <c r="AV265" s="8"/>
      <c r="AW265" s="8"/>
      <c r="AX265" s="8"/>
      <c r="AY265" s="8"/>
      <c r="AZ265" s="8"/>
      <c r="BA265" s="8"/>
      <c r="BB265" s="8"/>
      <c r="BC265" s="8"/>
      <c r="BD265" s="8"/>
      <c r="BE265" s="8"/>
      <c r="BF265" s="8"/>
      <c r="BG265" s="8"/>
      <c r="BH265" s="8"/>
      <c r="BI265" s="8"/>
      <c r="BJ265" s="8"/>
      <c r="BK265" s="8"/>
      <c r="BL265" s="8"/>
      <c r="BM265" s="8"/>
      <c r="BN265" s="8"/>
      <c r="BO265" s="8"/>
      <c r="BP265" s="8"/>
      <c r="BQ265" s="8"/>
      <c r="BR265" s="8"/>
      <c r="BS265" s="8"/>
      <c r="BT265" s="8"/>
      <c r="BU265" s="8"/>
      <c r="BV265" s="8"/>
      <c r="BW265" s="8"/>
      <c r="BX265" s="8"/>
      <c r="BY265" s="8"/>
      <c r="BZ265" s="8"/>
    </row>
    <row r="266" spans="1:78" ht="13" customHeight="1" x14ac:dyDescent="0.15">
      <c r="A266" s="8" t="s">
        <v>6189</v>
      </c>
      <c r="B266" s="8" t="s">
        <v>4679</v>
      </c>
      <c r="C266" s="11">
        <v>2020</v>
      </c>
      <c r="D266" s="8" t="s">
        <v>4692</v>
      </c>
      <c r="E266" s="8"/>
      <c r="F266" s="8" t="s">
        <v>4691</v>
      </c>
      <c r="G266" s="8" t="str" cm="1">
        <f t="array" ref="G266">LOWER(CleanCode(F266))</f>
        <v>acriticalreviewanddevelopmentofaconceptualmodelofexclusionfromsocialrelationsforolderpeople</v>
      </c>
      <c r="H266" s="8"/>
      <c r="I266" s="8"/>
      <c r="J266" s="8" t="s">
        <v>4698</v>
      </c>
      <c r="K266" s="8"/>
      <c r="L266" s="8"/>
      <c r="M266" s="8" t="s">
        <v>4693</v>
      </c>
      <c r="N266" s="8" t="str">
        <f t="shared" si="4"/>
        <v>European Journal Of Ageing</v>
      </c>
      <c r="O266" s="8" t="str">
        <f>"16139372"</f>
        <v>16139372</v>
      </c>
      <c r="P266" s="8"/>
      <c r="Q266" s="8"/>
      <c r="R266" s="8" t="str">
        <f>"20200301"</f>
        <v>20200301</v>
      </c>
      <c r="S266" s="8">
        <v>17</v>
      </c>
      <c r="T266" s="8">
        <v>1</v>
      </c>
      <c r="U266" s="8">
        <v>3</v>
      </c>
      <c r="V266" s="8"/>
      <c r="W266" s="8">
        <v>17</v>
      </c>
      <c r="X266" s="8"/>
      <c r="Y266" s="8"/>
      <c r="Z266" s="8"/>
      <c r="AA266" s="8"/>
      <c r="AB266" s="8"/>
      <c r="AC266" s="8"/>
      <c r="AD266" s="8" t="s">
        <v>4694</v>
      </c>
      <c r="AE266" s="8" t="s">
        <v>4695</v>
      </c>
      <c r="AF266" s="8"/>
      <c r="AG266" s="8" t="s">
        <v>4696</v>
      </c>
      <c r="AH266" s="8"/>
      <c r="AI266" s="8"/>
      <c r="AJ266" s="8" t="s">
        <v>4697</v>
      </c>
      <c r="AK266" s="8"/>
      <c r="AL266" s="8" t="s">
        <v>4699</v>
      </c>
      <c r="AM266" s="8"/>
      <c r="AN266" s="8"/>
      <c r="AO266" s="8"/>
      <c r="AP266" s="8"/>
      <c r="AQ266" s="8"/>
      <c r="AR266" s="8"/>
      <c r="AS266" s="8"/>
      <c r="AT266" s="8"/>
      <c r="AU266" s="8"/>
      <c r="AV266" s="8"/>
      <c r="AW266" s="8"/>
      <c r="AX266" s="8"/>
      <c r="AY266" s="8"/>
      <c r="AZ266" s="8"/>
      <c r="BA266" s="8"/>
      <c r="BB266" s="8"/>
      <c r="BC266" s="8"/>
      <c r="BD266" s="8"/>
      <c r="BE266" s="8"/>
      <c r="BF266" s="8"/>
      <c r="BG266" s="8"/>
      <c r="BH266" s="8"/>
      <c r="BI266" s="8"/>
      <c r="BJ266" s="8"/>
      <c r="BK266" s="8"/>
      <c r="BL266" s="8"/>
      <c r="BM266" s="8"/>
      <c r="BN266" s="8"/>
      <c r="BO266" s="8"/>
      <c r="BP266" s="8"/>
      <c r="BQ266" s="8"/>
      <c r="BR266" s="8"/>
      <c r="BS266" s="8"/>
      <c r="BT266" s="8"/>
      <c r="BU266" s="8"/>
      <c r="BV266" s="8"/>
      <c r="BW266" s="8"/>
      <c r="BX266" s="8"/>
      <c r="BY266" s="8"/>
      <c r="BZ266" s="8"/>
    </row>
    <row r="267" spans="1:78" ht="13" customHeight="1" x14ac:dyDescent="0.15">
      <c r="A267" s="8" t="s">
        <v>6189</v>
      </c>
      <c r="B267" s="8" t="s">
        <v>4679</v>
      </c>
      <c r="C267" s="11">
        <v>2009</v>
      </c>
      <c r="D267" s="8" t="s">
        <v>3602</v>
      </c>
      <c r="E267" s="8"/>
      <c r="F267" s="8" t="s">
        <v>4700</v>
      </c>
      <c r="G267" s="8" t="str" cm="1">
        <f t="array" ref="G267">LOWER(CleanCode(F267))</f>
        <v>aculturallyrelevantconceptualizationofdepressionanempiricalexaminationofthefactorialstructureofthevietnamesedepressionscale</v>
      </c>
      <c r="H267" s="8"/>
      <c r="I267" s="8"/>
      <c r="J267" s="8" t="s">
        <v>4704</v>
      </c>
      <c r="K267" s="8"/>
      <c r="L267" s="8"/>
      <c r="M267" s="8" t="s">
        <v>4701</v>
      </c>
      <c r="N267" s="8" t="str">
        <f t="shared" si="4"/>
        <v>International Journal Of Social Psychiatry</v>
      </c>
      <c r="O267" s="8" t="str">
        <f>"00207640"</f>
        <v>00207640</v>
      </c>
      <c r="P267" s="8"/>
      <c r="Q267" s="8"/>
      <c r="R267" s="8" t="str">
        <f>"20091101"</f>
        <v>20091101</v>
      </c>
      <c r="S267" s="8">
        <v>55</v>
      </c>
      <c r="T267" s="8">
        <v>6</v>
      </c>
      <c r="U267" s="8">
        <v>496</v>
      </c>
      <c r="V267" s="8"/>
      <c r="W267" s="8">
        <v>10</v>
      </c>
      <c r="X267" s="8"/>
      <c r="Y267" s="8"/>
      <c r="Z267" s="8"/>
      <c r="AA267" s="8"/>
      <c r="AB267" s="8"/>
      <c r="AC267" s="8"/>
      <c r="AD267" s="8" t="s">
        <v>4702</v>
      </c>
      <c r="AE267" s="8" t="s">
        <v>3610</v>
      </c>
      <c r="AF267" s="8"/>
      <c r="AG267" s="8" t="s">
        <v>4678</v>
      </c>
      <c r="AH267" s="8"/>
      <c r="AI267" s="8"/>
      <c r="AJ267" s="8" t="s">
        <v>4703</v>
      </c>
      <c r="AK267" s="8"/>
      <c r="AL267" s="8" t="s">
        <v>4705</v>
      </c>
      <c r="AM267" s="8"/>
      <c r="AN267" s="8"/>
      <c r="AO267" s="8"/>
      <c r="AP267" s="8"/>
      <c r="AQ267" s="8"/>
      <c r="AR267" s="8"/>
      <c r="AS267" s="8"/>
      <c r="AT267" s="8"/>
      <c r="AU267" s="8"/>
      <c r="AV267" s="8"/>
      <c r="AW267" s="8"/>
      <c r="AX267" s="8"/>
      <c r="AY267" s="8"/>
      <c r="AZ267" s="8"/>
      <c r="BA267" s="8"/>
      <c r="BB267" s="8"/>
      <c r="BC267" s="8"/>
      <c r="BD267" s="8"/>
      <c r="BE267" s="8"/>
      <c r="BF267" s="8"/>
      <c r="BG267" s="8"/>
      <c r="BH267" s="8"/>
      <c r="BI267" s="8"/>
      <c r="BJ267" s="8"/>
      <c r="BK267" s="8"/>
      <c r="BL267" s="8"/>
      <c r="BM267" s="8"/>
      <c r="BN267" s="8"/>
      <c r="BO267" s="8"/>
      <c r="BP267" s="8"/>
      <c r="BQ267" s="8"/>
      <c r="BR267" s="8"/>
      <c r="BS267" s="8"/>
      <c r="BT267" s="8"/>
      <c r="BU267" s="8"/>
      <c r="BV267" s="8"/>
      <c r="BW267" s="8"/>
      <c r="BX267" s="8"/>
      <c r="BY267" s="8"/>
      <c r="BZ267" s="8"/>
    </row>
    <row r="268" spans="1:78" ht="13" customHeight="1" x14ac:dyDescent="0.15">
      <c r="A268" s="8" t="s">
        <v>6189</v>
      </c>
      <c r="B268" s="8" t="s">
        <v>4679</v>
      </c>
      <c r="C268" s="11">
        <v>2006</v>
      </c>
      <c r="D268" s="8" t="s">
        <v>4707</v>
      </c>
      <c r="E268" s="8"/>
      <c r="F268" s="8" t="s">
        <v>4706</v>
      </c>
      <c r="G268" s="8" t="str" cm="1">
        <f t="array" ref="G268">LOWER(CleanCode(F268))</f>
        <v>afamilybeliefsframeworkforsociallyandculturallyspecificpreventiveinterventionswithrefugeeyouthsandfamilies</v>
      </c>
      <c r="H268" s="8"/>
      <c r="I268" s="8"/>
      <c r="J268" s="8" t="s">
        <v>4713</v>
      </c>
      <c r="K268" s="8"/>
      <c r="L268" s="8"/>
      <c r="M268" s="8" t="s">
        <v>4708</v>
      </c>
      <c r="N268" s="8" t="str">
        <f t="shared" si="4"/>
        <v>American Journal Of Orthopsychiatry</v>
      </c>
      <c r="O268" s="8" t="str">
        <f>"00029432"</f>
        <v>00029432</v>
      </c>
      <c r="P268" s="8"/>
      <c r="Q268" s="8"/>
      <c r="R268" s="8" t="str">
        <f>"20060101"</f>
        <v>20060101</v>
      </c>
      <c r="S268" s="8">
        <v>76</v>
      </c>
      <c r="T268" s="8">
        <v>1</v>
      </c>
      <c r="U268" s="8">
        <v>1</v>
      </c>
      <c r="V268" s="8"/>
      <c r="W268" s="8">
        <v>9</v>
      </c>
      <c r="X268" s="8"/>
      <c r="Y268" s="8"/>
      <c r="Z268" s="8"/>
      <c r="AA268" s="8"/>
      <c r="AB268" s="8"/>
      <c r="AC268" s="8"/>
      <c r="AD268" s="8" t="s">
        <v>4709</v>
      </c>
      <c r="AE268" s="8" t="s">
        <v>4710</v>
      </c>
      <c r="AF268" s="8"/>
      <c r="AG268" s="8" t="s">
        <v>4711</v>
      </c>
      <c r="AH268" s="8"/>
      <c r="AI268" s="8"/>
      <c r="AJ268" s="8" t="s">
        <v>4712</v>
      </c>
      <c r="AK268" s="8"/>
      <c r="AL268" s="8" t="s">
        <v>4714</v>
      </c>
      <c r="AM268" s="8"/>
      <c r="AN268" s="8"/>
      <c r="AO268" s="8"/>
      <c r="AP268" s="8"/>
      <c r="AQ268" s="8"/>
      <c r="AR268" s="8"/>
      <c r="AS268" s="8"/>
      <c r="AT268" s="8"/>
      <c r="AU268" s="8"/>
      <c r="AV268" s="8"/>
      <c r="AW268" s="8"/>
      <c r="AX268" s="8"/>
      <c r="AY268" s="8"/>
      <c r="AZ268" s="8"/>
      <c r="BA268" s="8"/>
      <c r="BB268" s="8"/>
      <c r="BC268" s="8"/>
      <c r="BD268" s="8"/>
      <c r="BE268" s="8"/>
      <c r="BF268" s="8"/>
      <c r="BG268" s="8"/>
      <c r="BH268" s="8"/>
      <c r="BI268" s="8"/>
      <c r="BJ268" s="8"/>
      <c r="BK268" s="8"/>
      <c r="BL268" s="8"/>
      <c r="BM268" s="8"/>
      <c r="BN268" s="8"/>
      <c r="BO268" s="8"/>
      <c r="BP268" s="8"/>
      <c r="BQ268" s="8"/>
      <c r="BR268" s="8"/>
      <c r="BS268" s="8"/>
      <c r="BT268" s="8"/>
      <c r="BU268" s="8"/>
      <c r="BV268" s="8"/>
      <c r="BW268" s="8"/>
      <c r="BX268" s="8"/>
      <c r="BY268" s="8"/>
      <c r="BZ268" s="8"/>
    </row>
    <row r="269" spans="1:78" ht="13" customHeight="1" x14ac:dyDescent="0.15">
      <c r="A269" s="8" t="s">
        <v>6189</v>
      </c>
      <c r="B269" s="8" t="s">
        <v>4679</v>
      </c>
      <c r="C269" s="11">
        <v>2017</v>
      </c>
      <c r="D269" s="8" t="s">
        <v>4716</v>
      </c>
      <c r="E269" s="8"/>
      <c r="F269" s="8" t="s">
        <v>4715</v>
      </c>
      <c r="G269" s="8" t="str" cm="1">
        <f t="array" ref="G269">LOWER(CleanCode(F269))</f>
        <v>aframeworkforclinicalpracticewithsexualandgenderminorityasylumseekers</v>
      </c>
      <c r="H269" s="8"/>
      <c r="I269" s="8"/>
      <c r="J269" s="8" t="s">
        <v>4721</v>
      </c>
      <c r="K269" s="8"/>
      <c r="L269" s="8"/>
      <c r="M269" s="8" t="s">
        <v>4717</v>
      </c>
      <c r="N269" s="8" t="str">
        <f t="shared" si="4"/>
        <v>Psychology Of Sexual Orientation And Gender Diversity</v>
      </c>
      <c r="O269" s="8" t="str">
        <f>"23290382"</f>
        <v>23290382</v>
      </c>
      <c r="P269" s="8"/>
      <c r="Q269" s="8"/>
      <c r="R269" s="8" t="str">
        <f>"20171201"</f>
        <v>20171201</v>
      </c>
      <c r="S269" s="8">
        <v>4</v>
      </c>
      <c r="T269" s="8">
        <v>4</v>
      </c>
      <c r="U269" s="8">
        <v>383</v>
      </c>
      <c r="V269" s="8"/>
      <c r="W269" s="8">
        <v>9</v>
      </c>
      <c r="X269" s="8"/>
      <c r="Y269" s="8"/>
      <c r="Z269" s="8"/>
      <c r="AA269" s="8"/>
      <c r="AB269" s="8"/>
      <c r="AC269" s="8"/>
      <c r="AD269" s="8" t="s">
        <v>4718</v>
      </c>
      <c r="AE269" s="8" t="s">
        <v>4719</v>
      </c>
      <c r="AF269" s="8"/>
      <c r="AG269" s="8" t="s">
        <v>4711</v>
      </c>
      <c r="AH269" s="8"/>
      <c r="AI269" s="8"/>
      <c r="AJ269" s="8" t="s">
        <v>4720</v>
      </c>
      <c r="AK269" s="8"/>
      <c r="AL269" s="8" t="s">
        <v>4722</v>
      </c>
      <c r="AM269" s="8"/>
      <c r="AN269" s="8"/>
      <c r="AO269" s="8"/>
      <c r="AP269" s="8"/>
      <c r="AQ269" s="8"/>
      <c r="AR269" s="8"/>
      <c r="AS269" s="8"/>
      <c r="AT269" s="8"/>
      <c r="AU269" s="8"/>
      <c r="AV269" s="8"/>
      <c r="AW269" s="8"/>
      <c r="AX269" s="8"/>
      <c r="AY269" s="8"/>
      <c r="AZ269" s="8"/>
      <c r="BA269" s="8"/>
      <c r="BB269" s="8"/>
      <c r="BC269" s="8"/>
      <c r="BD269" s="8"/>
      <c r="BE269" s="8"/>
      <c r="BF269" s="8"/>
      <c r="BG269" s="8"/>
      <c r="BH269" s="8"/>
      <c r="BI269" s="8"/>
      <c r="BJ269" s="8"/>
      <c r="BK269" s="8"/>
      <c r="BL269" s="8"/>
      <c r="BM269" s="8"/>
      <c r="BN269" s="8"/>
      <c r="BO269" s="8"/>
      <c r="BP269" s="8"/>
      <c r="BQ269" s="8"/>
      <c r="BR269" s="8"/>
      <c r="BS269" s="8"/>
      <c r="BT269" s="8"/>
      <c r="BU269" s="8"/>
      <c r="BV269" s="8"/>
      <c r="BW269" s="8"/>
      <c r="BX269" s="8"/>
      <c r="BY269" s="8"/>
      <c r="BZ269" s="8"/>
    </row>
    <row r="270" spans="1:78" ht="13" customHeight="1" x14ac:dyDescent="0.15">
      <c r="A270" s="8" t="s">
        <v>6189</v>
      </c>
      <c r="B270" s="8" t="s">
        <v>4679</v>
      </c>
      <c r="C270" s="11">
        <v>2007</v>
      </c>
      <c r="D270" s="8" t="s">
        <v>4724</v>
      </c>
      <c r="E270" s="8"/>
      <c r="F270" s="8" t="s">
        <v>4723</v>
      </c>
      <c r="G270" s="8" t="str" cm="1">
        <f t="array" ref="G270">LOWER(CleanCode(F270))</f>
        <v>amultilevelframeworkexploringdomesticviolenceagainstimmigrantindianandpakistaniwomenintheunitedstates</v>
      </c>
      <c r="H270" s="8"/>
      <c r="I270" s="8"/>
      <c r="J270" s="8" t="s">
        <v>4730</v>
      </c>
      <c r="K270" s="8"/>
      <c r="L270" s="8"/>
      <c r="M270" s="8" t="s">
        <v>4725</v>
      </c>
      <c r="N270" s="8" t="str">
        <f t="shared" si="4"/>
        <v>Journal Of Muslim Mental Health</v>
      </c>
      <c r="O270" s="8" t="str">
        <f>"15564908"</f>
        <v>15564908</v>
      </c>
      <c r="P270" s="8"/>
      <c r="Q270" s="8"/>
      <c r="R270" s="8" t="str">
        <f>"20070301"</f>
        <v>20070301</v>
      </c>
      <c r="S270" s="8">
        <v>2</v>
      </c>
      <c r="T270" s="8">
        <v>1</v>
      </c>
      <c r="U270" s="8">
        <v>5</v>
      </c>
      <c r="V270" s="8"/>
      <c r="W270" s="8">
        <v>16</v>
      </c>
      <c r="X270" s="8"/>
      <c r="Y270" s="8"/>
      <c r="Z270" s="8"/>
      <c r="AA270" s="8"/>
      <c r="AB270" s="8"/>
      <c r="AC270" s="8"/>
      <c r="AD270" s="8" t="s">
        <v>4726</v>
      </c>
      <c r="AE270" s="8" t="s">
        <v>4727</v>
      </c>
      <c r="AF270" s="8"/>
      <c r="AG270" s="8" t="s">
        <v>4728</v>
      </c>
      <c r="AH270" s="8"/>
      <c r="AI270" s="8"/>
      <c r="AJ270" s="8" t="s">
        <v>4729</v>
      </c>
      <c r="AK270" s="8"/>
      <c r="AL270" s="8" t="s">
        <v>4731</v>
      </c>
      <c r="AM270" s="8"/>
      <c r="AN270" s="8"/>
      <c r="AO270" s="8"/>
      <c r="AP270" s="8"/>
      <c r="AQ270" s="8"/>
      <c r="AR270" s="8"/>
      <c r="AS270" s="8"/>
      <c r="AT270" s="8"/>
      <c r="AU270" s="8"/>
      <c r="AV270" s="8"/>
      <c r="AW270" s="8"/>
      <c r="AX270" s="8"/>
      <c r="AY270" s="8"/>
      <c r="AZ270" s="8"/>
      <c r="BA270" s="8"/>
      <c r="BB270" s="8"/>
      <c r="BC270" s="8"/>
      <c r="BD270" s="8"/>
      <c r="BE270" s="8"/>
      <c r="BF270" s="8"/>
      <c r="BG270" s="8"/>
      <c r="BH270" s="8"/>
      <c r="BI270" s="8"/>
      <c r="BJ270" s="8"/>
      <c r="BK270" s="8"/>
      <c r="BL270" s="8"/>
      <c r="BM270" s="8"/>
      <c r="BN270" s="8"/>
      <c r="BO270" s="8"/>
      <c r="BP270" s="8"/>
      <c r="BQ270" s="8"/>
      <c r="BR270" s="8"/>
      <c r="BS270" s="8"/>
      <c r="BT270" s="8"/>
      <c r="BU270" s="8"/>
      <c r="BV270" s="8"/>
      <c r="BW270" s="8"/>
      <c r="BX270" s="8"/>
      <c r="BY270" s="8"/>
      <c r="BZ270" s="8"/>
    </row>
    <row r="271" spans="1:78" ht="13" customHeight="1" x14ac:dyDescent="0.15">
      <c r="A271" s="8" t="s">
        <v>6189</v>
      </c>
      <c r="B271" s="8" t="s">
        <v>4679</v>
      </c>
      <c r="C271" s="11">
        <v>2008</v>
      </c>
      <c r="D271" s="8" t="s">
        <v>3022</v>
      </c>
      <c r="E271" s="8"/>
      <c r="F271" s="8" t="s">
        <v>4732</v>
      </c>
      <c r="G271" s="8" t="str" cm="1">
        <f t="array" ref="G271">LOWER(CleanCode(F271))</f>
        <v>amultilevelresearchframeworkfortheanalysesofattitudestowardimmigrants</v>
      </c>
      <c r="H271" s="8"/>
      <c r="I271" s="8"/>
      <c r="J271" s="8" t="s">
        <v>4737</v>
      </c>
      <c r="K271" s="8"/>
      <c r="L271" s="8"/>
      <c r="M271" s="8" t="s">
        <v>4733</v>
      </c>
      <c r="N271" s="8" t="str">
        <f t="shared" si="4"/>
        <v>International Journal Of Intercultural Relations</v>
      </c>
      <c r="O271" s="8" t="str">
        <f>"01471767"</f>
        <v>01471767</v>
      </c>
      <c r="P271" s="8"/>
      <c r="Q271" s="8"/>
      <c r="R271" s="8" t="str">
        <f>"20080301"</f>
        <v>20080301</v>
      </c>
      <c r="S271" s="8">
        <v>32</v>
      </c>
      <c r="T271" s="8">
        <v>2</v>
      </c>
      <c r="U271" s="8">
        <v>115</v>
      </c>
      <c r="V271" s="8"/>
      <c r="W271" s="8">
        <v>15</v>
      </c>
      <c r="X271" s="8"/>
      <c r="Y271" s="8"/>
      <c r="Z271" s="8"/>
      <c r="AA271" s="8"/>
      <c r="AB271" s="8"/>
      <c r="AC271" s="8"/>
      <c r="AD271" s="8" t="s">
        <v>4734</v>
      </c>
      <c r="AE271" s="8" t="s">
        <v>3827</v>
      </c>
      <c r="AF271" s="8"/>
      <c r="AG271" s="8" t="s">
        <v>4735</v>
      </c>
      <c r="AH271" s="8"/>
      <c r="AI271" s="8"/>
      <c r="AJ271" s="8" t="s">
        <v>4736</v>
      </c>
      <c r="AK271" s="8"/>
      <c r="AL271" s="8" t="s">
        <v>4738</v>
      </c>
      <c r="AM271" s="8"/>
      <c r="AN271" s="8"/>
      <c r="AO271" s="8"/>
      <c r="AP271" s="8"/>
      <c r="AQ271" s="8"/>
      <c r="AR271" s="8"/>
      <c r="AS271" s="8"/>
      <c r="AT271" s="8"/>
      <c r="AU271" s="8"/>
      <c r="AV271" s="8"/>
      <c r="AW271" s="8"/>
      <c r="AX271" s="8"/>
      <c r="AY271" s="8"/>
      <c r="AZ271" s="8"/>
      <c r="BA271" s="8"/>
      <c r="BB271" s="8"/>
      <c r="BC271" s="8"/>
      <c r="BD271" s="8"/>
      <c r="BE271" s="8"/>
      <c r="BF271" s="8"/>
      <c r="BG271" s="8"/>
      <c r="BH271" s="8"/>
      <c r="BI271" s="8"/>
      <c r="BJ271" s="8"/>
      <c r="BK271" s="8"/>
      <c r="BL271" s="8"/>
      <c r="BM271" s="8"/>
      <c r="BN271" s="8"/>
      <c r="BO271" s="8"/>
      <c r="BP271" s="8"/>
      <c r="BQ271" s="8"/>
      <c r="BR271" s="8"/>
      <c r="BS271" s="8"/>
      <c r="BT271" s="8"/>
      <c r="BU271" s="8"/>
      <c r="BV271" s="8"/>
      <c r="BW271" s="8"/>
      <c r="BX271" s="8"/>
      <c r="BY271" s="8"/>
      <c r="BZ271" s="8"/>
    </row>
    <row r="272" spans="1:78" ht="13" customHeight="1" x14ac:dyDescent="0.15">
      <c r="A272" s="8" t="s">
        <v>6189</v>
      </c>
      <c r="B272" s="8" t="s">
        <v>4671</v>
      </c>
      <c r="C272" s="11">
        <v>2006</v>
      </c>
      <c r="D272" s="8" t="s">
        <v>3022</v>
      </c>
      <c r="E272" s="8"/>
      <c r="F272" s="8" t="s">
        <v>4739</v>
      </c>
      <c r="G272" s="8" t="str" cm="1">
        <f t="array" ref="G272">LOWER(CleanCode(F272))</f>
        <v>amultilevelresearchframeworkfortheanalysesofattitudestowardimmigrants</v>
      </c>
      <c r="H272" s="8"/>
      <c r="I272" s="8"/>
      <c r="J272" s="8" t="s">
        <v>4743</v>
      </c>
      <c r="K272" s="8"/>
      <c r="L272" s="8"/>
      <c r="M272" s="8" t="s">
        <v>4667</v>
      </c>
      <c r="N272" s="8" t="str">
        <f t="shared" si="4"/>
        <v>Dissertation Abstracts International: Section B: The Sciences And Engineering</v>
      </c>
      <c r="O272" s="8" t="str">
        <f>"04194217"</f>
        <v>04194217</v>
      </c>
      <c r="P272" s="8"/>
      <c r="Q272" s="8"/>
      <c r="R272" s="8" t="str">
        <f>"20060101"</f>
        <v>20060101</v>
      </c>
      <c r="S272" s="8">
        <v>67</v>
      </c>
      <c r="T272" s="8" t="s">
        <v>4740</v>
      </c>
      <c r="U272" s="8">
        <v>2877</v>
      </c>
      <c r="V272" s="8"/>
      <c r="W272" s="8">
        <v>1</v>
      </c>
      <c r="X272" s="8"/>
      <c r="Y272" s="8"/>
      <c r="Z272" s="8"/>
      <c r="AA272" s="8"/>
      <c r="AB272" s="8"/>
      <c r="AC272" s="8"/>
      <c r="AD272" s="8" t="s">
        <v>4741</v>
      </c>
      <c r="AE272" s="8"/>
      <c r="AF272" s="8"/>
      <c r="AG272" s="8" t="s">
        <v>4670</v>
      </c>
      <c r="AH272" s="8"/>
      <c r="AI272" s="8"/>
      <c r="AJ272" s="8" t="s">
        <v>4742</v>
      </c>
      <c r="AK272" s="8"/>
      <c r="AL272" s="8" t="s">
        <v>4744</v>
      </c>
      <c r="AM272" s="8"/>
      <c r="AN272" s="8"/>
      <c r="AO272" s="8"/>
      <c r="AP272" s="8"/>
      <c r="AQ272" s="8"/>
      <c r="AR272" s="8"/>
      <c r="AS272" s="8"/>
      <c r="AT272" s="8"/>
      <c r="AU272" s="8"/>
      <c r="AV272" s="8"/>
      <c r="AW272" s="8"/>
      <c r="AX272" s="8"/>
      <c r="AY272" s="8"/>
      <c r="AZ272" s="8"/>
      <c r="BA272" s="8"/>
      <c r="BB272" s="8"/>
      <c r="BC272" s="8"/>
      <c r="BD272" s="8"/>
      <c r="BE272" s="8"/>
      <c r="BF272" s="8"/>
      <c r="BG272" s="8"/>
      <c r="BH272" s="8"/>
      <c r="BI272" s="8"/>
      <c r="BJ272" s="8"/>
      <c r="BK272" s="8"/>
      <c r="BL272" s="8"/>
      <c r="BM272" s="8"/>
      <c r="BN272" s="8"/>
      <c r="BO272" s="8"/>
      <c r="BP272" s="8"/>
      <c r="BQ272" s="8"/>
      <c r="BR272" s="8"/>
      <c r="BS272" s="8"/>
      <c r="BT272" s="8"/>
      <c r="BU272" s="8"/>
      <c r="BV272" s="8"/>
      <c r="BW272" s="8"/>
      <c r="BX272" s="8"/>
      <c r="BY272" s="8"/>
      <c r="BZ272" s="8"/>
    </row>
    <row r="273" spans="1:78" ht="13" customHeight="1" x14ac:dyDescent="0.15">
      <c r="A273" s="8" t="s">
        <v>6189</v>
      </c>
      <c r="B273" s="8" t="s">
        <v>4679</v>
      </c>
      <c r="C273" s="11">
        <v>2013</v>
      </c>
      <c r="D273" s="8" t="s">
        <v>4746</v>
      </c>
      <c r="E273" s="8"/>
      <c r="F273" s="8" t="s">
        <v>4745</v>
      </c>
      <c r="G273" s="8" t="str" cm="1">
        <f t="array" ref="G273">LOWER(CleanCode(F273))</f>
        <v>amultistudyanalysisofconceptualandmeasurementissuesrelatedtohealthresearchonacculturationinlatinos</v>
      </c>
      <c r="H273" s="8"/>
      <c r="I273" s="8"/>
      <c r="J273" s="8" t="s">
        <v>4750</v>
      </c>
      <c r="K273" s="8"/>
      <c r="L273" s="8"/>
      <c r="M273" s="8" t="s">
        <v>4747</v>
      </c>
      <c r="N273" s="8" t="str">
        <f t="shared" si="4"/>
        <v>Journal Of Transcultural Nursing</v>
      </c>
      <c r="O273" s="8" t="str">
        <f>"10436596"</f>
        <v>10436596</v>
      </c>
      <c r="P273" s="8"/>
      <c r="Q273" s="8"/>
      <c r="R273" s="8" t="str">
        <f>"20130401"</f>
        <v>20130401</v>
      </c>
      <c r="S273" s="8">
        <v>24</v>
      </c>
      <c r="T273" s="8">
        <v>2</v>
      </c>
      <c r="U273" s="8">
        <v>134</v>
      </c>
      <c r="V273" s="8"/>
      <c r="W273" s="8">
        <v>10</v>
      </c>
      <c r="X273" s="8"/>
      <c r="Y273" s="8"/>
      <c r="Z273" s="8"/>
      <c r="AA273" s="8"/>
      <c r="AB273" s="8"/>
      <c r="AC273" s="8"/>
      <c r="AD273" s="8" t="s">
        <v>4748</v>
      </c>
      <c r="AE273" s="8" t="s">
        <v>3078</v>
      </c>
      <c r="AF273" s="8"/>
      <c r="AG273" s="8" t="s">
        <v>4678</v>
      </c>
      <c r="AH273" s="8"/>
      <c r="AI273" s="8"/>
      <c r="AJ273" s="8" t="s">
        <v>4749</v>
      </c>
      <c r="AK273" s="8"/>
      <c r="AL273" s="8" t="s">
        <v>4751</v>
      </c>
      <c r="AM273" s="8"/>
      <c r="AN273" s="8"/>
      <c r="AO273" s="8"/>
      <c r="AP273" s="8"/>
      <c r="AQ273" s="8"/>
      <c r="AR273" s="8"/>
      <c r="AS273" s="8"/>
      <c r="AT273" s="8"/>
      <c r="AU273" s="8"/>
      <c r="AV273" s="8"/>
      <c r="AW273" s="8"/>
      <c r="AX273" s="8"/>
      <c r="AY273" s="8"/>
      <c r="AZ273" s="8"/>
      <c r="BA273" s="8"/>
      <c r="BB273" s="8"/>
      <c r="BC273" s="8"/>
      <c r="BD273" s="8"/>
      <c r="BE273" s="8"/>
      <c r="BF273" s="8"/>
      <c r="BG273" s="8"/>
      <c r="BH273" s="8"/>
      <c r="BI273" s="8"/>
      <c r="BJ273" s="8"/>
      <c r="BK273" s="8"/>
      <c r="BL273" s="8"/>
      <c r="BM273" s="8"/>
      <c r="BN273" s="8"/>
      <c r="BO273" s="8"/>
      <c r="BP273" s="8"/>
      <c r="BQ273" s="8"/>
      <c r="BR273" s="8"/>
      <c r="BS273" s="8"/>
      <c r="BT273" s="8"/>
      <c r="BU273" s="8"/>
      <c r="BV273" s="8"/>
      <c r="BW273" s="8"/>
      <c r="BX273" s="8"/>
      <c r="BY273" s="8"/>
      <c r="BZ273" s="8"/>
    </row>
    <row r="274" spans="1:78" ht="13" customHeight="1" x14ac:dyDescent="0.15">
      <c r="A274" s="8" t="s">
        <v>6189</v>
      </c>
      <c r="B274" s="8" t="s">
        <v>4679</v>
      </c>
      <c r="C274" s="11">
        <v>1985</v>
      </c>
      <c r="D274" s="8" t="s">
        <v>4753</v>
      </c>
      <c r="E274" s="8"/>
      <c r="F274" s="8" t="s">
        <v>4752</v>
      </c>
      <c r="G274" s="8" t="str" cm="1">
        <f t="array" ref="G274">LOWER(CleanCode(F274))</f>
        <v>anewconceptualizationofinterculturaladjustmentandthegoalsoftraining</v>
      </c>
      <c r="H274" s="8"/>
      <c r="I274" s="8"/>
      <c r="J274" s="8" t="s">
        <v>4758</v>
      </c>
      <c r="K274" s="8"/>
      <c r="L274" s="8"/>
      <c r="M274" s="8" t="s">
        <v>4733</v>
      </c>
      <c r="N274" s="8" t="str">
        <f t="shared" si="4"/>
        <v>International Journal Of Intercultural Relations</v>
      </c>
      <c r="O274" s="8" t="str">
        <f>"01471767"</f>
        <v>01471767</v>
      </c>
      <c r="P274" s="8"/>
      <c r="Q274" s="8"/>
      <c r="R274" s="8" t="str">
        <f>"19850101"</f>
        <v>19850101</v>
      </c>
      <c r="S274" s="8">
        <v>9</v>
      </c>
      <c r="T274" s="8">
        <v>2</v>
      </c>
      <c r="U274" s="8">
        <v>205</v>
      </c>
      <c r="V274" s="8"/>
      <c r="W274" s="8">
        <v>29</v>
      </c>
      <c r="X274" s="8"/>
      <c r="Y274" s="8"/>
      <c r="Z274" s="8"/>
      <c r="AA274" s="8"/>
      <c r="AB274" s="8"/>
      <c r="AC274" s="8"/>
      <c r="AD274" s="8" t="s">
        <v>4754</v>
      </c>
      <c r="AE274" s="8" t="s">
        <v>4755</v>
      </c>
      <c r="AF274" s="8"/>
      <c r="AG274" s="8" t="s">
        <v>4756</v>
      </c>
      <c r="AH274" s="8"/>
      <c r="AI274" s="8"/>
      <c r="AJ274" s="8" t="s">
        <v>4757</v>
      </c>
      <c r="AK274" s="8"/>
      <c r="AL274" s="8" t="s">
        <v>4759</v>
      </c>
      <c r="AM274" s="8"/>
      <c r="AN274" s="8"/>
      <c r="AO274" s="8"/>
      <c r="AP274" s="8"/>
      <c r="AQ274" s="8"/>
      <c r="AR274" s="8"/>
      <c r="AS274" s="8"/>
      <c r="AT274" s="8"/>
      <c r="AU274" s="8"/>
      <c r="AV274" s="8"/>
      <c r="AW274" s="8"/>
      <c r="AX274" s="8"/>
      <c r="AY274" s="8"/>
      <c r="AZ274" s="8"/>
      <c r="BA274" s="8"/>
      <c r="BB274" s="8"/>
      <c r="BC274" s="8"/>
      <c r="BD274" s="8"/>
      <c r="BE274" s="8"/>
      <c r="BF274" s="8"/>
      <c r="BG274" s="8"/>
      <c r="BH274" s="8"/>
      <c r="BI274" s="8"/>
      <c r="BJ274" s="8"/>
      <c r="BK274" s="8"/>
      <c r="BL274" s="8"/>
      <c r="BM274" s="8"/>
      <c r="BN274" s="8"/>
      <c r="BO274" s="8"/>
      <c r="BP274" s="8"/>
      <c r="BQ274" s="8"/>
      <c r="BR274" s="8"/>
      <c r="BS274" s="8"/>
      <c r="BT274" s="8"/>
      <c r="BU274" s="8"/>
      <c r="BV274" s="8"/>
      <c r="BW274" s="8"/>
      <c r="BX274" s="8"/>
      <c r="BY274" s="8"/>
      <c r="BZ274" s="8"/>
    </row>
    <row r="275" spans="1:78" ht="13" customHeight="1" x14ac:dyDescent="0.15">
      <c r="A275" s="8" t="s">
        <v>6189</v>
      </c>
      <c r="B275" s="8" t="s">
        <v>4671</v>
      </c>
      <c r="C275" s="11">
        <v>2014</v>
      </c>
      <c r="D275" s="8" t="s">
        <v>4761</v>
      </c>
      <c r="E275" s="8"/>
      <c r="F275" s="8" t="s">
        <v>4760</v>
      </c>
      <c r="G275" s="8" t="str" cm="1">
        <f t="array" ref="G275">LOWER(CleanCode(F275))</f>
        <v>aqualitativegroundedtheorystudyoftheimmigrantjewishwomensethnicidentityexperienceinsanantoniotexas</v>
      </c>
      <c r="H275" s="8"/>
      <c r="I275" s="8"/>
      <c r="J275" s="8" t="s">
        <v>4766</v>
      </c>
      <c r="K275" s="8"/>
      <c r="L275" s="8"/>
      <c r="M275" s="8" t="s">
        <v>4762</v>
      </c>
      <c r="N275" s="8" t="str">
        <f t="shared" si="4"/>
        <v>Dissertation Abstracts International Section A: Humanities And Social Sciences</v>
      </c>
      <c r="O275" s="8" t="str">
        <f>"04194209"</f>
        <v>04194209</v>
      </c>
      <c r="P275" s="8"/>
      <c r="Q275" s="8" t="str">
        <f>"9781303655715"</f>
        <v>9781303655715</v>
      </c>
      <c r="R275" s="8" t="str">
        <f>"20140101"</f>
        <v>20140101</v>
      </c>
      <c r="S275" s="8">
        <v>75</v>
      </c>
      <c r="T275" s="8" t="s">
        <v>4763</v>
      </c>
      <c r="U275" s="8"/>
      <c r="V275" s="8"/>
      <c r="W275" s="8"/>
      <c r="X275" s="8"/>
      <c r="Y275" s="8"/>
      <c r="Z275" s="8"/>
      <c r="AA275" s="8"/>
      <c r="AB275" s="8"/>
      <c r="AC275" s="8"/>
      <c r="AD275" s="8" t="s">
        <v>4764</v>
      </c>
      <c r="AE275" s="8"/>
      <c r="AF275" s="8"/>
      <c r="AG275" s="8" t="s">
        <v>4670</v>
      </c>
      <c r="AH275" s="8"/>
      <c r="AI275" s="8"/>
      <c r="AJ275" s="8" t="s">
        <v>4765</v>
      </c>
      <c r="AK275" s="8"/>
      <c r="AL275" s="8" t="s">
        <v>4767</v>
      </c>
      <c r="AM275" s="8"/>
      <c r="AN275" s="8"/>
      <c r="AO275" s="8"/>
      <c r="AP275" s="8"/>
      <c r="AQ275" s="8"/>
      <c r="AR275" s="8"/>
      <c r="AS275" s="8"/>
      <c r="AT275" s="8"/>
      <c r="AU275" s="8"/>
      <c r="AV275" s="8"/>
      <c r="AW275" s="8"/>
      <c r="AX275" s="8"/>
      <c r="AY275" s="8"/>
      <c r="AZ275" s="8"/>
      <c r="BA275" s="8"/>
      <c r="BB275" s="8"/>
      <c r="BC275" s="8"/>
      <c r="BD275" s="8"/>
      <c r="BE275" s="8"/>
      <c r="BF275" s="8"/>
      <c r="BG275" s="8"/>
      <c r="BH275" s="8"/>
      <c r="BI275" s="8"/>
      <c r="BJ275" s="8"/>
      <c r="BK275" s="8"/>
      <c r="BL275" s="8"/>
      <c r="BM275" s="8"/>
      <c r="BN275" s="8"/>
      <c r="BO275" s="8"/>
      <c r="BP275" s="8"/>
      <c r="BQ275" s="8"/>
      <c r="BR275" s="8"/>
      <c r="BS275" s="8"/>
      <c r="BT275" s="8"/>
      <c r="BU275" s="8"/>
      <c r="BV275" s="8"/>
      <c r="BW275" s="8"/>
      <c r="BX275" s="8"/>
      <c r="BY275" s="8"/>
      <c r="BZ275" s="8"/>
    </row>
    <row r="276" spans="1:78" ht="13" customHeight="1" x14ac:dyDescent="0.15">
      <c r="A276" s="8" t="s">
        <v>6189</v>
      </c>
      <c r="B276" s="8" t="s">
        <v>4773</v>
      </c>
      <c r="C276" s="11">
        <v>2014</v>
      </c>
      <c r="D276" s="8" t="s">
        <v>4769</v>
      </c>
      <c r="E276" s="8"/>
      <c r="F276" s="8" t="s">
        <v>4768</v>
      </c>
      <c r="G276" s="8" t="str" cm="1">
        <f t="array" ref="G276">LOWER(CleanCode(F276))</f>
        <v>aresearchparadigmshiftinacculturationresearchfromapsychopathologicalperspectivetoaresilienceframework</v>
      </c>
      <c r="H276" s="8"/>
      <c r="I276" s="8"/>
      <c r="J276" s="8" t="s">
        <v>4775</v>
      </c>
      <c r="K276" s="8"/>
      <c r="L276" s="8"/>
      <c r="M276" s="8" t="s">
        <v>4770</v>
      </c>
      <c r="N276" s="8" t="str">
        <f t="shared" si="4"/>
        <v>Acculturation: Psychology, Processes And Global Perspectives.</v>
      </c>
      <c r="O276" s="8"/>
      <c r="P276" s="8"/>
      <c r="Q276" s="8" t="str">
        <f>"9781633213470; 9781633213487"</f>
        <v>9781633213470; 9781633213487</v>
      </c>
      <c r="R276" s="8" t="str">
        <f>"20140101"</f>
        <v>20140101</v>
      </c>
      <c r="S276" s="8"/>
      <c r="T276" s="8"/>
      <c r="U276" s="8">
        <v>221</v>
      </c>
      <c r="V276" s="8"/>
      <c r="W276" s="8">
        <v>13</v>
      </c>
      <c r="X276" s="8"/>
      <c r="Y276" s="8"/>
      <c r="Z276" s="8"/>
      <c r="AA276" s="8"/>
      <c r="AB276" s="8"/>
      <c r="AC276" s="8"/>
      <c r="AD276" s="8" t="s">
        <v>4771</v>
      </c>
      <c r="AE276" s="8"/>
      <c r="AF276" s="8"/>
      <c r="AG276" s="8" t="s">
        <v>4772</v>
      </c>
      <c r="AH276" s="8"/>
      <c r="AI276" s="8"/>
      <c r="AJ276" s="8" t="s">
        <v>4774</v>
      </c>
      <c r="AK276" s="8"/>
      <c r="AL276" s="8" t="s">
        <v>4776</v>
      </c>
      <c r="AM276" s="8"/>
      <c r="AN276" s="8"/>
      <c r="AO276" s="8"/>
      <c r="AP276" s="8"/>
      <c r="AQ276" s="8"/>
      <c r="AR276" s="8"/>
      <c r="AS276" s="8"/>
      <c r="AT276" s="8"/>
      <c r="AU276" s="8"/>
      <c r="AV276" s="8"/>
      <c r="AW276" s="8"/>
      <c r="AX276" s="8"/>
      <c r="AY276" s="8"/>
      <c r="AZ276" s="8"/>
      <c r="BA276" s="8"/>
      <c r="BB276" s="8"/>
      <c r="BC276" s="8"/>
      <c r="BD276" s="8"/>
      <c r="BE276" s="8"/>
      <c r="BF276" s="8"/>
      <c r="BG276" s="8"/>
      <c r="BH276" s="8"/>
      <c r="BI276" s="8"/>
      <c r="BJ276" s="8"/>
      <c r="BK276" s="8"/>
      <c r="BL276" s="8"/>
      <c r="BM276" s="8"/>
      <c r="BN276" s="8"/>
      <c r="BO276" s="8"/>
      <c r="BP276" s="8"/>
      <c r="BQ276" s="8"/>
      <c r="BR276" s="8"/>
      <c r="BS276" s="8"/>
      <c r="BT276" s="8"/>
      <c r="BU276" s="8"/>
      <c r="BV276" s="8"/>
      <c r="BW276" s="8"/>
      <c r="BX276" s="8"/>
      <c r="BY276" s="8"/>
      <c r="BZ276" s="8"/>
    </row>
    <row r="277" spans="1:78" ht="13" customHeight="1" x14ac:dyDescent="0.15">
      <c r="A277" s="8" t="s">
        <v>6189</v>
      </c>
      <c r="B277" s="8" t="s">
        <v>4679</v>
      </c>
      <c r="C277" s="11">
        <v>2008</v>
      </c>
      <c r="D277" s="8" t="s">
        <v>4778</v>
      </c>
      <c r="E277" s="8"/>
      <c r="F277" s="8" t="s">
        <v>4777</v>
      </c>
      <c r="G277" s="8" t="str" cm="1">
        <f t="array" ref="G277">LOWER(CleanCode(F277))</f>
        <v>atheoreticalframeworkforunderstandingethnicsocializationamonginternationaladoptees</v>
      </c>
      <c r="H277" s="8"/>
      <c r="I277" s="8"/>
      <c r="J277" s="8" t="s">
        <v>4784</v>
      </c>
      <c r="K277" s="8"/>
      <c r="L277" s="8"/>
      <c r="M277" s="8" t="s">
        <v>4779</v>
      </c>
      <c r="N277" s="8" t="str">
        <f t="shared" si="4"/>
        <v>Families In Society</v>
      </c>
      <c r="O277" s="8" t="str">
        <f>"10443894"</f>
        <v>10443894</v>
      </c>
      <c r="P277" s="8"/>
      <c r="Q277" s="8"/>
      <c r="R277" s="8" t="str">
        <f>"20081001"</f>
        <v>20081001</v>
      </c>
      <c r="S277" s="8">
        <v>89</v>
      </c>
      <c r="T277" s="8">
        <v>4</v>
      </c>
      <c r="U277" s="8">
        <v>543</v>
      </c>
      <c r="V277" s="8"/>
      <c r="W277" s="8">
        <v>8</v>
      </c>
      <c r="X277" s="8"/>
      <c r="Y277" s="8"/>
      <c r="Z277" s="8"/>
      <c r="AA277" s="8"/>
      <c r="AB277" s="8"/>
      <c r="AC277" s="8"/>
      <c r="AD277" s="8" t="s">
        <v>4780</v>
      </c>
      <c r="AE277" s="8" t="s">
        <v>4781</v>
      </c>
      <c r="AF277" s="8"/>
      <c r="AG277" s="8" t="s">
        <v>4782</v>
      </c>
      <c r="AH277" s="8"/>
      <c r="AI277" s="8"/>
      <c r="AJ277" s="8" t="s">
        <v>4783</v>
      </c>
      <c r="AK277" s="8"/>
      <c r="AL277" s="8" t="s">
        <v>4785</v>
      </c>
      <c r="AM277" s="8"/>
      <c r="AN277" s="8"/>
      <c r="AO277" s="8"/>
      <c r="AP277" s="8"/>
      <c r="AQ277" s="8"/>
      <c r="AR277" s="8"/>
      <c r="AS277" s="8"/>
      <c r="AT277" s="8"/>
      <c r="AU277" s="8"/>
      <c r="AV277" s="8"/>
      <c r="AW277" s="8"/>
      <c r="AX277" s="8"/>
      <c r="AY277" s="8"/>
      <c r="AZ277" s="8"/>
      <c r="BA277" s="8"/>
      <c r="BB277" s="8"/>
      <c r="BC277" s="8"/>
      <c r="BD277" s="8"/>
      <c r="BE277" s="8"/>
      <c r="BF277" s="8"/>
      <c r="BG277" s="8"/>
      <c r="BH277" s="8"/>
      <c r="BI277" s="8"/>
      <c r="BJ277" s="8"/>
      <c r="BK277" s="8"/>
      <c r="BL277" s="8"/>
      <c r="BM277" s="8"/>
      <c r="BN277" s="8"/>
      <c r="BO277" s="8"/>
      <c r="BP277" s="8"/>
      <c r="BQ277" s="8"/>
      <c r="BR277" s="8"/>
      <c r="BS277" s="8"/>
      <c r="BT277" s="8"/>
      <c r="BU277" s="8"/>
      <c r="BV277" s="8"/>
      <c r="BW277" s="8"/>
      <c r="BX277" s="8"/>
      <c r="BY277" s="8"/>
      <c r="BZ277" s="8"/>
    </row>
    <row r="278" spans="1:78" ht="13" customHeight="1" x14ac:dyDescent="0.15">
      <c r="A278" s="8" t="s">
        <v>6189</v>
      </c>
      <c r="B278" s="8" t="s">
        <v>4679</v>
      </c>
      <c r="C278" s="11">
        <v>1985</v>
      </c>
      <c r="D278" s="8" t="s">
        <v>4787</v>
      </c>
      <c r="E278" s="8"/>
      <c r="F278" s="8" t="s">
        <v>4786</v>
      </c>
      <c r="G278" s="8" t="str" cm="1">
        <f t="array" ref="G278">LOWER(CleanCode(F278))</f>
        <v>atheoreticalmodelfortheapplicationofgestalttheorytoimmigrantabsorptioninisrael</v>
      </c>
      <c r="H278" s="8"/>
      <c r="I278" s="8"/>
      <c r="J278" s="8" t="s">
        <v>4791</v>
      </c>
      <c r="K278" s="8"/>
      <c r="L278" s="8"/>
      <c r="M278" s="8" t="s">
        <v>4788</v>
      </c>
      <c r="N278" s="8" t="str">
        <f t="shared" si="4"/>
        <v>Journal Of Psychology &amp; Judaism</v>
      </c>
      <c r="O278" s="8" t="str">
        <f>"07009801"</f>
        <v>07009801</v>
      </c>
      <c r="P278" s="8"/>
      <c r="Q278" s="8"/>
      <c r="R278" s="8" t="str">
        <f>"19850301"</f>
        <v>19850301</v>
      </c>
      <c r="S278" s="8">
        <v>9</v>
      </c>
      <c r="T278" s="8">
        <v>1</v>
      </c>
      <c r="U278" s="8">
        <v>36</v>
      </c>
      <c r="V278" s="8"/>
      <c r="W278" s="8">
        <v>10</v>
      </c>
      <c r="X278" s="8"/>
      <c r="Y278" s="8"/>
      <c r="Z278" s="8"/>
      <c r="AA278" s="8"/>
      <c r="AB278" s="8"/>
      <c r="AC278" s="8"/>
      <c r="AD278" s="8" t="s">
        <v>4789</v>
      </c>
      <c r="AE278" s="8"/>
      <c r="AF278" s="8"/>
      <c r="AG278" s="8" t="s">
        <v>4696</v>
      </c>
      <c r="AH278" s="8"/>
      <c r="AI278" s="8"/>
      <c r="AJ278" s="8" t="s">
        <v>4790</v>
      </c>
      <c r="AK278" s="8"/>
      <c r="AL278" s="8" t="s">
        <v>4792</v>
      </c>
      <c r="AM278" s="8"/>
      <c r="AN278" s="8"/>
      <c r="AO278" s="8"/>
      <c r="AP278" s="8"/>
      <c r="AQ278" s="8"/>
      <c r="AR278" s="8"/>
      <c r="AS278" s="8"/>
      <c r="AT278" s="8"/>
      <c r="AU278" s="8"/>
      <c r="AV278" s="8"/>
      <c r="AW278" s="8"/>
      <c r="AX278" s="8"/>
      <c r="AY278" s="8"/>
      <c r="AZ278" s="8"/>
      <c r="BA278" s="8"/>
      <c r="BB278" s="8"/>
      <c r="BC278" s="8"/>
      <c r="BD278" s="8"/>
      <c r="BE278" s="8"/>
      <c r="BF278" s="8"/>
      <c r="BG278" s="8"/>
      <c r="BH278" s="8"/>
      <c r="BI278" s="8"/>
      <c r="BJ278" s="8"/>
      <c r="BK278" s="8"/>
      <c r="BL278" s="8"/>
      <c r="BM278" s="8"/>
      <c r="BN278" s="8"/>
      <c r="BO278" s="8"/>
      <c r="BP278" s="8"/>
      <c r="BQ278" s="8"/>
      <c r="BR278" s="8"/>
      <c r="BS278" s="8"/>
      <c r="BT278" s="8"/>
      <c r="BU278" s="8"/>
      <c r="BV278" s="8"/>
      <c r="BW278" s="8"/>
      <c r="BX278" s="8"/>
      <c r="BY278" s="8"/>
      <c r="BZ278" s="8"/>
    </row>
    <row r="279" spans="1:78" ht="13" customHeight="1" x14ac:dyDescent="0.15">
      <c r="A279" s="8" t="s">
        <v>6189</v>
      </c>
      <c r="B279" s="8" t="s">
        <v>4773</v>
      </c>
      <c r="C279" s="11">
        <v>1990</v>
      </c>
      <c r="D279" s="8" t="s">
        <v>4794</v>
      </c>
      <c r="E279" s="8"/>
      <c r="F279" s="8" t="s">
        <v>4793</v>
      </c>
      <c r="G279" s="8" t="str" cm="1">
        <f t="array" ref="G279">LOWER(CleanCode(F279))</f>
        <v>acculturationandadaptationageneralframework</v>
      </c>
      <c r="H279" s="8"/>
      <c r="I279" s="8"/>
      <c r="J279" s="8" t="s">
        <v>4799</v>
      </c>
      <c r="K279" s="8"/>
      <c r="L279" s="8"/>
      <c r="M279" s="8" t="s">
        <v>4795</v>
      </c>
      <c r="N279" s="8" t="str">
        <f t="shared" si="4"/>
        <v>Mental Health Of Immigrants And Refugees.</v>
      </c>
      <c r="O279" s="8"/>
      <c r="P279" s="8"/>
      <c r="Q279" s="8" t="str">
        <f>"0943463106"</f>
        <v>0943463106</v>
      </c>
      <c r="R279" s="8" t="str">
        <f>"19900101"</f>
        <v>19900101</v>
      </c>
      <c r="S279" s="8"/>
      <c r="T279" s="8"/>
      <c r="U279" s="8">
        <v>90</v>
      </c>
      <c r="V279" s="8"/>
      <c r="W279" s="8">
        <v>13</v>
      </c>
      <c r="X279" s="8"/>
      <c r="Y279" s="8"/>
      <c r="Z279" s="8"/>
      <c r="AA279" s="8"/>
      <c r="AB279" s="8"/>
      <c r="AC279" s="8"/>
      <c r="AD279" s="8" t="s">
        <v>4796</v>
      </c>
      <c r="AE279" s="8"/>
      <c r="AF279" s="8"/>
      <c r="AG279" s="8" t="s">
        <v>4797</v>
      </c>
      <c r="AH279" s="8"/>
      <c r="AI279" s="8"/>
      <c r="AJ279" s="8" t="s">
        <v>4798</v>
      </c>
      <c r="AK279" s="8"/>
      <c r="AL279" s="8" t="s">
        <v>4800</v>
      </c>
      <c r="AM279" s="8"/>
      <c r="AN279" s="8"/>
      <c r="AO279" s="8"/>
      <c r="AP279" s="8"/>
      <c r="AQ279" s="8"/>
      <c r="AR279" s="8"/>
      <c r="AS279" s="8"/>
      <c r="AT279" s="8"/>
      <c r="AU279" s="8"/>
      <c r="AV279" s="8"/>
      <c r="AW279" s="8"/>
      <c r="AX279" s="8"/>
      <c r="AY279" s="8"/>
      <c r="AZ279" s="8"/>
      <c r="BA279" s="8"/>
      <c r="BB279" s="8"/>
      <c r="BC279" s="8"/>
      <c r="BD279" s="8"/>
      <c r="BE279" s="8"/>
      <c r="BF279" s="8"/>
      <c r="BG279" s="8"/>
      <c r="BH279" s="8"/>
      <c r="BI279" s="8"/>
      <c r="BJ279" s="8"/>
      <c r="BK279" s="8"/>
      <c r="BL279" s="8"/>
      <c r="BM279" s="8"/>
      <c r="BN279" s="8"/>
      <c r="BO279" s="8"/>
      <c r="BP279" s="8"/>
      <c r="BQ279" s="8"/>
      <c r="BR279" s="8"/>
      <c r="BS279" s="8"/>
      <c r="BT279" s="8"/>
      <c r="BU279" s="8"/>
      <c r="BV279" s="8"/>
      <c r="BW279" s="8"/>
      <c r="BX279" s="8"/>
      <c r="BY279" s="8"/>
      <c r="BZ279" s="8"/>
    </row>
    <row r="280" spans="1:78" ht="13" customHeight="1" x14ac:dyDescent="0.15">
      <c r="A280" s="8" t="s">
        <v>6189</v>
      </c>
      <c r="B280" s="8" t="s">
        <v>4773</v>
      </c>
      <c r="C280" s="11">
        <v>2017</v>
      </c>
      <c r="D280" s="8" t="s">
        <v>4802</v>
      </c>
      <c r="E280" s="8"/>
      <c r="F280" s="8" t="s">
        <v>4801</v>
      </c>
      <c r="G280" s="8" t="str" cm="1">
        <f t="array" ref="G280">LOWER(CleanCode(F280))</f>
        <v>acculturationandenculturationareviewoftheoryandresearch</v>
      </c>
      <c r="H280" s="8"/>
      <c r="I280" s="8"/>
      <c r="J280" s="8" t="s">
        <v>4807</v>
      </c>
      <c r="K280" s="8"/>
      <c r="L280" s="8"/>
      <c r="M280" s="8" t="s">
        <v>4803</v>
      </c>
      <c r="N280" s="8" t="str">
        <f t="shared" si="4"/>
        <v>Social Issues In Living Color: Challenges And Solutions From The Perspective Of Ethnic Minority Psychology: Societal And Global Issues., Vol. 2.</v>
      </c>
      <c r="O280" s="8"/>
      <c r="P280" s="8"/>
      <c r="Q280" s="8" t="str">
        <f>"9781440846724; 9781440833366; 9781440833373"</f>
        <v>9781440846724; 9781440833366; 9781440833373</v>
      </c>
      <c r="R280" s="8" t="str">
        <f>"20170101"</f>
        <v>20170101</v>
      </c>
      <c r="S280" s="8"/>
      <c r="T280" s="8"/>
      <c r="U280" s="8">
        <v>25</v>
      </c>
      <c r="V280" s="8"/>
      <c r="W280" s="8">
        <v>28</v>
      </c>
      <c r="X280" s="8"/>
      <c r="Y280" s="8"/>
      <c r="Z280" s="8"/>
      <c r="AA280" s="8"/>
      <c r="AB280" s="8"/>
      <c r="AC280" s="8"/>
      <c r="AD280" s="8" t="s">
        <v>4804</v>
      </c>
      <c r="AE280" s="8"/>
      <c r="AF280" s="8"/>
      <c r="AG280" s="8" t="s">
        <v>4805</v>
      </c>
      <c r="AH280" s="8"/>
      <c r="AI280" s="8"/>
      <c r="AJ280" s="8" t="s">
        <v>4806</v>
      </c>
      <c r="AK280" s="8"/>
      <c r="AL280" s="8" t="s">
        <v>4808</v>
      </c>
      <c r="AM280" s="8"/>
      <c r="AN280" s="8"/>
      <c r="AO280" s="8"/>
      <c r="AP280" s="8"/>
      <c r="AQ280" s="8"/>
      <c r="AR280" s="8"/>
      <c r="AS280" s="8"/>
      <c r="AT280" s="8"/>
      <c r="AU280" s="8"/>
      <c r="AV280" s="8"/>
      <c r="AW280" s="8"/>
      <c r="AX280" s="8"/>
      <c r="AY280" s="8"/>
      <c r="AZ280" s="8"/>
      <c r="BA280" s="8"/>
      <c r="BB280" s="8"/>
      <c r="BC280" s="8"/>
      <c r="BD280" s="8"/>
      <c r="BE280" s="8"/>
      <c r="BF280" s="8"/>
      <c r="BG280" s="8"/>
      <c r="BH280" s="8"/>
      <c r="BI280" s="8"/>
      <c r="BJ280" s="8"/>
      <c r="BK280" s="8"/>
      <c r="BL280" s="8"/>
      <c r="BM280" s="8"/>
      <c r="BN280" s="8"/>
      <c r="BO280" s="8"/>
      <c r="BP280" s="8"/>
      <c r="BQ280" s="8"/>
      <c r="BR280" s="8"/>
      <c r="BS280" s="8"/>
      <c r="BT280" s="8"/>
      <c r="BU280" s="8"/>
      <c r="BV280" s="8"/>
      <c r="BW280" s="8"/>
      <c r="BX280" s="8"/>
      <c r="BY280" s="8"/>
      <c r="BZ280" s="8"/>
    </row>
    <row r="281" spans="1:78" ht="13" customHeight="1" x14ac:dyDescent="0.15">
      <c r="A281" s="8" t="s">
        <v>6189</v>
      </c>
      <c r="B281" s="8" t="s">
        <v>4773</v>
      </c>
      <c r="C281" s="11">
        <v>1998</v>
      </c>
      <c r="D281" s="8" t="s">
        <v>4810</v>
      </c>
      <c r="E281" s="8"/>
      <c r="F281" s="8" t="s">
        <v>4809</v>
      </c>
      <c r="G281" s="8" t="str" cm="1">
        <f t="array" ref="G281">LOWER(CleanCode(F281))</f>
        <v>acculturationandhealththeoryandresearch</v>
      </c>
      <c r="H281" s="8"/>
      <c r="I281" s="8"/>
      <c r="J281" s="8" t="s">
        <v>4815</v>
      </c>
      <c r="K281" s="8"/>
      <c r="L281" s="8"/>
      <c r="M281" s="8" t="s">
        <v>4811</v>
      </c>
      <c r="N281" s="8" t="str">
        <f t="shared" si="4"/>
        <v>Cultural Clinical Psychology: Theory, Research, And Practice.</v>
      </c>
      <c r="O281" s="8"/>
      <c r="P281" s="8"/>
      <c r="Q281" s="8" t="str">
        <f>"0195109457; 0195109465"</f>
        <v>0195109457; 0195109465</v>
      </c>
      <c r="R281" s="8" t="str">
        <f>"19980101"</f>
        <v>19980101</v>
      </c>
      <c r="S281" s="8"/>
      <c r="T281" s="8"/>
      <c r="U281" s="8">
        <v>39</v>
      </c>
      <c r="V281" s="8"/>
      <c r="W281" s="8">
        <v>19</v>
      </c>
      <c r="X281" s="8"/>
      <c r="Y281" s="8"/>
      <c r="Z281" s="8"/>
      <c r="AA281" s="8"/>
      <c r="AB281" s="8"/>
      <c r="AC281" s="8"/>
      <c r="AD281" s="8" t="s">
        <v>4812</v>
      </c>
      <c r="AE281" s="8"/>
      <c r="AF281" s="8"/>
      <c r="AG281" s="8" t="s">
        <v>4813</v>
      </c>
      <c r="AH281" s="8"/>
      <c r="AI281" s="8"/>
      <c r="AJ281" s="8" t="s">
        <v>4814</v>
      </c>
      <c r="AK281" s="8"/>
      <c r="AL281" s="8" t="s">
        <v>4816</v>
      </c>
      <c r="AM281" s="8"/>
      <c r="AN281" s="8"/>
      <c r="AO281" s="8"/>
      <c r="AP281" s="8"/>
      <c r="AQ281" s="8"/>
      <c r="AR281" s="8"/>
      <c r="AS281" s="8"/>
      <c r="AT281" s="8"/>
      <c r="AU281" s="8"/>
      <c r="AV281" s="8"/>
      <c r="AW281" s="8"/>
      <c r="AX281" s="8"/>
      <c r="AY281" s="8"/>
      <c r="AZ281" s="8"/>
      <c r="BA281" s="8"/>
      <c r="BB281" s="8"/>
      <c r="BC281" s="8"/>
      <c r="BD281" s="8"/>
      <c r="BE281" s="8"/>
      <c r="BF281" s="8"/>
      <c r="BG281" s="8"/>
      <c r="BH281" s="8"/>
      <c r="BI281" s="8"/>
      <c r="BJ281" s="8"/>
      <c r="BK281" s="8"/>
      <c r="BL281" s="8"/>
      <c r="BM281" s="8"/>
      <c r="BN281" s="8"/>
      <c r="BO281" s="8"/>
      <c r="BP281" s="8"/>
      <c r="BQ281" s="8"/>
      <c r="BR281" s="8"/>
      <c r="BS281" s="8"/>
      <c r="BT281" s="8"/>
      <c r="BU281" s="8"/>
      <c r="BV281" s="8"/>
      <c r="BW281" s="8"/>
      <c r="BX281" s="8"/>
      <c r="BY281" s="8"/>
      <c r="BZ281" s="8"/>
    </row>
    <row r="282" spans="1:78" ht="13" customHeight="1" x14ac:dyDescent="0.15">
      <c r="A282" s="8" t="s">
        <v>6189</v>
      </c>
      <c r="B282" s="8" t="s">
        <v>4679</v>
      </c>
      <c r="C282" s="11">
        <v>2017</v>
      </c>
      <c r="D282" s="8" t="s">
        <v>2168</v>
      </c>
      <c r="E282" s="8"/>
      <c r="F282" s="8" t="s">
        <v>4817</v>
      </c>
      <c r="G282" s="8" t="str" cm="1">
        <f t="array" ref="G282">LOWER(CleanCode(F282))</f>
        <v>acculturationandhelpseekingbehaviorinconsultationasocioculturalframeworkformentalhealthservice</v>
      </c>
      <c r="H282" s="8"/>
      <c r="I282" s="8"/>
      <c r="J282" s="8" t="s">
        <v>4821</v>
      </c>
      <c r="K282" s="8"/>
      <c r="L282" s="8"/>
      <c r="M282" s="8" t="s">
        <v>4818</v>
      </c>
      <c r="N282" s="8" t="str">
        <f t="shared" si="4"/>
        <v>Journal Of Educational &amp; Psychological Consultation</v>
      </c>
      <c r="O282" s="8" t="str">
        <f>"10474412"</f>
        <v>10474412</v>
      </c>
      <c r="P282" s="8"/>
      <c r="Q282" s="8"/>
      <c r="R282" s="8" t="str">
        <f>"20170701"</f>
        <v>20170701</v>
      </c>
      <c r="S282" s="8">
        <v>27</v>
      </c>
      <c r="T282" s="8">
        <v>3</v>
      </c>
      <c r="U282" s="8">
        <v>271</v>
      </c>
      <c r="V282" s="8"/>
      <c r="W282" s="8">
        <v>18</v>
      </c>
      <c r="X282" s="8"/>
      <c r="Y282" s="8"/>
      <c r="Z282" s="8"/>
      <c r="AA282" s="8"/>
      <c r="AB282" s="8"/>
      <c r="AC282" s="8"/>
      <c r="AD282" s="8" t="s">
        <v>4819</v>
      </c>
      <c r="AE282" s="8" t="s">
        <v>2181</v>
      </c>
      <c r="AF282" s="8"/>
      <c r="AG282" s="8" t="s">
        <v>4728</v>
      </c>
      <c r="AH282" s="8"/>
      <c r="AI282" s="8"/>
      <c r="AJ282" s="8" t="s">
        <v>4820</v>
      </c>
      <c r="AK282" s="8"/>
      <c r="AL282" s="8" t="s">
        <v>4822</v>
      </c>
      <c r="AM282" s="8"/>
      <c r="AN282" s="8"/>
      <c r="AO282" s="8"/>
      <c r="AP282" s="8"/>
      <c r="AQ282" s="8"/>
      <c r="AR282" s="8"/>
      <c r="AS282" s="8"/>
      <c r="AT282" s="8"/>
      <c r="AU282" s="8"/>
      <c r="AV282" s="8"/>
      <c r="AW282" s="8"/>
      <c r="AX282" s="8"/>
      <c r="AY282" s="8"/>
      <c r="AZ282" s="8"/>
      <c r="BA282" s="8"/>
      <c r="BB282" s="8"/>
      <c r="BC282" s="8"/>
      <c r="BD282" s="8"/>
      <c r="BE282" s="8"/>
      <c r="BF282" s="8"/>
      <c r="BG282" s="8"/>
      <c r="BH282" s="8"/>
      <c r="BI282" s="8"/>
      <c r="BJ282" s="8"/>
      <c r="BK282" s="8"/>
      <c r="BL282" s="8"/>
      <c r="BM282" s="8"/>
      <c r="BN282" s="8"/>
      <c r="BO282" s="8"/>
      <c r="BP282" s="8"/>
      <c r="BQ282" s="8"/>
      <c r="BR282" s="8"/>
      <c r="BS282" s="8"/>
      <c r="BT282" s="8"/>
      <c r="BU282" s="8"/>
      <c r="BV282" s="8"/>
      <c r="BW282" s="8"/>
      <c r="BX282" s="8"/>
      <c r="BY282" s="8"/>
      <c r="BZ282" s="8"/>
    </row>
    <row r="283" spans="1:78" ht="13" customHeight="1" x14ac:dyDescent="0.15">
      <c r="A283" s="8" t="s">
        <v>6189</v>
      </c>
      <c r="B283" s="8" t="s">
        <v>4828</v>
      </c>
      <c r="C283" s="11">
        <v>2006</v>
      </c>
      <c r="D283" s="8" t="s">
        <v>4824</v>
      </c>
      <c r="E283" s="8"/>
      <c r="F283" s="8" t="s">
        <v>4823</v>
      </c>
      <c r="G283" s="8" t="str" cm="1">
        <f t="array" ref="G283">LOWER(CleanCode(F283))</f>
        <v>acculturationandidentitytheroleofindividualizationtheory</v>
      </c>
      <c r="H283" s="8"/>
      <c r="I283" s="8"/>
      <c r="J283" s="8" t="s">
        <v>4830</v>
      </c>
      <c r="K283" s="8"/>
      <c r="L283" s="8"/>
      <c r="M283" s="8" t="s">
        <v>4825</v>
      </c>
      <c r="N283" s="8" t="str">
        <f t="shared" si="4"/>
        <v>Human Development</v>
      </c>
      <c r="O283" s="8" t="str">
        <f>"0018716X"</f>
        <v>0018716X</v>
      </c>
      <c r="P283" s="8"/>
      <c r="Q283" s="8"/>
      <c r="R283" s="8" t="str">
        <f>"20060201"</f>
        <v>20060201</v>
      </c>
      <c r="S283" s="8">
        <v>49</v>
      </c>
      <c r="T283" s="8">
        <v>1</v>
      </c>
      <c r="U283" s="8">
        <v>31</v>
      </c>
      <c r="V283" s="8"/>
      <c r="W283" s="8">
        <v>5</v>
      </c>
      <c r="X283" s="8"/>
      <c r="Y283" s="8"/>
      <c r="Z283" s="8"/>
      <c r="AA283" s="8"/>
      <c r="AB283" s="8"/>
      <c r="AC283" s="8"/>
      <c r="AD283" s="8" t="s">
        <v>4826</v>
      </c>
      <c r="AE283" s="8" t="s">
        <v>4015</v>
      </c>
      <c r="AF283" s="8"/>
      <c r="AG283" s="8" t="s">
        <v>4827</v>
      </c>
      <c r="AH283" s="8"/>
      <c r="AI283" s="8"/>
      <c r="AJ283" s="8" t="s">
        <v>4829</v>
      </c>
      <c r="AK283" s="8"/>
      <c r="AL283" s="8" t="s">
        <v>4831</v>
      </c>
      <c r="AM283" s="8"/>
      <c r="AN283" s="8"/>
      <c r="AO283" s="8"/>
      <c r="AP283" s="8"/>
      <c r="AQ283" s="8"/>
      <c r="AR283" s="8"/>
      <c r="AS283" s="8"/>
      <c r="AT283" s="8"/>
      <c r="AU283" s="8"/>
      <c r="AV283" s="8"/>
      <c r="AW283" s="8"/>
      <c r="AX283" s="8"/>
      <c r="AY283" s="8"/>
      <c r="AZ283" s="8"/>
      <c r="BA283" s="8"/>
      <c r="BB283" s="8"/>
      <c r="BC283" s="8"/>
      <c r="BD283" s="8"/>
      <c r="BE283" s="8"/>
      <c r="BF283" s="8"/>
      <c r="BG283" s="8"/>
      <c r="BH283" s="8"/>
      <c r="BI283" s="8"/>
      <c r="BJ283" s="8"/>
      <c r="BK283" s="8"/>
      <c r="BL283" s="8"/>
      <c r="BM283" s="8"/>
      <c r="BN283" s="8"/>
      <c r="BO283" s="8"/>
      <c r="BP283" s="8"/>
      <c r="BQ283" s="8"/>
      <c r="BR283" s="8"/>
      <c r="BS283" s="8"/>
      <c r="BT283" s="8"/>
      <c r="BU283" s="8"/>
      <c r="BV283" s="8"/>
      <c r="BW283" s="8"/>
      <c r="BX283" s="8"/>
      <c r="BY283" s="8"/>
      <c r="BZ283" s="8"/>
    </row>
    <row r="284" spans="1:78" ht="13" customHeight="1" x14ac:dyDescent="0.15">
      <c r="A284" s="8" t="s">
        <v>6189</v>
      </c>
      <c r="B284" s="8" t="s">
        <v>4679</v>
      </c>
      <c r="C284" s="11">
        <v>2019</v>
      </c>
      <c r="D284" s="8" t="s">
        <v>4833</v>
      </c>
      <c r="E284" s="8"/>
      <c r="F284" s="8" t="s">
        <v>4832</v>
      </c>
      <c r="G284" s="8" t="str" cm="1">
        <f t="array" ref="G284">LOWER(CleanCode(F284))</f>
        <v>acculturationandmillennialmigrationaculturalcongruenceframework</v>
      </c>
      <c r="H284" s="8"/>
      <c r="I284" s="8"/>
      <c r="J284" s="8" t="s">
        <v>4838</v>
      </c>
      <c r="K284" s="8"/>
      <c r="L284" s="8"/>
      <c r="M284" s="8" t="s">
        <v>4834</v>
      </c>
      <c r="N284" s="8" t="str">
        <f t="shared" si="4"/>
        <v>Canadian Journal Of Counselling And Psychotherapy</v>
      </c>
      <c r="O284" s="8" t="str">
        <f>"19236182"</f>
        <v>19236182</v>
      </c>
      <c r="P284" s="8"/>
      <c r="Q284" s="8"/>
      <c r="R284" s="8" t="str">
        <f>"20190101"</f>
        <v>20190101</v>
      </c>
      <c r="S284" s="8">
        <v>53</v>
      </c>
      <c r="T284" s="8">
        <v>2</v>
      </c>
      <c r="U284" s="8">
        <v>126</v>
      </c>
      <c r="V284" s="8"/>
      <c r="W284" s="8">
        <v>21</v>
      </c>
      <c r="X284" s="8"/>
      <c r="Y284" s="8"/>
      <c r="Z284" s="8"/>
      <c r="AA284" s="8"/>
      <c r="AB284" s="8"/>
      <c r="AC284" s="8"/>
      <c r="AD284" s="8" t="s">
        <v>4835</v>
      </c>
      <c r="AE284" s="8"/>
      <c r="AF284" s="8"/>
      <c r="AG284" s="8" t="s">
        <v>4836</v>
      </c>
      <c r="AH284" s="8"/>
      <c r="AI284" s="8"/>
      <c r="AJ284" s="8" t="s">
        <v>4837</v>
      </c>
      <c r="AK284" s="8"/>
      <c r="AL284" s="8" t="s">
        <v>4839</v>
      </c>
      <c r="AM284" s="8"/>
      <c r="AN284" s="8"/>
      <c r="AO284" s="8"/>
      <c r="AP284" s="8"/>
      <c r="AQ284" s="8"/>
      <c r="AR284" s="8"/>
      <c r="AS284" s="8"/>
      <c r="AT284" s="8"/>
      <c r="AU284" s="8"/>
      <c r="AV284" s="8"/>
      <c r="AW284" s="8"/>
      <c r="AX284" s="8"/>
      <c r="AY284" s="8"/>
      <c r="AZ284" s="8"/>
      <c r="BA284" s="8"/>
      <c r="BB284" s="8"/>
      <c r="BC284" s="8"/>
      <c r="BD284" s="8"/>
      <c r="BE284" s="8"/>
      <c r="BF284" s="8"/>
      <c r="BG284" s="8"/>
      <c r="BH284" s="8"/>
      <c r="BI284" s="8"/>
      <c r="BJ284" s="8"/>
      <c r="BK284" s="8"/>
      <c r="BL284" s="8"/>
      <c r="BM284" s="8"/>
      <c r="BN284" s="8"/>
      <c r="BO284" s="8"/>
      <c r="BP284" s="8"/>
      <c r="BQ284" s="8"/>
      <c r="BR284" s="8"/>
      <c r="BS284" s="8"/>
      <c r="BT284" s="8"/>
      <c r="BU284" s="8"/>
      <c r="BV284" s="8"/>
      <c r="BW284" s="8"/>
      <c r="BX284" s="8"/>
      <c r="BY284" s="8"/>
      <c r="BZ284" s="8"/>
    </row>
    <row r="285" spans="1:78" ht="13" customHeight="1" x14ac:dyDescent="0.15">
      <c r="A285" s="8" t="s">
        <v>6189</v>
      </c>
      <c r="B285" s="8" t="s">
        <v>4679</v>
      </c>
      <c r="C285" s="11">
        <v>2015</v>
      </c>
      <c r="D285" s="8" t="s">
        <v>2571</v>
      </c>
      <c r="E285" s="8"/>
      <c r="F285" s="8" t="s">
        <v>4840</v>
      </c>
      <c r="G285" s="8" t="str" cm="1">
        <f t="array" ref="G285">LOWER(CleanCode(F285))</f>
        <v>acculturationandpsychologicaladjustmentofvietnameserefugeesanecologicalacculturationframework</v>
      </c>
      <c r="H285" s="8"/>
      <c r="I285" s="8"/>
      <c r="J285" s="8" t="s">
        <v>4844</v>
      </c>
      <c r="K285" s="8"/>
      <c r="L285" s="8"/>
      <c r="M285" s="8" t="s">
        <v>4841</v>
      </c>
      <c r="N285" s="8" t="str">
        <f t="shared" si="4"/>
        <v>American Journal Of Community Psychology</v>
      </c>
      <c r="O285" s="8" t="str">
        <f>"00910562"</f>
        <v>00910562</v>
      </c>
      <c r="P285" s="8"/>
      <c r="Q285" s="8"/>
      <c r="R285" s="8" t="str">
        <f>"20151201"</f>
        <v>20151201</v>
      </c>
      <c r="S285" s="8">
        <v>56</v>
      </c>
      <c r="T285" s="12">
        <v>44289</v>
      </c>
      <c r="U285" s="8">
        <v>395</v>
      </c>
      <c r="V285" s="8"/>
      <c r="W285" s="8">
        <v>13</v>
      </c>
      <c r="X285" s="8"/>
      <c r="Y285" s="8"/>
      <c r="Z285" s="8"/>
      <c r="AA285" s="8"/>
      <c r="AB285" s="8"/>
      <c r="AC285" s="8"/>
      <c r="AD285" s="8" t="s">
        <v>4842</v>
      </c>
      <c r="AE285" s="8" t="s">
        <v>2581</v>
      </c>
      <c r="AF285" s="8"/>
      <c r="AG285" s="8" t="s">
        <v>4696</v>
      </c>
      <c r="AH285" s="8"/>
      <c r="AI285" s="8"/>
      <c r="AJ285" s="8" t="s">
        <v>4843</v>
      </c>
      <c r="AK285" s="8"/>
      <c r="AL285" s="8" t="s">
        <v>4845</v>
      </c>
      <c r="AM285" s="8"/>
      <c r="AN285" s="8"/>
      <c r="AO285" s="8"/>
      <c r="AP285" s="8"/>
      <c r="AQ285" s="8"/>
      <c r="AR285" s="8"/>
      <c r="AS285" s="8"/>
      <c r="AT285" s="8"/>
      <c r="AU285" s="8"/>
      <c r="AV285" s="8"/>
      <c r="AW285" s="8"/>
      <c r="AX285" s="8"/>
      <c r="AY285" s="8"/>
      <c r="AZ285" s="8"/>
      <c r="BA285" s="8"/>
      <c r="BB285" s="8"/>
      <c r="BC285" s="8"/>
      <c r="BD285" s="8"/>
      <c r="BE285" s="8"/>
      <c r="BF285" s="8"/>
      <c r="BG285" s="8"/>
      <c r="BH285" s="8"/>
      <c r="BI285" s="8"/>
      <c r="BJ285" s="8"/>
      <c r="BK285" s="8"/>
      <c r="BL285" s="8"/>
      <c r="BM285" s="8"/>
      <c r="BN285" s="8"/>
      <c r="BO285" s="8"/>
      <c r="BP285" s="8"/>
      <c r="BQ285" s="8"/>
      <c r="BR285" s="8"/>
      <c r="BS285" s="8"/>
      <c r="BT285" s="8"/>
      <c r="BU285" s="8"/>
      <c r="BV285" s="8"/>
      <c r="BW285" s="8"/>
      <c r="BX285" s="8"/>
      <c r="BY285" s="8"/>
      <c r="BZ285" s="8"/>
    </row>
    <row r="286" spans="1:78" ht="13" customHeight="1" x14ac:dyDescent="0.15">
      <c r="A286" s="8" t="s">
        <v>6189</v>
      </c>
      <c r="B286" s="8" t="s">
        <v>4679</v>
      </c>
      <c r="C286" s="11">
        <v>2017</v>
      </c>
      <c r="D286" s="8" t="s">
        <v>2242</v>
      </c>
      <c r="E286" s="8"/>
      <c r="F286" s="8" t="s">
        <v>4846</v>
      </c>
      <c r="G286" s="8" t="str" cm="1">
        <f t="array" ref="G286">LOWER(CleanCode(F286))</f>
        <v>acculturationandsocioculturalfactorsinchildrensmentalhealthservicesapplyingmulticulturalconsultationframeworks</v>
      </c>
      <c r="H286" s="8"/>
      <c r="I286" s="8"/>
      <c r="J286" s="8" t="s">
        <v>4849</v>
      </c>
      <c r="K286" s="8"/>
      <c r="L286" s="8"/>
      <c r="M286" s="8" t="s">
        <v>4818</v>
      </c>
      <c r="N286" s="8" t="str">
        <f t="shared" si="4"/>
        <v>Journal Of Educational &amp; Psychological Consultation</v>
      </c>
      <c r="O286" s="8" t="str">
        <f>"10474412"</f>
        <v>10474412</v>
      </c>
      <c r="P286" s="8"/>
      <c r="Q286" s="8"/>
      <c r="R286" s="8" t="str">
        <f>"20170701"</f>
        <v>20170701</v>
      </c>
      <c r="S286" s="8">
        <v>27</v>
      </c>
      <c r="T286" s="8">
        <v>3</v>
      </c>
      <c r="U286" s="8">
        <v>239</v>
      </c>
      <c r="V286" s="8"/>
      <c r="W286" s="8">
        <v>6</v>
      </c>
      <c r="X286" s="8"/>
      <c r="Y286" s="8"/>
      <c r="Z286" s="8"/>
      <c r="AA286" s="8"/>
      <c r="AB286" s="8"/>
      <c r="AC286" s="8"/>
      <c r="AD286" s="8" t="s">
        <v>4847</v>
      </c>
      <c r="AE286" s="8" t="s">
        <v>2249</v>
      </c>
      <c r="AF286" s="8"/>
      <c r="AG286" s="8" t="s">
        <v>4728</v>
      </c>
      <c r="AH286" s="8"/>
      <c r="AI286" s="8"/>
      <c r="AJ286" s="8" t="s">
        <v>4848</v>
      </c>
      <c r="AK286" s="8"/>
      <c r="AL286" s="8" t="s">
        <v>4850</v>
      </c>
      <c r="AM286" s="8"/>
      <c r="AN286" s="8"/>
      <c r="AO286" s="8"/>
      <c r="AP286" s="8"/>
      <c r="AQ286" s="8"/>
      <c r="AR286" s="8"/>
      <c r="AS286" s="8"/>
      <c r="AT286" s="8"/>
      <c r="AU286" s="8"/>
      <c r="AV286" s="8"/>
      <c r="AW286" s="8"/>
      <c r="AX286" s="8"/>
      <c r="AY286" s="8"/>
      <c r="AZ286" s="8"/>
      <c r="BA286" s="8"/>
      <c r="BB286" s="8"/>
      <c r="BC286" s="8"/>
      <c r="BD286" s="8"/>
      <c r="BE286" s="8"/>
      <c r="BF286" s="8"/>
      <c r="BG286" s="8"/>
      <c r="BH286" s="8"/>
      <c r="BI286" s="8"/>
      <c r="BJ286" s="8"/>
      <c r="BK286" s="8"/>
      <c r="BL286" s="8"/>
      <c r="BM286" s="8"/>
      <c r="BN286" s="8"/>
      <c r="BO286" s="8"/>
      <c r="BP286" s="8"/>
      <c r="BQ286" s="8"/>
      <c r="BR286" s="8"/>
      <c r="BS286" s="8"/>
      <c r="BT286" s="8"/>
      <c r="BU286" s="8"/>
      <c r="BV286" s="8"/>
      <c r="BW286" s="8"/>
      <c r="BX286" s="8"/>
      <c r="BY286" s="8"/>
      <c r="BZ286" s="8"/>
    </row>
    <row r="287" spans="1:78" ht="13" customHeight="1" x14ac:dyDescent="0.15">
      <c r="A287" s="8" t="s">
        <v>6189</v>
      </c>
      <c r="B287" s="8" t="s">
        <v>4671</v>
      </c>
      <c r="C287" s="11">
        <v>2015</v>
      </c>
      <c r="D287" s="8" t="s">
        <v>4852</v>
      </c>
      <c r="E287" s="8"/>
      <c r="F287" s="8" t="s">
        <v>4851</v>
      </c>
      <c r="G287" s="8" t="str" cm="1">
        <f t="array" ref="G287">LOWER(CleanCode(F287))</f>
        <v>acculturationexperiencesoflatinaimmigrantsinsuffolkcountynewyorkagroundedtheorystudy</v>
      </c>
      <c r="H287" s="8"/>
      <c r="I287" s="8"/>
      <c r="J287" s="8" t="s">
        <v>4856</v>
      </c>
      <c r="K287" s="8"/>
      <c r="L287" s="8"/>
      <c r="M287" s="8" t="s">
        <v>4762</v>
      </c>
      <c r="N287" s="8" t="str">
        <f t="shared" si="4"/>
        <v>Dissertation Abstracts International Section A: Humanities And Social Sciences</v>
      </c>
      <c r="O287" s="8" t="str">
        <f>"04194209"</f>
        <v>04194209</v>
      </c>
      <c r="P287" s="8"/>
      <c r="Q287" s="8" t="str">
        <f>"9781321120097"</f>
        <v>9781321120097</v>
      </c>
      <c r="R287" s="8" t="str">
        <f>"20150101"</f>
        <v>20150101</v>
      </c>
      <c r="S287" s="8">
        <v>75</v>
      </c>
      <c r="T287" s="8" t="s">
        <v>4853</v>
      </c>
      <c r="U287" s="8"/>
      <c r="V287" s="8"/>
      <c r="W287" s="8"/>
      <c r="X287" s="8"/>
      <c r="Y287" s="8"/>
      <c r="Z287" s="8"/>
      <c r="AA287" s="8"/>
      <c r="AB287" s="8"/>
      <c r="AC287" s="8"/>
      <c r="AD287" s="8" t="s">
        <v>4854</v>
      </c>
      <c r="AE287" s="8"/>
      <c r="AF287" s="8"/>
      <c r="AG287" s="8" t="s">
        <v>4670</v>
      </c>
      <c r="AH287" s="8"/>
      <c r="AI287" s="8"/>
      <c r="AJ287" s="8" t="s">
        <v>4855</v>
      </c>
      <c r="AK287" s="8"/>
      <c r="AL287" s="8" t="s">
        <v>4857</v>
      </c>
      <c r="AM287" s="8"/>
      <c r="AN287" s="8"/>
      <c r="AO287" s="8"/>
      <c r="AP287" s="8"/>
      <c r="AQ287" s="8"/>
      <c r="AR287" s="8"/>
      <c r="AS287" s="8"/>
      <c r="AT287" s="8"/>
      <c r="AU287" s="8"/>
      <c r="AV287" s="8"/>
      <c r="AW287" s="8"/>
      <c r="AX287" s="8"/>
      <c r="AY287" s="8"/>
      <c r="AZ287" s="8"/>
      <c r="BA287" s="8"/>
      <c r="BB287" s="8"/>
      <c r="BC287" s="8"/>
      <c r="BD287" s="8"/>
      <c r="BE287" s="8"/>
      <c r="BF287" s="8"/>
      <c r="BG287" s="8"/>
      <c r="BH287" s="8"/>
      <c r="BI287" s="8"/>
      <c r="BJ287" s="8"/>
      <c r="BK287" s="8"/>
      <c r="BL287" s="8"/>
      <c r="BM287" s="8"/>
      <c r="BN287" s="8"/>
      <c r="BO287" s="8"/>
      <c r="BP287" s="8"/>
      <c r="BQ287" s="8"/>
      <c r="BR287" s="8"/>
      <c r="BS287" s="8"/>
      <c r="BT287" s="8"/>
      <c r="BU287" s="8"/>
      <c r="BV287" s="8"/>
      <c r="BW287" s="8"/>
      <c r="BX287" s="8"/>
      <c r="BY287" s="8"/>
      <c r="BZ287" s="8"/>
    </row>
    <row r="288" spans="1:78" ht="13" customHeight="1" x14ac:dyDescent="0.15">
      <c r="A288" s="8" t="s">
        <v>6189</v>
      </c>
      <c r="B288" s="8" t="s">
        <v>4679</v>
      </c>
      <c r="C288" s="11">
        <v>2016</v>
      </c>
      <c r="D288" s="8" t="s">
        <v>2309</v>
      </c>
      <c r="E288" s="8"/>
      <c r="F288" s="8" t="s">
        <v>4858</v>
      </c>
      <c r="G288" s="8" t="str" cm="1">
        <f t="array" ref="G288">LOWER(CleanCode(F288))</f>
        <v>acculturationinpreventivehealthforimmigrantsasystematicreviewoninfluenzavaccinationprogramsinasocioecologicalframework</v>
      </c>
      <c r="H288" s="8"/>
      <c r="I288" s="8"/>
      <c r="J288" s="8" t="s">
        <v>4862</v>
      </c>
      <c r="K288" s="8"/>
      <c r="L288" s="8"/>
      <c r="M288" s="8" t="s">
        <v>4859</v>
      </c>
      <c r="N288" s="8" t="str">
        <f t="shared" si="4"/>
        <v>Canadian Psychology/Psychologie Canadienne</v>
      </c>
      <c r="O288" s="8" t="str">
        <f>"07085591"</f>
        <v>07085591</v>
      </c>
      <c r="P288" s="8"/>
      <c r="Q288" s="8" t="str">
        <f>"1433890143"</f>
        <v>1433890143</v>
      </c>
      <c r="R288" s="8" t="str">
        <f>"20161101"</f>
        <v>20161101</v>
      </c>
      <c r="S288" s="8">
        <v>57</v>
      </c>
      <c r="T288" s="8">
        <v>4</v>
      </c>
      <c r="U288" s="8">
        <v>340</v>
      </c>
      <c r="V288" s="8"/>
      <c r="W288" s="8">
        <v>16</v>
      </c>
      <c r="X288" s="8"/>
      <c r="Y288" s="8"/>
      <c r="Z288" s="8"/>
      <c r="AA288" s="8"/>
      <c r="AB288" s="8"/>
      <c r="AC288" s="8"/>
      <c r="AD288" s="8" t="s">
        <v>4860</v>
      </c>
      <c r="AE288" s="8" t="s">
        <v>2325</v>
      </c>
      <c r="AF288" s="8"/>
      <c r="AG288" s="8" t="s">
        <v>4711</v>
      </c>
      <c r="AH288" s="8"/>
      <c r="AI288" s="8"/>
      <c r="AJ288" s="8" t="s">
        <v>4861</v>
      </c>
      <c r="AK288" s="8"/>
      <c r="AL288" s="8" t="s">
        <v>4863</v>
      </c>
      <c r="AM288" s="8"/>
      <c r="AN288" s="8"/>
      <c r="AO288" s="8"/>
      <c r="AP288" s="8"/>
      <c r="AQ288" s="8"/>
      <c r="AR288" s="8"/>
      <c r="AS288" s="8"/>
      <c r="AT288" s="8"/>
      <c r="AU288" s="8"/>
      <c r="AV288" s="8"/>
      <c r="AW288" s="8"/>
      <c r="AX288" s="8"/>
      <c r="AY288" s="8"/>
      <c r="AZ288" s="8"/>
      <c r="BA288" s="8"/>
      <c r="BB288" s="8"/>
      <c r="BC288" s="8"/>
      <c r="BD288" s="8"/>
      <c r="BE288" s="8"/>
      <c r="BF288" s="8"/>
      <c r="BG288" s="8"/>
      <c r="BH288" s="8"/>
      <c r="BI288" s="8"/>
      <c r="BJ288" s="8"/>
      <c r="BK288" s="8"/>
      <c r="BL288" s="8"/>
      <c r="BM288" s="8"/>
      <c r="BN288" s="8"/>
      <c r="BO288" s="8"/>
      <c r="BP288" s="8"/>
      <c r="BQ288" s="8"/>
      <c r="BR288" s="8"/>
      <c r="BS288" s="8"/>
      <c r="BT288" s="8"/>
      <c r="BU288" s="8"/>
      <c r="BV288" s="8"/>
      <c r="BW288" s="8"/>
      <c r="BX288" s="8"/>
      <c r="BY288" s="8"/>
      <c r="BZ288" s="8"/>
    </row>
    <row r="289" spans="1:78" ht="13" customHeight="1" x14ac:dyDescent="0.15">
      <c r="A289" s="8" t="s">
        <v>6189</v>
      </c>
      <c r="B289" s="8" t="s">
        <v>4679</v>
      </c>
      <c r="C289" s="11">
        <v>2003</v>
      </c>
      <c r="D289" s="8" t="s">
        <v>4865</v>
      </c>
      <c r="E289" s="8"/>
      <c r="F289" s="8" t="s">
        <v>4864</v>
      </c>
      <c r="G289" s="8" t="str" cm="1">
        <f t="array" ref="G289">LOWER(CleanCode(F289))</f>
        <v>acculturationorientationsafacettheoryperspectiveonthebidimensionalmodel</v>
      </c>
      <c r="H289" s="8"/>
      <c r="I289" s="8"/>
      <c r="J289" s="8" t="s">
        <v>4869</v>
      </c>
      <c r="K289" s="8"/>
      <c r="L289" s="8"/>
      <c r="M289" s="8" t="s">
        <v>4866</v>
      </c>
      <c r="N289" s="8" t="str">
        <f t="shared" si="4"/>
        <v>Journal Of Cross-Cultural Psychology</v>
      </c>
      <c r="O289" s="8" t="str">
        <f>"00220221"</f>
        <v>00220221</v>
      </c>
      <c r="P289" s="8"/>
      <c r="Q289" s="8"/>
      <c r="R289" s="8" t="str">
        <f>"20030301"</f>
        <v>20030301</v>
      </c>
      <c r="S289" s="8">
        <v>34</v>
      </c>
      <c r="T289" s="8">
        <v>2</v>
      </c>
      <c r="U289" s="8">
        <v>176</v>
      </c>
      <c r="V289" s="8"/>
      <c r="W289" s="8">
        <v>13</v>
      </c>
      <c r="X289" s="8"/>
      <c r="Y289" s="8"/>
      <c r="Z289" s="8"/>
      <c r="AA289" s="8"/>
      <c r="AB289" s="8"/>
      <c r="AC289" s="8"/>
      <c r="AD289" s="8" t="s">
        <v>4867</v>
      </c>
      <c r="AE289" s="8" t="s">
        <v>4193</v>
      </c>
      <c r="AF289" s="8"/>
      <c r="AG289" s="8" t="s">
        <v>4678</v>
      </c>
      <c r="AH289" s="8"/>
      <c r="AI289" s="8"/>
      <c r="AJ289" s="8" t="s">
        <v>4868</v>
      </c>
      <c r="AK289" s="8"/>
      <c r="AL289" s="8" t="s">
        <v>4870</v>
      </c>
      <c r="AM289" s="8"/>
      <c r="AN289" s="8"/>
      <c r="AO289" s="8"/>
      <c r="AP289" s="8"/>
      <c r="AQ289" s="8"/>
      <c r="AR289" s="8"/>
      <c r="AS289" s="8"/>
      <c r="AT289" s="8"/>
      <c r="AU289" s="8"/>
      <c r="AV289" s="8"/>
      <c r="AW289" s="8"/>
      <c r="AX289" s="8"/>
      <c r="AY289" s="8"/>
      <c r="AZ289" s="8"/>
      <c r="BA289" s="8"/>
      <c r="BB289" s="8"/>
      <c r="BC289" s="8"/>
      <c r="BD289" s="8"/>
      <c r="BE289" s="8"/>
      <c r="BF289" s="8"/>
      <c r="BG289" s="8"/>
      <c r="BH289" s="8"/>
      <c r="BI289" s="8"/>
      <c r="BJ289" s="8"/>
      <c r="BK289" s="8"/>
      <c r="BL289" s="8"/>
      <c r="BM289" s="8"/>
      <c r="BN289" s="8"/>
      <c r="BO289" s="8"/>
      <c r="BP289" s="8"/>
      <c r="BQ289" s="8"/>
      <c r="BR289" s="8"/>
      <c r="BS289" s="8"/>
      <c r="BT289" s="8"/>
      <c r="BU289" s="8"/>
      <c r="BV289" s="8"/>
      <c r="BW289" s="8"/>
      <c r="BX289" s="8"/>
      <c r="BY289" s="8"/>
      <c r="BZ289" s="8"/>
    </row>
    <row r="290" spans="1:78" ht="13" customHeight="1" x14ac:dyDescent="0.15">
      <c r="A290" s="8" t="s">
        <v>6189</v>
      </c>
      <c r="B290" s="8" t="s">
        <v>4773</v>
      </c>
      <c r="C290" s="11">
        <v>2014</v>
      </c>
      <c r="D290" s="8" t="s">
        <v>4872</v>
      </c>
      <c r="E290" s="8"/>
      <c r="F290" s="8" t="s">
        <v>4871</v>
      </c>
      <c r="G290" s="8" t="str" cm="1">
        <f t="array" ref="G290">LOWER(CleanCode(F290))</f>
        <v>acculturationtheory</v>
      </c>
      <c r="H290" s="8"/>
      <c r="I290" s="8"/>
      <c r="J290" s="8" t="s">
        <v>4877</v>
      </c>
      <c r="K290" s="8"/>
      <c r="L290" s="8"/>
      <c r="M290" s="8" t="s">
        <v>4873</v>
      </c>
      <c r="N290" s="8" t="str">
        <f t="shared" si="4"/>
        <v>Theories Guiding Nursing Research And Practice: Making Nursing Knowledge Development Explicit.</v>
      </c>
      <c r="O290" s="8"/>
      <c r="P290" s="8"/>
      <c r="Q290" s="8" t="str">
        <f>"9780826164049; 9780826164056"</f>
        <v>9780826164049; 9780826164056</v>
      </c>
      <c r="R290" s="8" t="str">
        <f>"20140101"</f>
        <v>20140101</v>
      </c>
      <c r="S290" s="8"/>
      <c r="T290" s="8"/>
      <c r="U290" s="8">
        <v>225</v>
      </c>
      <c r="V290" s="8"/>
      <c r="W290" s="8">
        <v>12</v>
      </c>
      <c r="X290" s="8"/>
      <c r="Y290" s="8"/>
      <c r="Z290" s="8"/>
      <c r="AA290" s="8"/>
      <c r="AB290" s="8"/>
      <c r="AC290" s="8"/>
      <c r="AD290" s="8" t="s">
        <v>4874</v>
      </c>
      <c r="AE290" s="8"/>
      <c r="AF290" s="8"/>
      <c r="AG290" s="8" t="s">
        <v>4875</v>
      </c>
      <c r="AH290" s="8"/>
      <c r="AI290" s="8"/>
      <c r="AJ290" s="8" t="s">
        <v>4876</v>
      </c>
      <c r="AK290" s="8"/>
      <c r="AL290" s="8" t="s">
        <v>4878</v>
      </c>
      <c r="AM290" s="8"/>
      <c r="AN290" s="8"/>
      <c r="AO290" s="8"/>
      <c r="AP290" s="8"/>
      <c r="AQ290" s="8"/>
      <c r="AR290" s="8"/>
      <c r="AS290" s="8"/>
      <c r="AT290" s="8"/>
      <c r="AU290" s="8"/>
      <c r="AV290" s="8"/>
      <c r="AW290" s="8"/>
      <c r="AX290" s="8"/>
      <c r="AY290" s="8"/>
      <c r="AZ290" s="8"/>
      <c r="BA290" s="8"/>
      <c r="BB290" s="8"/>
      <c r="BC290" s="8"/>
      <c r="BD290" s="8"/>
      <c r="BE290" s="8"/>
      <c r="BF290" s="8"/>
      <c r="BG290" s="8"/>
      <c r="BH290" s="8"/>
      <c r="BI290" s="8"/>
      <c r="BJ290" s="8"/>
      <c r="BK290" s="8"/>
      <c r="BL290" s="8"/>
      <c r="BM290" s="8"/>
      <c r="BN290" s="8"/>
      <c r="BO290" s="8"/>
      <c r="BP290" s="8"/>
      <c r="BQ290" s="8"/>
      <c r="BR290" s="8"/>
      <c r="BS290" s="8"/>
      <c r="BT290" s="8"/>
      <c r="BU290" s="8"/>
      <c r="BV290" s="8"/>
      <c r="BW290" s="8"/>
      <c r="BX290" s="8"/>
      <c r="BY290" s="8"/>
      <c r="BZ290" s="8"/>
    </row>
    <row r="291" spans="1:78" ht="13" customHeight="1" x14ac:dyDescent="0.15">
      <c r="A291" s="8" t="s">
        <v>6189</v>
      </c>
      <c r="B291" s="8" t="s">
        <v>4679</v>
      </c>
      <c r="C291" s="11">
        <v>2019</v>
      </c>
      <c r="D291" s="8" t="s">
        <v>4880</v>
      </c>
      <c r="E291" s="8"/>
      <c r="F291" s="8" t="s">
        <v>4879</v>
      </c>
      <c r="G291" s="8" t="str" cm="1">
        <f t="array" ref="G291">LOWER(CleanCode(F291))</f>
        <v>acculturationcopingandintegrationsuccessofinternationalskilledmigrantsanintegrativereviewandmultilevelframework</v>
      </c>
      <c r="H291" s="8"/>
      <c r="I291" s="8"/>
      <c r="J291" s="8" t="s">
        <v>4885</v>
      </c>
      <c r="K291" s="8"/>
      <c r="L291" s="8"/>
      <c r="M291" s="8" t="s">
        <v>4881</v>
      </c>
      <c r="N291" s="8" t="str">
        <f t="shared" si="4"/>
        <v>Human Resource Management Journal</v>
      </c>
      <c r="O291" s="8" t="str">
        <f>"09545395"</f>
        <v>09545395</v>
      </c>
      <c r="P291" s="8"/>
      <c r="Q291" s="8"/>
      <c r="R291" s="8" t="str">
        <f>"20190701"</f>
        <v>20190701</v>
      </c>
      <c r="S291" s="8">
        <v>29</v>
      </c>
      <c r="T291" s="8">
        <v>3</v>
      </c>
      <c r="U291" s="8">
        <v>328</v>
      </c>
      <c r="V291" s="8"/>
      <c r="W291" s="8">
        <v>25</v>
      </c>
      <c r="X291" s="8"/>
      <c r="Y291" s="8"/>
      <c r="Z291" s="8"/>
      <c r="AA291" s="8"/>
      <c r="AB291" s="8"/>
      <c r="AC291" s="8"/>
      <c r="AD291" s="8" t="s">
        <v>4882</v>
      </c>
      <c r="AE291" s="8" t="s">
        <v>935</v>
      </c>
      <c r="AF291" s="8"/>
      <c r="AG291" s="8" t="s">
        <v>4883</v>
      </c>
      <c r="AH291" s="8"/>
      <c r="AI291" s="8"/>
      <c r="AJ291" s="8" t="s">
        <v>4884</v>
      </c>
      <c r="AK291" s="8"/>
      <c r="AL291" s="8" t="s">
        <v>4886</v>
      </c>
      <c r="AM291" s="8"/>
      <c r="AN291" s="8"/>
      <c r="AO291" s="8"/>
      <c r="AP291" s="8"/>
      <c r="AQ291" s="8"/>
      <c r="AR291" s="8"/>
      <c r="AS291" s="8"/>
      <c r="AT291" s="8"/>
      <c r="AU291" s="8"/>
      <c r="AV291" s="8"/>
      <c r="AW291" s="8"/>
      <c r="AX291" s="8"/>
      <c r="AY291" s="8"/>
      <c r="AZ291" s="8"/>
      <c r="BA291" s="8"/>
      <c r="BB291" s="8"/>
      <c r="BC291" s="8"/>
      <c r="BD291" s="8"/>
      <c r="BE291" s="8"/>
      <c r="BF291" s="8"/>
      <c r="BG291" s="8"/>
      <c r="BH291" s="8"/>
      <c r="BI291" s="8"/>
      <c r="BJ291" s="8"/>
      <c r="BK291" s="8"/>
      <c r="BL291" s="8"/>
      <c r="BM291" s="8"/>
      <c r="BN291" s="8"/>
      <c r="BO291" s="8"/>
      <c r="BP291" s="8"/>
      <c r="BQ291" s="8"/>
      <c r="BR291" s="8"/>
      <c r="BS291" s="8"/>
      <c r="BT291" s="8"/>
      <c r="BU291" s="8"/>
      <c r="BV291" s="8"/>
      <c r="BW291" s="8"/>
      <c r="BX291" s="8"/>
      <c r="BY291" s="8"/>
      <c r="BZ291" s="8"/>
    </row>
    <row r="292" spans="1:78" ht="13" customHeight="1" x14ac:dyDescent="0.15">
      <c r="A292" s="8" t="s">
        <v>6189</v>
      </c>
      <c r="B292" s="8" t="s">
        <v>4773</v>
      </c>
      <c r="C292" s="11">
        <v>2006</v>
      </c>
      <c r="D292" s="8" t="s">
        <v>4888</v>
      </c>
      <c r="E292" s="8"/>
      <c r="F292" s="8" t="s">
        <v>4887</v>
      </c>
      <c r="G292" s="8" t="str" cm="1">
        <f t="array" ref="G292">LOWER(CleanCode(F292))</f>
        <v>acculturationconceptualbackgroundandcorecomponents</v>
      </c>
      <c r="H292" s="8"/>
      <c r="I292" s="8"/>
      <c r="J292" s="8" t="s">
        <v>4894</v>
      </c>
      <c r="K292" s="8"/>
      <c r="L292" s="8"/>
      <c r="M292" s="8" t="s">
        <v>4889</v>
      </c>
      <c r="N292" s="8" t="str">
        <f t="shared" si="4"/>
        <v>The Cambridge Handbook Of Acculturation Psychology.</v>
      </c>
      <c r="O292" s="8"/>
      <c r="P292" s="8"/>
      <c r="Q292" s="8" t="str">
        <f>"0521614066; 9780521614061; 0521849241; 9780521849241"</f>
        <v>0521614066; 9780521614061; 0521849241; 9780521849241</v>
      </c>
      <c r="R292" s="8" t="str">
        <f>"20060101"</f>
        <v>20060101</v>
      </c>
      <c r="S292" s="8"/>
      <c r="T292" s="8"/>
      <c r="U292" s="8">
        <v>11</v>
      </c>
      <c r="V292" s="8"/>
      <c r="W292" s="8">
        <v>16</v>
      </c>
      <c r="X292" s="8"/>
      <c r="Y292" s="8"/>
      <c r="Z292" s="8"/>
      <c r="AA292" s="8"/>
      <c r="AB292" s="8"/>
      <c r="AC292" s="8"/>
      <c r="AD292" s="8" t="s">
        <v>4890</v>
      </c>
      <c r="AE292" s="8" t="s">
        <v>4891</v>
      </c>
      <c r="AF292" s="8"/>
      <c r="AG292" s="8" t="s">
        <v>4892</v>
      </c>
      <c r="AH292" s="8"/>
      <c r="AI292" s="8"/>
      <c r="AJ292" s="8" t="s">
        <v>4893</v>
      </c>
      <c r="AK292" s="8"/>
      <c r="AL292" s="8" t="s">
        <v>4895</v>
      </c>
      <c r="AM292" s="8"/>
      <c r="AN292" s="8"/>
      <c r="AO292" s="8"/>
      <c r="AP292" s="8"/>
      <c r="AQ292" s="8"/>
      <c r="AR292" s="8"/>
      <c r="AS292" s="8"/>
      <c r="AT292" s="8"/>
      <c r="AU292" s="8"/>
      <c r="AV292" s="8"/>
      <c r="AW292" s="8"/>
      <c r="AX292" s="8"/>
      <c r="AY292" s="8"/>
      <c r="AZ292" s="8"/>
      <c r="BA292" s="8"/>
      <c r="BB292" s="8"/>
      <c r="BC292" s="8"/>
      <c r="BD292" s="8"/>
      <c r="BE292" s="8"/>
      <c r="BF292" s="8"/>
      <c r="BG292" s="8"/>
      <c r="BH292" s="8"/>
      <c r="BI292" s="8"/>
      <c r="BJ292" s="8"/>
      <c r="BK292" s="8"/>
      <c r="BL292" s="8"/>
      <c r="BM292" s="8"/>
      <c r="BN292" s="8"/>
      <c r="BO292" s="8"/>
      <c r="BP292" s="8"/>
      <c r="BQ292" s="8"/>
      <c r="BR292" s="8"/>
      <c r="BS292" s="8"/>
      <c r="BT292" s="8"/>
      <c r="BU292" s="8"/>
      <c r="BV292" s="8"/>
      <c r="BW292" s="8"/>
      <c r="BX292" s="8"/>
      <c r="BY292" s="8"/>
      <c r="BZ292" s="8"/>
    </row>
    <row r="293" spans="1:78" ht="13" customHeight="1" x14ac:dyDescent="0.15">
      <c r="A293" s="8" t="s">
        <v>6189</v>
      </c>
      <c r="B293" s="8" t="s">
        <v>4679</v>
      </c>
      <c r="C293" s="11">
        <v>2014</v>
      </c>
      <c r="D293" s="8" t="s">
        <v>2959</v>
      </c>
      <c r="E293" s="8"/>
      <c r="F293" s="8" t="s">
        <v>4896</v>
      </c>
      <c r="G293" s="8" t="str" cm="1">
        <f t="array" ref="G293">LOWER(CleanCode(F293))</f>
        <v>acculturativefamilydistancingpsychometricanalysiswiththeextendedtwotieritemresponsetheory</v>
      </c>
      <c r="H293" s="8"/>
      <c r="I293" s="8"/>
      <c r="J293" s="8" t="s">
        <v>4901</v>
      </c>
      <c r="K293" s="8"/>
      <c r="L293" s="8"/>
      <c r="M293" s="8" t="s">
        <v>4897</v>
      </c>
      <c r="N293" s="8" t="str">
        <f t="shared" si="4"/>
        <v>Psychological Assessment</v>
      </c>
      <c r="O293" s="8" t="str">
        <f>"10403590"</f>
        <v>10403590</v>
      </c>
      <c r="P293" s="8"/>
      <c r="Q293" s="8"/>
      <c r="R293" s="8" t="str">
        <f>"20140601"</f>
        <v>20140601</v>
      </c>
      <c r="S293" s="8">
        <v>26</v>
      </c>
      <c r="T293" s="8">
        <v>2</v>
      </c>
      <c r="U293" s="8">
        <v>493</v>
      </c>
      <c r="V293" s="8"/>
      <c r="W293" s="8">
        <v>20</v>
      </c>
      <c r="X293" s="8"/>
      <c r="Y293" s="8"/>
      <c r="Z293" s="8"/>
      <c r="AA293" s="8"/>
      <c r="AB293" s="8"/>
      <c r="AC293" s="8"/>
      <c r="AD293" s="8" t="s">
        <v>4898</v>
      </c>
      <c r="AE293" s="8" t="s">
        <v>2973</v>
      </c>
      <c r="AF293" s="8"/>
      <c r="AG293" s="8" t="s">
        <v>4899</v>
      </c>
      <c r="AH293" s="8"/>
      <c r="AI293" s="8"/>
      <c r="AJ293" s="8" t="s">
        <v>4900</v>
      </c>
      <c r="AK293" s="8"/>
      <c r="AL293" s="8" t="s">
        <v>4902</v>
      </c>
      <c r="AM293" s="8"/>
      <c r="AN293" s="8"/>
      <c r="AO293" s="8"/>
      <c r="AP293" s="8"/>
      <c r="AQ293" s="8"/>
      <c r="AR293" s="8"/>
      <c r="AS293" s="8"/>
      <c r="AT293" s="8"/>
      <c r="AU293" s="8"/>
      <c r="AV293" s="8"/>
      <c r="AW293" s="8"/>
      <c r="AX293" s="8"/>
      <c r="AY293" s="8"/>
      <c r="AZ293" s="8"/>
      <c r="BA293" s="8"/>
      <c r="BB293" s="8"/>
      <c r="BC293" s="8"/>
      <c r="BD293" s="8"/>
      <c r="BE293" s="8"/>
      <c r="BF293" s="8"/>
      <c r="BG293" s="8"/>
      <c r="BH293" s="8"/>
      <c r="BI293" s="8"/>
      <c r="BJ293" s="8"/>
      <c r="BK293" s="8"/>
      <c r="BL293" s="8"/>
      <c r="BM293" s="8"/>
      <c r="BN293" s="8"/>
      <c r="BO293" s="8"/>
      <c r="BP293" s="8"/>
      <c r="BQ293" s="8"/>
      <c r="BR293" s="8"/>
      <c r="BS293" s="8"/>
      <c r="BT293" s="8"/>
      <c r="BU293" s="8"/>
      <c r="BV293" s="8"/>
      <c r="BW293" s="8"/>
      <c r="BX293" s="8"/>
      <c r="BY293" s="8"/>
      <c r="BZ293" s="8"/>
    </row>
    <row r="294" spans="1:78" ht="13" customHeight="1" x14ac:dyDescent="0.15">
      <c r="A294" s="8" t="s">
        <v>6189</v>
      </c>
      <c r="B294" s="8" t="s">
        <v>4679</v>
      </c>
      <c r="C294" s="11">
        <v>2006</v>
      </c>
      <c r="D294" s="8" t="s">
        <v>3969</v>
      </c>
      <c r="E294" s="8"/>
      <c r="F294" s="8" t="s">
        <v>4903</v>
      </c>
      <c r="G294" s="8" t="str" cm="1">
        <f t="array" ref="G294">LOWER(CleanCode(F294))</f>
        <v>acculturativefamilydistancingtheoryresearchandclinicalpractice</v>
      </c>
      <c r="H294" s="8"/>
      <c r="I294" s="8"/>
      <c r="J294" s="8" t="s">
        <v>4907</v>
      </c>
      <c r="K294" s="8"/>
      <c r="L294" s="8"/>
      <c r="M294" s="8" t="s">
        <v>4904</v>
      </c>
      <c r="N294" s="8" t="str">
        <f t="shared" si="4"/>
        <v>Psychotherapy: Theory, Research, Practice, Training</v>
      </c>
      <c r="O294" s="8" t="str">
        <f>"00333204"</f>
        <v>00333204</v>
      </c>
      <c r="P294" s="8"/>
      <c r="Q294" s="8" t="str">
        <f>"1591479274"</f>
        <v>1591479274</v>
      </c>
      <c r="R294" s="8" t="str">
        <f>"20061201"</f>
        <v>20061201</v>
      </c>
      <c r="S294" s="8">
        <v>43</v>
      </c>
      <c r="T294" s="8">
        <v>4</v>
      </c>
      <c r="U294" s="8">
        <v>397</v>
      </c>
      <c r="V294" s="8"/>
      <c r="W294" s="8">
        <v>13</v>
      </c>
      <c r="X294" s="8"/>
      <c r="Y294" s="8"/>
      <c r="Z294" s="8"/>
      <c r="AA294" s="8"/>
      <c r="AB294" s="8"/>
      <c r="AC294" s="8"/>
      <c r="AD294" s="8" t="s">
        <v>4905</v>
      </c>
      <c r="AE294" s="8" t="s">
        <v>3984</v>
      </c>
      <c r="AF294" s="8"/>
      <c r="AG294" s="8" t="s">
        <v>4711</v>
      </c>
      <c r="AH294" s="8"/>
      <c r="AI294" s="8"/>
      <c r="AJ294" s="8" t="s">
        <v>4906</v>
      </c>
      <c r="AK294" s="8"/>
      <c r="AL294" s="8" t="s">
        <v>4908</v>
      </c>
      <c r="AM294" s="8"/>
      <c r="AN294" s="8"/>
      <c r="AO294" s="8"/>
      <c r="AP294" s="8"/>
      <c r="AQ294" s="8"/>
      <c r="AR294" s="8"/>
      <c r="AS294" s="8"/>
      <c r="AT294" s="8"/>
      <c r="AU294" s="8"/>
      <c r="AV294" s="8"/>
      <c r="AW294" s="8"/>
      <c r="AX294" s="8"/>
      <c r="AY294" s="8"/>
      <c r="AZ294" s="8"/>
      <c r="BA294" s="8"/>
      <c r="BB294" s="8"/>
      <c r="BC294" s="8"/>
      <c r="BD294" s="8"/>
      <c r="BE294" s="8"/>
      <c r="BF294" s="8"/>
      <c r="BG294" s="8"/>
      <c r="BH294" s="8"/>
      <c r="BI294" s="8"/>
      <c r="BJ294" s="8"/>
      <c r="BK294" s="8"/>
      <c r="BL294" s="8"/>
      <c r="BM294" s="8"/>
      <c r="BN294" s="8"/>
      <c r="BO294" s="8"/>
      <c r="BP294" s="8"/>
      <c r="BQ294" s="8"/>
      <c r="BR294" s="8"/>
      <c r="BS294" s="8"/>
      <c r="BT294" s="8"/>
      <c r="BU294" s="8"/>
      <c r="BV294" s="8"/>
      <c r="BW294" s="8"/>
      <c r="BX294" s="8"/>
      <c r="BY294" s="8"/>
      <c r="BZ294" s="8"/>
    </row>
    <row r="295" spans="1:78" ht="13" customHeight="1" x14ac:dyDescent="0.15">
      <c r="A295" s="8" t="s">
        <v>6189</v>
      </c>
      <c r="B295" s="8" t="s">
        <v>4773</v>
      </c>
      <c r="C295" s="11">
        <v>2009</v>
      </c>
      <c r="D295" s="8" t="s">
        <v>4910</v>
      </c>
      <c r="E295" s="8"/>
      <c r="F295" s="8" t="s">
        <v>4909</v>
      </c>
      <c r="G295" s="8" t="str" cm="1">
        <f t="array" ref="G295">LOWER(CleanCode(F295))</f>
        <v>acculturativestressinprofessionalimmigrantstowardsaculturaltheoryofstress</v>
      </c>
      <c r="H295" s="8"/>
      <c r="I295" s="8"/>
      <c r="J295" s="8" t="s">
        <v>4916</v>
      </c>
      <c r="K295" s="8"/>
      <c r="L295" s="8"/>
      <c r="M295" s="8" t="s">
        <v>4911</v>
      </c>
      <c r="N295" s="8" t="str">
        <f t="shared" si="4"/>
        <v>Handbook Of Managerial Behavior And Occupational Health.</v>
      </c>
      <c r="O295" s="8"/>
      <c r="P295" s="8"/>
      <c r="Q295" s="8" t="str">
        <f>"9781848440951; 9781848447219"</f>
        <v>9781848440951; 9781848447219</v>
      </c>
      <c r="R295" s="8" t="str">
        <f>"20090101"</f>
        <v>20090101</v>
      </c>
      <c r="S295" s="8"/>
      <c r="T295" s="8"/>
      <c r="U295" s="8">
        <v>345</v>
      </c>
      <c r="V295" s="8"/>
      <c r="W295" s="8">
        <v>17</v>
      </c>
      <c r="X295" s="8"/>
      <c r="Y295" s="8"/>
      <c r="Z295" s="8"/>
      <c r="AA295" s="8"/>
      <c r="AB295" s="8"/>
      <c r="AC295" s="8"/>
      <c r="AD295" s="8" t="s">
        <v>4912</v>
      </c>
      <c r="AE295" s="8" t="s">
        <v>4913</v>
      </c>
      <c r="AF295" s="8"/>
      <c r="AG295" s="8" t="s">
        <v>4914</v>
      </c>
      <c r="AH295" s="8"/>
      <c r="AI295" s="8"/>
      <c r="AJ295" s="8" t="s">
        <v>4915</v>
      </c>
      <c r="AK295" s="8"/>
      <c r="AL295" s="8" t="s">
        <v>4917</v>
      </c>
      <c r="AM295" s="8"/>
      <c r="AN295" s="8"/>
      <c r="AO295" s="8"/>
      <c r="AP295" s="8"/>
      <c r="AQ295" s="8"/>
      <c r="AR295" s="8"/>
      <c r="AS295" s="8"/>
      <c r="AT295" s="8"/>
      <c r="AU295" s="8"/>
      <c r="AV295" s="8"/>
      <c r="AW295" s="8"/>
      <c r="AX295" s="8"/>
      <c r="AY295" s="8"/>
      <c r="AZ295" s="8"/>
      <c r="BA295" s="8"/>
      <c r="BB295" s="8"/>
      <c r="BC295" s="8"/>
      <c r="BD295" s="8"/>
      <c r="BE295" s="8"/>
      <c r="BF295" s="8"/>
      <c r="BG295" s="8"/>
      <c r="BH295" s="8"/>
      <c r="BI295" s="8"/>
      <c r="BJ295" s="8"/>
      <c r="BK295" s="8"/>
      <c r="BL295" s="8"/>
      <c r="BM295" s="8"/>
      <c r="BN295" s="8"/>
      <c r="BO295" s="8"/>
      <c r="BP295" s="8"/>
      <c r="BQ295" s="8"/>
      <c r="BR295" s="8"/>
      <c r="BS295" s="8"/>
      <c r="BT295" s="8"/>
      <c r="BU295" s="8"/>
      <c r="BV295" s="8"/>
      <c r="BW295" s="8"/>
      <c r="BX295" s="8"/>
      <c r="BY295" s="8"/>
      <c r="BZ295" s="8"/>
    </row>
    <row r="296" spans="1:78" ht="13" customHeight="1" x14ac:dyDescent="0.15">
      <c r="A296" s="8" t="s">
        <v>6189</v>
      </c>
      <c r="B296" s="8" t="s">
        <v>4773</v>
      </c>
      <c r="C296" s="11">
        <v>2005</v>
      </c>
      <c r="D296" s="8" t="s">
        <v>4919</v>
      </c>
      <c r="E296" s="8"/>
      <c r="F296" s="8" t="s">
        <v>4918</v>
      </c>
      <c r="G296" s="8" t="str" cm="1">
        <f t="array" ref="G296">LOWER(CleanCode(F296))</f>
        <v>adaptingtoanewcultureanintegrativecommunicationtheory</v>
      </c>
      <c r="H296" s="8"/>
      <c r="I296" s="8"/>
      <c r="J296" s="8" t="s">
        <v>4924</v>
      </c>
      <c r="K296" s="8"/>
      <c r="L296" s="8"/>
      <c r="M296" s="8" t="s">
        <v>4920</v>
      </c>
      <c r="N296" s="8" t="str">
        <f t="shared" si="4"/>
        <v>Theorizing About Intercultural Communication.</v>
      </c>
      <c r="O296" s="8"/>
      <c r="P296" s="8"/>
      <c r="Q296" s="8" t="str">
        <f>"0761927484; 0761927492"</f>
        <v>0761927484; 0761927492</v>
      </c>
      <c r="R296" s="8" t="str">
        <f>"20050101"</f>
        <v>20050101</v>
      </c>
      <c r="S296" s="8"/>
      <c r="T296" s="8"/>
      <c r="U296" s="8">
        <v>375</v>
      </c>
      <c r="V296" s="8"/>
      <c r="W296" s="8">
        <v>26</v>
      </c>
      <c r="X296" s="8"/>
      <c r="Y296" s="8"/>
      <c r="Z296" s="8"/>
      <c r="AA296" s="8"/>
      <c r="AB296" s="8"/>
      <c r="AC296" s="8"/>
      <c r="AD296" s="8" t="s">
        <v>4921</v>
      </c>
      <c r="AE296" s="8"/>
      <c r="AF296" s="8"/>
      <c r="AG296" s="8" t="s">
        <v>4922</v>
      </c>
      <c r="AH296" s="8"/>
      <c r="AI296" s="8"/>
      <c r="AJ296" s="8" t="s">
        <v>4923</v>
      </c>
      <c r="AK296" s="8"/>
      <c r="AL296" s="8" t="s">
        <v>4925</v>
      </c>
      <c r="AM296" s="8"/>
      <c r="AN296" s="8"/>
      <c r="AO296" s="8"/>
      <c r="AP296" s="8"/>
      <c r="AQ296" s="8"/>
      <c r="AR296" s="8"/>
      <c r="AS296" s="8"/>
      <c r="AT296" s="8"/>
      <c r="AU296" s="8"/>
      <c r="AV296" s="8"/>
      <c r="AW296" s="8"/>
      <c r="AX296" s="8"/>
      <c r="AY296" s="8"/>
      <c r="AZ296" s="8"/>
      <c r="BA296" s="8"/>
      <c r="BB296" s="8"/>
      <c r="BC296" s="8"/>
      <c r="BD296" s="8"/>
      <c r="BE296" s="8"/>
      <c r="BF296" s="8"/>
      <c r="BG296" s="8"/>
      <c r="BH296" s="8"/>
      <c r="BI296" s="8"/>
      <c r="BJ296" s="8"/>
      <c r="BK296" s="8"/>
      <c r="BL296" s="8"/>
      <c r="BM296" s="8"/>
      <c r="BN296" s="8"/>
      <c r="BO296" s="8"/>
      <c r="BP296" s="8"/>
      <c r="BQ296" s="8"/>
      <c r="BR296" s="8"/>
      <c r="BS296" s="8"/>
      <c r="BT296" s="8"/>
      <c r="BU296" s="8"/>
      <c r="BV296" s="8"/>
      <c r="BW296" s="8"/>
      <c r="BX296" s="8"/>
      <c r="BY296" s="8"/>
      <c r="BZ296" s="8"/>
    </row>
    <row r="297" spans="1:78" ht="13" customHeight="1" x14ac:dyDescent="0.15">
      <c r="A297" s="8" t="s">
        <v>6189</v>
      </c>
      <c r="B297" s="8" t="s">
        <v>4679</v>
      </c>
      <c r="C297" s="11">
        <v>2016</v>
      </c>
      <c r="D297" s="8" t="s">
        <v>2446</v>
      </c>
      <c r="E297" s="8"/>
      <c r="F297" s="8" t="s">
        <v>4926</v>
      </c>
      <c r="G297" s="8" t="str" cm="1">
        <f t="array" ref="G297">LOWER(CleanCode(F297))</f>
        <v>advancingacculturationtheoryandresearchtheacculturationprocessinitsecologicalcontext</v>
      </c>
      <c r="H297" s="8"/>
      <c r="I297" s="8"/>
      <c r="J297" s="8" t="s">
        <v>4930</v>
      </c>
      <c r="K297" s="8"/>
      <c r="L297" s="8"/>
      <c r="M297" s="8" t="s">
        <v>4927</v>
      </c>
      <c r="N297" s="8" t="str">
        <f t="shared" si="4"/>
        <v>Current Opinion In Psychology</v>
      </c>
      <c r="O297" s="8" t="str">
        <f>"23522518"</f>
        <v>23522518</v>
      </c>
      <c r="P297" s="8"/>
      <c r="Q297" s="8"/>
      <c r="R297" s="8" t="str">
        <f>"20160401"</f>
        <v>20160401</v>
      </c>
      <c r="S297" s="8">
        <v>8</v>
      </c>
      <c r="T297" s="8"/>
      <c r="U297" s="8">
        <v>98</v>
      </c>
      <c r="V297" s="8"/>
      <c r="W297" s="8">
        <v>7</v>
      </c>
      <c r="X297" s="8"/>
      <c r="Y297" s="8"/>
      <c r="Z297" s="8"/>
      <c r="AA297" s="8"/>
      <c r="AB297" s="8"/>
      <c r="AC297" s="8"/>
      <c r="AD297" s="8" t="s">
        <v>4928</v>
      </c>
      <c r="AE297" s="8" t="s">
        <v>2458</v>
      </c>
      <c r="AF297" s="8"/>
      <c r="AG297" s="8" t="s">
        <v>4735</v>
      </c>
      <c r="AH297" s="8"/>
      <c r="AI297" s="8"/>
      <c r="AJ297" s="8" t="s">
        <v>4929</v>
      </c>
      <c r="AK297" s="8"/>
      <c r="AL297" s="8" t="s">
        <v>4931</v>
      </c>
      <c r="AM297" s="8"/>
      <c r="AN297" s="8"/>
      <c r="AO297" s="8"/>
      <c r="AP297" s="8"/>
      <c r="AQ297" s="8"/>
      <c r="AR297" s="8"/>
      <c r="AS297" s="8"/>
      <c r="AT297" s="8"/>
      <c r="AU297" s="8"/>
      <c r="AV297" s="8"/>
      <c r="AW297" s="8"/>
      <c r="AX297" s="8"/>
      <c r="AY297" s="8"/>
      <c r="AZ297" s="8"/>
      <c r="BA297" s="8"/>
      <c r="BB297" s="8"/>
      <c r="BC297" s="8"/>
      <c r="BD297" s="8"/>
      <c r="BE297" s="8"/>
      <c r="BF297" s="8"/>
      <c r="BG297" s="8"/>
      <c r="BH297" s="8"/>
      <c r="BI297" s="8"/>
      <c r="BJ297" s="8"/>
      <c r="BK297" s="8"/>
      <c r="BL297" s="8"/>
      <c r="BM297" s="8"/>
      <c r="BN297" s="8"/>
      <c r="BO297" s="8"/>
      <c r="BP297" s="8"/>
      <c r="BQ297" s="8"/>
      <c r="BR297" s="8"/>
      <c r="BS297" s="8"/>
      <c r="BT297" s="8"/>
      <c r="BU297" s="8"/>
      <c r="BV297" s="8"/>
      <c r="BW297" s="8"/>
      <c r="BX297" s="8"/>
      <c r="BY297" s="8"/>
      <c r="BZ297" s="8"/>
    </row>
    <row r="298" spans="1:78" ht="13" customHeight="1" x14ac:dyDescent="0.15">
      <c r="A298" s="8" t="s">
        <v>6189</v>
      </c>
      <c r="B298" s="8" t="s">
        <v>4679</v>
      </c>
      <c r="C298" s="11">
        <v>2016</v>
      </c>
      <c r="D298" s="8" t="s">
        <v>2252</v>
      </c>
      <c r="E298" s="8"/>
      <c r="F298" s="8" t="s">
        <v>4932</v>
      </c>
      <c r="G298" s="8" t="str" cm="1">
        <f t="array" ref="G298">LOWER(CleanCode(F298))</f>
        <v>alcoholuseamongrecentimmigrantlatinoayouthacculturationgenderandthetheoryofreasonedaction</v>
      </c>
      <c r="H298" s="8"/>
      <c r="I298" s="8"/>
      <c r="J298" s="8" t="s">
        <v>4936</v>
      </c>
      <c r="K298" s="8"/>
      <c r="L298" s="8"/>
      <c r="M298" s="8" t="s">
        <v>4933</v>
      </c>
      <c r="N298" s="8" t="str">
        <f t="shared" si="4"/>
        <v>Ethnicity &amp; Health</v>
      </c>
      <c r="O298" s="8" t="str">
        <f>"13557858"</f>
        <v>13557858</v>
      </c>
      <c r="P298" s="8"/>
      <c r="Q298" s="8"/>
      <c r="R298" s="8" t="str">
        <f>"20161101"</f>
        <v>20161101</v>
      </c>
      <c r="S298" s="8">
        <v>21</v>
      </c>
      <c r="T298" s="8">
        <v>6</v>
      </c>
      <c r="U298" s="8">
        <v>609</v>
      </c>
      <c r="V298" s="8"/>
      <c r="W298" s="8">
        <v>19</v>
      </c>
      <c r="X298" s="8"/>
      <c r="Y298" s="8"/>
      <c r="Z298" s="8"/>
      <c r="AA298" s="8"/>
      <c r="AB298" s="8"/>
      <c r="AC298" s="8"/>
      <c r="AD298" s="8" t="s">
        <v>4934</v>
      </c>
      <c r="AE298" s="8" t="s">
        <v>2268</v>
      </c>
      <c r="AF298" s="8"/>
      <c r="AG298" s="8" t="s">
        <v>4728</v>
      </c>
      <c r="AH298" s="8"/>
      <c r="AI298" s="8"/>
      <c r="AJ298" s="8" t="s">
        <v>4935</v>
      </c>
      <c r="AK298" s="8"/>
      <c r="AL298" s="8" t="s">
        <v>4937</v>
      </c>
      <c r="AM298" s="8"/>
      <c r="AN298" s="8"/>
      <c r="AO298" s="8"/>
      <c r="AP298" s="8"/>
      <c r="AQ298" s="8"/>
      <c r="AR298" s="8"/>
      <c r="AS298" s="8"/>
      <c r="AT298" s="8"/>
      <c r="AU298" s="8"/>
      <c r="AV298" s="8"/>
      <c r="AW298" s="8"/>
      <c r="AX298" s="8"/>
      <c r="AY298" s="8"/>
      <c r="AZ298" s="8"/>
      <c r="BA298" s="8"/>
      <c r="BB298" s="8"/>
      <c r="BC298" s="8"/>
      <c r="BD298" s="8"/>
      <c r="BE298" s="8"/>
      <c r="BF298" s="8"/>
      <c r="BG298" s="8"/>
      <c r="BH298" s="8"/>
      <c r="BI298" s="8"/>
      <c r="BJ298" s="8"/>
      <c r="BK298" s="8"/>
      <c r="BL298" s="8"/>
      <c r="BM298" s="8"/>
      <c r="BN298" s="8"/>
      <c r="BO298" s="8"/>
      <c r="BP298" s="8"/>
      <c r="BQ298" s="8"/>
      <c r="BR298" s="8"/>
      <c r="BS298" s="8"/>
      <c r="BT298" s="8"/>
      <c r="BU298" s="8"/>
      <c r="BV298" s="8"/>
      <c r="BW298" s="8"/>
      <c r="BX298" s="8"/>
      <c r="BY298" s="8"/>
      <c r="BZ298" s="8"/>
    </row>
    <row r="299" spans="1:78" ht="13" customHeight="1" x14ac:dyDescent="0.15">
      <c r="A299" s="8" t="s">
        <v>6189</v>
      </c>
      <c r="B299" s="8" t="s">
        <v>4679</v>
      </c>
      <c r="C299" s="11">
        <v>2016</v>
      </c>
      <c r="D299" s="8" t="s">
        <v>4939</v>
      </c>
      <c r="E299" s="8"/>
      <c r="F299" s="8" t="s">
        <v>4938</v>
      </c>
      <c r="G299" s="8" t="str" cm="1">
        <f t="array" ref="G299">LOWER(CleanCode(F299))</f>
        <v>anepisodicframeworkofoutgroupinteractionprocessingintegrationandredirectionfortheexpatriateadjustmentresearch</v>
      </c>
      <c r="H299" s="8"/>
      <c r="I299" s="8"/>
      <c r="J299" s="8" t="s">
        <v>4944</v>
      </c>
      <c r="K299" s="8"/>
      <c r="L299" s="8"/>
      <c r="M299" s="8" t="s">
        <v>4940</v>
      </c>
      <c r="N299" s="8" t="str">
        <f t="shared" si="4"/>
        <v>Psychological Bulletin</v>
      </c>
      <c r="O299" s="8" t="str">
        <f>"00332909"</f>
        <v>00332909</v>
      </c>
      <c r="P299" s="8"/>
      <c r="Q299" s="8"/>
      <c r="R299" s="8" t="str">
        <f>"20160601"</f>
        <v>20160601</v>
      </c>
      <c r="S299" s="8">
        <v>142</v>
      </c>
      <c r="T299" s="8">
        <v>6</v>
      </c>
      <c r="U299" s="8">
        <v>623</v>
      </c>
      <c r="V299" s="8"/>
      <c r="W299" s="8">
        <v>32</v>
      </c>
      <c r="X299" s="8"/>
      <c r="Y299" s="8"/>
      <c r="Z299" s="8"/>
      <c r="AA299" s="8"/>
      <c r="AB299" s="8"/>
      <c r="AC299" s="8"/>
      <c r="AD299" s="8" t="s">
        <v>4941</v>
      </c>
      <c r="AE299" s="8" t="s">
        <v>4942</v>
      </c>
      <c r="AF299" s="8"/>
      <c r="AG299" s="8" t="s">
        <v>4899</v>
      </c>
      <c r="AH299" s="8"/>
      <c r="AI299" s="8"/>
      <c r="AJ299" s="8" t="s">
        <v>4943</v>
      </c>
      <c r="AK299" s="8"/>
      <c r="AL299" s="8" t="s">
        <v>4945</v>
      </c>
      <c r="AM299" s="8"/>
      <c r="AN299" s="8"/>
      <c r="AO299" s="8"/>
      <c r="AP299" s="8"/>
      <c r="AQ299" s="8"/>
      <c r="AR299" s="8"/>
      <c r="AS299" s="8"/>
      <c r="AT299" s="8"/>
      <c r="AU299" s="8"/>
      <c r="AV299" s="8"/>
      <c r="AW299" s="8"/>
      <c r="AX299" s="8"/>
      <c r="AY299" s="8"/>
      <c r="AZ299" s="8"/>
      <c r="BA299" s="8"/>
      <c r="BB299" s="8"/>
      <c r="BC299" s="8"/>
      <c r="BD299" s="8"/>
      <c r="BE299" s="8"/>
      <c r="BF299" s="8"/>
      <c r="BG299" s="8"/>
      <c r="BH299" s="8"/>
      <c r="BI299" s="8"/>
      <c r="BJ299" s="8"/>
      <c r="BK299" s="8"/>
      <c r="BL299" s="8"/>
      <c r="BM299" s="8"/>
      <c r="BN299" s="8"/>
      <c r="BO299" s="8"/>
      <c r="BP299" s="8"/>
      <c r="BQ299" s="8"/>
      <c r="BR299" s="8"/>
      <c r="BS299" s="8"/>
      <c r="BT299" s="8"/>
      <c r="BU299" s="8"/>
      <c r="BV299" s="8"/>
      <c r="BW299" s="8"/>
      <c r="BX299" s="8"/>
      <c r="BY299" s="8"/>
      <c r="BZ299" s="8"/>
    </row>
    <row r="300" spans="1:78" ht="13" customHeight="1" x14ac:dyDescent="0.15">
      <c r="A300" s="8" t="s">
        <v>6189</v>
      </c>
      <c r="B300" s="8" t="s">
        <v>4679</v>
      </c>
      <c r="C300" s="11">
        <v>2009</v>
      </c>
      <c r="D300" s="8" t="s">
        <v>3614</v>
      </c>
      <c r="E300" s="8"/>
      <c r="F300" s="8" t="s">
        <v>4946</v>
      </c>
      <c r="G300" s="8" t="str" cm="1">
        <f t="array" ref="G300">LOWER(CleanCode(F300))</f>
        <v>anexplorationofbehavioraltheoryconstructsinatransculturalcontext</v>
      </c>
      <c r="H300" s="8"/>
      <c r="I300" s="8"/>
      <c r="J300" s="8" t="s">
        <v>4951</v>
      </c>
      <c r="K300" s="8"/>
      <c r="L300" s="8"/>
      <c r="M300" s="8" t="s">
        <v>4947</v>
      </c>
      <c r="N300" s="8" t="str">
        <f t="shared" si="4"/>
        <v>Health Education &amp; Behavior</v>
      </c>
      <c r="O300" s="8" t="str">
        <f>"10901981"</f>
        <v>10901981</v>
      </c>
      <c r="P300" s="8"/>
      <c r="Q300" s="8"/>
      <c r="R300" s="8" t="str">
        <f>"20091001"</f>
        <v>20091001</v>
      </c>
      <c r="S300" s="8">
        <v>36</v>
      </c>
      <c r="T300" s="8" t="s">
        <v>4948</v>
      </c>
      <c r="U300" s="8" t="s">
        <v>3628</v>
      </c>
      <c r="V300" s="8"/>
      <c r="W300" s="8">
        <v>20</v>
      </c>
      <c r="X300" s="8"/>
      <c r="Y300" s="8"/>
      <c r="Z300" s="8"/>
      <c r="AA300" s="8"/>
      <c r="AB300" s="8"/>
      <c r="AC300" s="8"/>
      <c r="AD300" s="8" t="s">
        <v>4949</v>
      </c>
      <c r="AE300" s="8" t="s">
        <v>3630</v>
      </c>
      <c r="AF300" s="8"/>
      <c r="AG300" s="8" t="s">
        <v>4678</v>
      </c>
      <c r="AH300" s="8"/>
      <c r="AI300" s="8"/>
      <c r="AJ300" s="8" t="s">
        <v>4950</v>
      </c>
      <c r="AK300" s="8"/>
      <c r="AL300" s="8" t="s">
        <v>4952</v>
      </c>
      <c r="AM300" s="8"/>
      <c r="AN300" s="8"/>
      <c r="AO300" s="8"/>
      <c r="AP300" s="8"/>
      <c r="AQ300" s="8"/>
      <c r="AR300" s="8"/>
      <c r="AS300" s="8"/>
      <c r="AT300" s="8"/>
      <c r="AU300" s="8"/>
      <c r="AV300" s="8"/>
      <c r="AW300" s="8"/>
      <c r="AX300" s="8"/>
      <c r="AY300" s="8"/>
      <c r="AZ300" s="8"/>
      <c r="BA300" s="8"/>
      <c r="BB300" s="8"/>
      <c r="BC300" s="8"/>
      <c r="BD300" s="8"/>
      <c r="BE300" s="8"/>
      <c r="BF300" s="8"/>
      <c r="BG300" s="8"/>
      <c r="BH300" s="8"/>
      <c r="BI300" s="8"/>
      <c r="BJ300" s="8"/>
      <c r="BK300" s="8"/>
      <c r="BL300" s="8"/>
      <c r="BM300" s="8"/>
      <c r="BN300" s="8"/>
      <c r="BO300" s="8"/>
      <c r="BP300" s="8"/>
      <c r="BQ300" s="8"/>
      <c r="BR300" s="8"/>
      <c r="BS300" s="8"/>
      <c r="BT300" s="8"/>
      <c r="BU300" s="8"/>
      <c r="BV300" s="8"/>
      <c r="BW300" s="8"/>
      <c r="BX300" s="8"/>
      <c r="BY300" s="8"/>
      <c r="BZ300" s="8"/>
    </row>
    <row r="301" spans="1:78" ht="13" customHeight="1" x14ac:dyDescent="0.15">
      <c r="A301" s="8" t="s">
        <v>6189</v>
      </c>
      <c r="B301" s="8" t="s">
        <v>4773</v>
      </c>
      <c r="C301" s="11">
        <v>2014</v>
      </c>
      <c r="D301" s="8" t="s">
        <v>4954</v>
      </c>
      <c r="E301" s="8"/>
      <c r="F301" s="8" t="s">
        <v>4953</v>
      </c>
      <c r="G301" s="8" t="str" cm="1">
        <f t="array" ref="G301">LOWER(CleanCode(F301))</f>
        <v>aninnovativelensforcomprehendingthehumanexperienceinsocietyananalysisoftheacculturationtheory</v>
      </c>
      <c r="H301" s="8"/>
      <c r="I301" s="8"/>
      <c r="J301" s="8" t="s">
        <v>4957</v>
      </c>
      <c r="K301" s="8"/>
      <c r="L301" s="8"/>
      <c r="M301" s="8" t="s">
        <v>4770</v>
      </c>
      <c r="N301" s="8" t="str">
        <f t="shared" si="4"/>
        <v>Acculturation: Psychology, Processes And Global Perspectives.</v>
      </c>
      <c r="O301" s="8"/>
      <c r="P301" s="8"/>
      <c r="Q301" s="8" t="str">
        <f>"9781633213470; 9781633213487"</f>
        <v>9781633213470; 9781633213487</v>
      </c>
      <c r="R301" s="8" t="str">
        <f>"20140101"</f>
        <v>20140101</v>
      </c>
      <c r="S301" s="8"/>
      <c r="T301" s="8"/>
      <c r="U301" s="8">
        <v>195</v>
      </c>
      <c r="V301" s="8"/>
      <c r="W301" s="8">
        <v>10</v>
      </c>
      <c r="X301" s="8"/>
      <c r="Y301" s="8"/>
      <c r="Z301" s="8"/>
      <c r="AA301" s="8"/>
      <c r="AB301" s="8"/>
      <c r="AC301" s="8"/>
      <c r="AD301" s="8" t="s">
        <v>4955</v>
      </c>
      <c r="AE301" s="8"/>
      <c r="AF301" s="8"/>
      <c r="AG301" s="8" t="s">
        <v>4772</v>
      </c>
      <c r="AH301" s="8"/>
      <c r="AI301" s="8"/>
      <c r="AJ301" s="8" t="s">
        <v>4956</v>
      </c>
      <c r="AK301" s="8"/>
      <c r="AL301" s="8" t="s">
        <v>4958</v>
      </c>
      <c r="AM301" s="8"/>
      <c r="AN301" s="8"/>
      <c r="AO301" s="8"/>
      <c r="AP301" s="8"/>
      <c r="AQ301" s="8"/>
      <c r="AR301" s="8"/>
      <c r="AS301" s="8"/>
      <c r="AT301" s="8"/>
      <c r="AU301" s="8"/>
      <c r="AV301" s="8"/>
      <c r="AW301" s="8"/>
      <c r="AX301" s="8"/>
      <c r="AY301" s="8"/>
      <c r="AZ301" s="8"/>
      <c r="BA301" s="8"/>
      <c r="BB301" s="8"/>
      <c r="BC301" s="8"/>
      <c r="BD301" s="8"/>
      <c r="BE301" s="8"/>
      <c r="BF301" s="8"/>
      <c r="BG301" s="8"/>
      <c r="BH301" s="8"/>
      <c r="BI301" s="8"/>
      <c r="BJ301" s="8"/>
      <c r="BK301" s="8"/>
      <c r="BL301" s="8"/>
      <c r="BM301" s="8"/>
      <c r="BN301" s="8"/>
      <c r="BO301" s="8"/>
      <c r="BP301" s="8"/>
      <c r="BQ301" s="8"/>
      <c r="BR301" s="8"/>
      <c r="BS301" s="8"/>
      <c r="BT301" s="8"/>
      <c r="BU301" s="8"/>
      <c r="BV301" s="8"/>
      <c r="BW301" s="8"/>
      <c r="BX301" s="8"/>
      <c r="BY301" s="8"/>
      <c r="BZ301" s="8"/>
    </row>
    <row r="302" spans="1:78" ht="13" customHeight="1" x14ac:dyDescent="0.15">
      <c r="A302" s="8" t="s">
        <v>6189</v>
      </c>
      <c r="B302" s="8" t="s">
        <v>4679</v>
      </c>
      <c r="C302" s="11">
        <v>2011</v>
      </c>
      <c r="D302" s="8" t="s">
        <v>3416</v>
      </c>
      <c r="E302" s="8"/>
      <c r="F302" s="8" t="s">
        <v>4959</v>
      </c>
      <c r="G302" s="8" t="str" cm="1">
        <f t="array" ref="G302">LOWER(CleanCode(F302))</f>
        <v>anintegrativetheoreticalframeworkofacculturationandsalutogenesis</v>
      </c>
      <c r="H302" s="8"/>
      <c r="I302" s="8"/>
      <c r="J302" s="8" t="s">
        <v>4964</v>
      </c>
      <c r="K302" s="8"/>
      <c r="L302" s="8"/>
      <c r="M302" s="8" t="s">
        <v>4960</v>
      </c>
      <c r="N302" s="8" t="str">
        <f t="shared" si="4"/>
        <v>International Review Of Psychiatry</v>
      </c>
      <c r="O302" s="8" t="str">
        <f>"09540261"</f>
        <v>09540261</v>
      </c>
      <c r="P302" s="8"/>
      <c r="Q302" s="8"/>
      <c r="R302" s="8" t="str">
        <f>"20111201"</f>
        <v>20111201</v>
      </c>
      <c r="S302" s="8">
        <v>23</v>
      </c>
      <c r="T302" s="8">
        <v>6</v>
      </c>
      <c r="U302" s="8">
        <v>555</v>
      </c>
      <c r="V302" s="8"/>
      <c r="W302" s="8">
        <v>10</v>
      </c>
      <c r="X302" s="8"/>
      <c r="Y302" s="8"/>
      <c r="Z302" s="8"/>
      <c r="AA302" s="8"/>
      <c r="AB302" s="8"/>
      <c r="AC302" s="8"/>
      <c r="AD302" s="8" t="s">
        <v>4961</v>
      </c>
      <c r="AE302" s="8" t="s">
        <v>3428</v>
      </c>
      <c r="AF302" s="8"/>
      <c r="AG302" s="8" t="s">
        <v>4962</v>
      </c>
      <c r="AH302" s="8"/>
      <c r="AI302" s="8"/>
      <c r="AJ302" s="8" t="s">
        <v>4963</v>
      </c>
      <c r="AK302" s="8"/>
      <c r="AL302" s="8" t="s">
        <v>4965</v>
      </c>
      <c r="AM302" s="8"/>
      <c r="AN302" s="8"/>
      <c r="AO302" s="8"/>
      <c r="AP302" s="8"/>
      <c r="AQ302" s="8"/>
      <c r="AR302" s="8"/>
      <c r="AS302" s="8"/>
      <c r="AT302" s="8"/>
      <c r="AU302" s="8"/>
      <c r="AV302" s="8"/>
      <c r="AW302" s="8"/>
      <c r="AX302" s="8"/>
      <c r="AY302" s="8"/>
      <c r="AZ302" s="8"/>
      <c r="BA302" s="8"/>
      <c r="BB302" s="8"/>
      <c r="BC302" s="8"/>
      <c r="BD302" s="8"/>
      <c r="BE302" s="8"/>
      <c r="BF302" s="8"/>
      <c r="BG302" s="8"/>
      <c r="BH302" s="8"/>
      <c r="BI302" s="8"/>
      <c r="BJ302" s="8"/>
      <c r="BK302" s="8"/>
      <c r="BL302" s="8"/>
      <c r="BM302" s="8"/>
      <c r="BN302" s="8"/>
      <c r="BO302" s="8"/>
      <c r="BP302" s="8"/>
      <c r="BQ302" s="8"/>
      <c r="BR302" s="8"/>
      <c r="BS302" s="8"/>
      <c r="BT302" s="8"/>
      <c r="BU302" s="8"/>
      <c r="BV302" s="8"/>
      <c r="BW302" s="8"/>
      <c r="BX302" s="8"/>
      <c r="BY302" s="8"/>
      <c r="BZ302" s="8"/>
    </row>
    <row r="303" spans="1:78" ht="13" customHeight="1" x14ac:dyDescent="0.15">
      <c r="A303" s="8" t="s">
        <v>6189</v>
      </c>
      <c r="B303" s="8" t="s">
        <v>4679</v>
      </c>
      <c r="C303" s="11">
        <v>2020</v>
      </c>
      <c r="D303" s="8" t="s">
        <v>802</v>
      </c>
      <c r="E303" s="8"/>
      <c r="F303" s="8" t="s">
        <v>4966</v>
      </c>
      <c r="G303" s="8" t="str" cm="1">
        <f t="array" ref="G303">LOWER(CleanCode(F303))</f>
        <v>anintergenerationalconceptualisationofitalianaustralianethnicidentitythroughbourdieuandheidegger</v>
      </c>
      <c r="H303" s="8"/>
      <c r="I303" s="8"/>
      <c r="J303" s="8" t="s">
        <v>4970</v>
      </c>
      <c r="K303" s="8"/>
      <c r="L303" s="8"/>
      <c r="M303" s="8" t="s">
        <v>4967</v>
      </c>
      <c r="N303" s="8" t="str">
        <f t="shared" si="4"/>
        <v>Social Identities: Journal For The Study Of Race, Nation And Culture</v>
      </c>
      <c r="O303" s="8" t="str">
        <f>"13504630"</f>
        <v>13504630</v>
      </c>
      <c r="P303" s="8"/>
      <c r="Q303" s="8"/>
      <c r="R303" s="8" t="str">
        <f>"20200101"</f>
        <v>20200101</v>
      </c>
      <c r="S303" s="8">
        <v>26</v>
      </c>
      <c r="T303" s="8">
        <v>1</v>
      </c>
      <c r="U303" s="8">
        <v>3</v>
      </c>
      <c r="V303" s="8"/>
      <c r="W303" s="8">
        <v>13</v>
      </c>
      <c r="X303" s="8"/>
      <c r="Y303" s="8"/>
      <c r="Z303" s="8"/>
      <c r="AA303" s="8"/>
      <c r="AB303" s="8"/>
      <c r="AC303" s="8"/>
      <c r="AD303" s="8" t="s">
        <v>4968</v>
      </c>
      <c r="AE303" s="8" t="s">
        <v>815</v>
      </c>
      <c r="AF303" s="8"/>
      <c r="AG303" s="8" t="s">
        <v>4728</v>
      </c>
      <c r="AH303" s="8"/>
      <c r="AI303" s="8"/>
      <c r="AJ303" s="8" t="s">
        <v>4969</v>
      </c>
      <c r="AK303" s="8"/>
      <c r="AL303" s="8" t="s">
        <v>4971</v>
      </c>
      <c r="AM303" s="8"/>
      <c r="AN303" s="8"/>
      <c r="AO303" s="8"/>
      <c r="AP303" s="8"/>
      <c r="AQ303" s="8"/>
      <c r="AR303" s="8"/>
      <c r="AS303" s="8"/>
      <c r="AT303" s="8"/>
      <c r="AU303" s="8"/>
      <c r="AV303" s="8"/>
      <c r="AW303" s="8"/>
      <c r="AX303" s="8"/>
      <c r="AY303" s="8"/>
      <c r="AZ303" s="8"/>
      <c r="BA303" s="8"/>
      <c r="BB303" s="8"/>
      <c r="BC303" s="8"/>
      <c r="BD303" s="8"/>
      <c r="BE303" s="8"/>
      <c r="BF303" s="8"/>
      <c r="BG303" s="8"/>
      <c r="BH303" s="8"/>
      <c r="BI303" s="8"/>
      <c r="BJ303" s="8"/>
      <c r="BK303" s="8"/>
      <c r="BL303" s="8"/>
      <c r="BM303" s="8"/>
      <c r="BN303" s="8"/>
      <c r="BO303" s="8"/>
      <c r="BP303" s="8"/>
      <c r="BQ303" s="8"/>
      <c r="BR303" s="8"/>
      <c r="BS303" s="8"/>
      <c r="BT303" s="8"/>
      <c r="BU303" s="8"/>
      <c r="BV303" s="8"/>
      <c r="BW303" s="8"/>
      <c r="BX303" s="8"/>
      <c r="BY303" s="8"/>
      <c r="BZ303" s="8"/>
    </row>
    <row r="304" spans="1:78" ht="13" customHeight="1" x14ac:dyDescent="0.15">
      <c r="A304" s="8" t="s">
        <v>6189</v>
      </c>
      <c r="B304" s="8" t="s">
        <v>4671</v>
      </c>
      <c r="C304" s="11">
        <v>1995</v>
      </c>
      <c r="D304" s="8" t="s">
        <v>4973</v>
      </c>
      <c r="E304" s="8"/>
      <c r="F304" s="8" t="s">
        <v>4972</v>
      </c>
      <c r="G304" s="8" t="str" cm="1">
        <f t="array" ref="G304">LOWER(CleanCode(F304))</f>
        <v>applicationofrotterssociallearningtheoryassessingintrapsychicconflictandpredictingpsychologicaldistressamongsouthasianimmigrantparents</v>
      </c>
      <c r="H304" s="8"/>
      <c r="I304" s="8"/>
      <c r="J304" s="8" t="s">
        <v>4976</v>
      </c>
      <c r="K304" s="8"/>
      <c r="L304" s="8"/>
      <c r="M304" s="8" t="s">
        <v>4667</v>
      </c>
      <c r="N304" s="8" t="str">
        <f t="shared" si="4"/>
        <v>Dissertation Abstracts International: Section B: The Sciences And Engineering</v>
      </c>
      <c r="O304" s="8" t="str">
        <f>"04194217"</f>
        <v>04194217</v>
      </c>
      <c r="P304" s="8"/>
      <c r="Q304" s="8"/>
      <c r="R304" s="8" t="str">
        <f>"19951101"</f>
        <v>19951101</v>
      </c>
      <c r="S304" s="8">
        <v>56</v>
      </c>
      <c r="T304" s="8" t="s">
        <v>4740</v>
      </c>
      <c r="U304" s="8">
        <v>2887</v>
      </c>
      <c r="V304" s="8"/>
      <c r="W304" s="8">
        <v>1</v>
      </c>
      <c r="X304" s="8"/>
      <c r="Y304" s="8"/>
      <c r="Z304" s="8"/>
      <c r="AA304" s="8"/>
      <c r="AB304" s="8"/>
      <c r="AC304" s="8"/>
      <c r="AD304" s="8" t="s">
        <v>4974</v>
      </c>
      <c r="AE304" s="8"/>
      <c r="AF304" s="8"/>
      <c r="AG304" s="8" t="s">
        <v>4670</v>
      </c>
      <c r="AH304" s="8"/>
      <c r="AI304" s="8"/>
      <c r="AJ304" s="8" t="s">
        <v>4975</v>
      </c>
      <c r="AK304" s="8"/>
      <c r="AL304" s="8" t="s">
        <v>4977</v>
      </c>
      <c r="AM304" s="8"/>
      <c r="AN304" s="8"/>
      <c r="AO304" s="8"/>
      <c r="AP304" s="8"/>
      <c r="AQ304" s="8"/>
      <c r="AR304" s="8"/>
      <c r="AS304" s="8"/>
      <c r="AT304" s="8"/>
      <c r="AU304" s="8"/>
      <c r="AV304" s="8"/>
      <c r="AW304" s="8"/>
      <c r="AX304" s="8"/>
      <c r="AY304" s="8"/>
      <c r="AZ304" s="8"/>
      <c r="BA304" s="8"/>
      <c r="BB304" s="8"/>
      <c r="BC304" s="8"/>
      <c r="BD304" s="8"/>
      <c r="BE304" s="8"/>
      <c r="BF304" s="8"/>
      <c r="BG304" s="8"/>
      <c r="BH304" s="8"/>
      <c r="BI304" s="8"/>
      <c r="BJ304" s="8"/>
      <c r="BK304" s="8"/>
      <c r="BL304" s="8"/>
      <c r="BM304" s="8"/>
      <c r="BN304" s="8"/>
      <c r="BO304" s="8"/>
      <c r="BP304" s="8"/>
      <c r="BQ304" s="8"/>
      <c r="BR304" s="8"/>
      <c r="BS304" s="8"/>
      <c r="BT304" s="8"/>
      <c r="BU304" s="8"/>
      <c r="BV304" s="8"/>
      <c r="BW304" s="8"/>
      <c r="BX304" s="8"/>
      <c r="BY304" s="8"/>
      <c r="BZ304" s="8"/>
    </row>
    <row r="305" spans="1:78" ht="13" customHeight="1" x14ac:dyDescent="0.15">
      <c r="A305" s="8" t="s">
        <v>6189</v>
      </c>
      <c r="B305" s="8" t="s">
        <v>4679</v>
      </c>
      <c r="C305" s="11">
        <v>2016</v>
      </c>
      <c r="D305" s="8" t="s">
        <v>2414</v>
      </c>
      <c r="E305" s="8"/>
      <c r="F305" s="8" t="s">
        <v>4978</v>
      </c>
      <c r="G305" s="8" t="str" cm="1">
        <f t="array" ref="G305">LOWER(CleanCode(F305))</f>
        <v>applyingacculturationtheoryandpowerelitetheoryonasocialproblempoliticalunderrepresentationofthehispanicpopulationintexas</v>
      </c>
      <c r="H305" s="8"/>
      <c r="I305" s="8"/>
      <c r="J305" s="8" t="s">
        <v>4981</v>
      </c>
      <c r="K305" s="8"/>
      <c r="L305" s="8"/>
      <c r="M305" s="8" t="s">
        <v>4676</v>
      </c>
      <c r="N305" s="8" t="str">
        <f t="shared" si="4"/>
        <v>Hispanic Journal Of Behavioral Sciences</v>
      </c>
      <c r="O305" s="8" t="str">
        <f>"07399863"</f>
        <v>07399863</v>
      </c>
      <c r="P305" s="8"/>
      <c r="Q305" s="8"/>
      <c r="R305" s="8" t="str">
        <f>"20160501"</f>
        <v>20160501</v>
      </c>
      <c r="S305" s="8">
        <v>38</v>
      </c>
      <c r="T305" s="8">
        <v>2</v>
      </c>
      <c r="U305" s="8">
        <v>155</v>
      </c>
      <c r="V305" s="8"/>
      <c r="W305" s="8">
        <v>11</v>
      </c>
      <c r="X305" s="8"/>
      <c r="Y305" s="8"/>
      <c r="Z305" s="8"/>
      <c r="AA305" s="8"/>
      <c r="AB305" s="8"/>
      <c r="AC305" s="8"/>
      <c r="AD305" s="8" t="s">
        <v>4979</v>
      </c>
      <c r="AE305" s="8" t="s">
        <v>2421</v>
      </c>
      <c r="AF305" s="8"/>
      <c r="AG305" s="8" t="s">
        <v>4678</v>
      </c>
      <c r="AH305" s="8"/>
      <c r="AI305" s="8"/>
      <c r="AJ305" s="8" t="s">
        <v>4980</v>
      </c>
      <c r="AK305" s="8"/>
      <c r="AL305" s="8" t="s">
        <v>4982</v>
      </c>
      <c r="AM305" s="8"/>
      <c r="AN305" s="8"/>
      <c r="AO305" s="8"/>
      <c r="AP305" s="8"/>
      <c r="AQ305" s="8"/>
      <c r="AR305" s="8"/>
      <c r="AS305" s="8"/>
      <c r="AT305" s="8"/>
      <c r="AU305" s="8"/>
      <c r="AV305" s="8"/>
      <c r="AW305" s="8"/>
      <c r="AX305" s="8"/>
      <c r="AY305" s="8"/>
      <c r="AZ305" s="8"/>
      <c r="BA305" s="8"/>
      <c r="BB305" s="8"/>
      <c r="BC305" s="8"/>
      <c r="BD305" s="8"/>
      <c r="BE305" s="8"/>
      <c r="BF305" s="8"/>
      <c r="BG305" s="8"/>
      <c r="BH305" s="8"/>
      <c r="BI305" s="8"/>
      <c r="BJ305" s="8"/>
      <c r="BK305" s="8"/>
      <c r="BL305" s="8"/>
      <c r="BM305" s="8"/>
      <c r="BN305" s="8"/>
      <c r="BO305" s="8"/>
      <c r="BP305" s="8"/>
      <c r="BQ305" s="8"/>
      <c r="BR305" s="8"/>
      <c r="BS305" s="8"/>
      <c r="BT305" s="8"/>
      <c r="BU305" s="8"/>
      <c r="BV305" s="8"/>
      <c r="BW305" s="8"/>
      <c r="BX305" s="8"/>
      <c r="BY305" s="8"/>
      <c r="BZ305" s="8"/>
    </row>
    <row r="306" spans="1:78" ht="13" customHeight="1" x14ac:dyDescent="0.15">
      <c r="A306" s="8" t="s">
        <v>6189</v>
      </c>
      <c r="B306" s="8" t="s">
        <v>4679</v>
      </c>
      <c r="C306" s="11">
        <v>2020</v>
      </c>
      <c r="D306" s="8" t="s">
        <v>4984</v>
      </c>
      <c r="E306" s="8"/>
      <c r="F306" s="8" t="s">
        <v>4983</v>
      </c>
      <c r="G306" s="8" t="str" cm="1">
        <f t="array" ref="G306">LOWER(CleanCode(F306))</f>
        <v>applyingbourdieuscapitalfieldhabitusframeworktomigrantcareerstakingstockandaddingatransnationalperspective</v>
      </c>
      <c r="H306" s="8"/>
      <c r="I306" s="8"/>
      <c r="J306" s="8" t="s">
        <v>4989</v>
      </c>
      <c r="K306" s="8"/>
      <c r="L306" s="8"/>
      <c r="M306" s="8" t="s">
        <v>4985</v>
      </c>
      <c r="N306" s="8" t="str">
        <f t="shared" si="4"/>
        <v>The International Journal Of Human Resource Management</v>
      </c>
      <c r="O306" s="8" t="str">
        <f>"09585192"</f>
        <v>09585192</v>
      </c>
      <c r="P306" s="8"/>
      <c r="Q306" s="8"/>
      <c r="R306" s="8" t="str">
        <f>"20201101"</f>
        <v>20201101</v>
      </c>
      <c r="S306" s="8">
        <v>31</v>
      </c>
      <c r="T306" s="8">
        <v>20</v>
      </c>
      <c r="U306" s="8">
        <v>2541</v>
      </c>
      <c r="V306" s="8"/>
      <c r="W306" s="8">
        <v>24</v>
      </c>
      <c r="X306" s="8"/>
      <c r="Y306" s="8"/>
      <c r="Z306" s="8"/>
      <c r="AA306" s="8"/>
      <c r="AB306" s="8"/>
      <c r="AC306" s="8"/>
      <c r="AD306" s="8" t="s">
        <v>4986</v>
      </c>
      <c r="AE306" s="8" t="s">
        <v>4987</v>
      </c>
      <c r="AF306" s="8"/>
      <c r="AG306" s="8" t="s">
        <v>4728</v>
      </c>
      <c r="AH306" s="8"/>
      <c r="AI306" s="8"/>
      <c r="AJ306" s="8" t="s">
        <v>4988</v>
      </c>
      <c r="AK306" s="8"/>
      <c r="AL306" s="8" t="s">
        <v>4990</v>
      </c>
      <c r="AM306" s="8"/>
      <c r="AN306" s="8"/>
      <c r="AO306" s="8"/>
      <c r="AP306" s="8"/>
      <c r="AQ306" s="8"/>
      <c r="AR306" s="8"/>
      <c r="AS306" s="8"/>
      <c r="AT306" s="8"/>
      <c r="AU306" s="8"/>
      <c r="AV306" s="8"/>
      <c r="AW306" s="8"/>
      <c r="AX306" s="8"/>
      <c r="AY306" s="8"/>
      <c r="AZ306" s="8"/>
      <c r="BA306" s="8"/>
      <c r="BB306" s="8"/>
      <c r="BC306" s="8"/>
      <c r="BD306" s="8"/>
      <c r="BE306" s="8"/>
      <c r="BF306" s="8"/>
      <c r="BG306" s="8"/>
      <c r="BH306" s="8"/>
      <c r="BI306" s="8"/>
      <c r="BJ306" s="8"/>
      <c r="BK306" s="8"/>
      <c r="BL306" s="8"/>
      <c r="BM306" s="8"/>
      <c r="BN306" s="8"/>
      <c r="BO306" s="8"/>
      <c r="BP306" s="8"/>
      <c r="BQ306" s="8"/>
      <c r="BR306" s="8"/>
      <c r="BS306" s="8"/>
      <c r="BT306" s="8"/>
      <c r="BU306" s="8"/>
      <c r="BV306" s="8"/>
      <c r="BW306" s="8"/>
      <c r="BX306" s="8"/>
      <c r="BY306" s="8"/>
      <c r="BZ306" s="8"/>
    </row>
    <row r="307" spans="1:78" ht="13" customHeight="1" x14ac:dyDescent="0.15">
      <c r="A307" s="8" t="s">
        <v>6189</v>
      </c>
      <c r="B307" s="8" t="s">
        <v>4671</v>
      </c>
      <c r="C307" s="11">
        <v>2011</v>
      </c>
      <c r="D307" s="8" t="s">
        <v>4992</v>
      </c>
      <c r="E307" s="8"/>
      <c r="F307" s="8" t="s">
        <v>4991</v>
      </c>
      <c r="G307" s="8" t="str" cm="1">
        <f t="array" ref="G307">LOWER(CleanCode(F307))</f>
        <v>applyingecodevelopmentaltheoryandthetheoryofreasonedactiontounderstandhivriskbehaviorsamonghispanicadolescents</v>
      </c>
      <c r="H307" s="8"/>
      <c r="I307" s="8"/>
      <c r="J307" s="8" t="s">
        <v>4996</v>
      </c>
      <c r="K307" s="8"/>
      <c r="L307" s="8"/>
      <c r="M307" s="8" t="s">
        <v>4667</v>
      </c>
      <c r="N307" s="8" t="str">
        <f t="shared" si="4"/>
        <v>Dissertation Abstracts International: Section B: The Sciences And Engineering</v>
      </c>
      <c r="O307" s="8" t="str">
        <f>"04194217"</f>
        <v>04194217</v>
      </c>
      <c r="P307" s="8"/>
      <c r="Q307" s="8" t="str">
        <f>"9781124402918"</f>
        <v>9781124402918</v>
      </c>
      <c r="R307" s="8" t="str">
        <f>"20110101"</f>
        <v>20110101</v>
      </c>
      <c r="S307" s="8">
        <v>72</v>
      </c>
      <c r="T307" s="8" t="s">
        <v>4993</v>
      </c>
      <c r="U307" s="8">
        <v>1154</v>
      </c>
      <c r="V307" s="8"/>
      <c r="W307" s="8">
        <v>1</v>
      </c>
      <c r="X307" s="8"/>
      <c r="Y307" s="8"/>
      <c r="Z307" s="8"/>
      <c r="AA307" s="8"/>
      <c r="AB307" s="8"/>
      <c r="AC307" s="8"/>
      <c r="AD307" s="8" t="s">
        <v>4994</v>
      </c>
      <c r="AE307" s="8"/>
      <c r="AF307" s="8"/>
      <c r="AG307" s="8" t="s">
        <v>4670</v>
      </c>
      <c r="AH307" s="8"/>
      <c r="AI307" s="8"/>
      <c r="AJ307" s="8" t="s">
        <v>4995</v>
      </c>
      <c r="AK307" s="8"/>
      <c r="AL307" s="8" t="s">
        <v>4997</v>
      </c>
      <c r="AM307" s="8"/>
      <c r="AN307" s="8"/>
      <c r="AO307" s="8"/>
      <c r="AP307" s="8"/>
      <c r="AQ307" s="8"/>
      <c r="AR307" s="8"/>
      <c r="AS307" s="8"/>
      <c r="AT307" s="8"/>
      <c r="AU307" s="8"/>
      <c r="AV307" s="8"/>
      <c r="AW307" s="8"/>
      <c r="AX307" s="8"/>
      <c r="AY307" s="8"/>
      <c r="AZ307" s="8"/>
      <c r="BA307" s="8"/>
      <c r="BB307" s="8"/>
      <c r="BC307" s="8"/>
      <c r="BD307" s="8"/>
      <c r="BE307" s="8"/>
      <c r="BF307" s="8"/>
      <c r="BG307" s="8"/>
      <c r="BH307" s="8"/>
      <c r="BI307" s="8"/>
      <c r="BJ307" s="8"/>
      <c r="BK307" s="8"/>
      <c r="BL307" s="8"/>
      <c r="BM307" s="8"/>
      <c r="BN307" s="8"/>
      <c r="BO307" s="8"/>
      <c r="BP307" s="8"/>
      <c r="BQ307" s="8"/>
      <c r="BR307" s="8"/>
      <c r="BS307" s="8"/>
      <c r="BT307" s="8"/>
      <c r="BU307" s="8"/>
      <c r="BV307" s="8"/>
      <c r="BW307" s="8"/>
      <c r="BX307" s="8"/>
      <c r="BY307" s="8"/>
      <c r="BZ307" s="8"/>
    </row>
    <row r="308" spans="1:78" ht="13" customHeight="1" x14ac:dyDescent="0.15">
      <c r="A308" s="8" t="s">
        <v>6189</v>
      </c>
      <c r="B308" s="8" t="s">
        <v>4671</v>
      </c>
      <c r="C308" s="11">
        <v>2017</v>
      </c>
      <c r="D308" s="8" t="s">
        <v>4999</v>
      </c>
      <c r="E308" s="8"/>
      <c r="F308" s="8" t="s">
        <v>4998</v>
      </c>
      <c r="G308" s="8" t="str" cm="1">
        <f t="array" ref="G308">LOWER(CleanCode(F308))</f>
        <v>applyingintersectionalityandacculturationtheoriestoexplaindisparitiesinselfratedhealthamongasianandhispanicimmigrantsintheus</v>
      </c>
      <c r="H308" s="8"/>
      <c r="I308" s="8"/>
      <c r="J308" s="8" t="s">
        <v>5003</v>
      </c>
      <c r="K308" s="8"/>
      <c r="L308" s="8"/>
      <c r="M308" s="8" t="s">
        <v>4762</v>
      </c>
      <c r="N308" s="8" t="str">
        <f t="shared" si="4"/>
        <v>Dissertation Abstracts International Section A: Humanities And Social Sciences</v>
      </c>
      <c r="O308" s="8" t="str">
        <f>"04194209"</f>
        <v>04194209</v>
      </c>
      <c r="P308" s="8"/>
      <c r="Q308" s="8" t="str">
        <f>"9781339920115"</f>
        <v>9781339920115</v>
      </c>
      <c r="R308" s="8" t="str">
        <f>"20170101"</f>
        <v>20170101</v>
      </c>
      <c r="S308" s="8">
        <v>77</v>
      </c>
      <c r="T308" s="8" t="s">
        <v>5000</v>
      </c>
      <c r="U308" s="8"/>
      <c r="V308" s="8"/>
      <c r="W308" s="8"/>
      <c r="X308" s="8"/>
      <c r="Y308" s="8"/>
      <c r="Z308" s="8"/>
      <c r="AA308" s="8"/>
      <c r="AB308" s="8"/>
      <c r="AC308" s="8"/>
      <c r="AD308" s="8" t="s">
        <v>5001</v>
      </c>
      <c r="AE308" s="8"/>
      <c r="AF308" s="8"/>
      <c r="AG308" s="8" t="s">
        <v>4670</v>
      </c>
      <c r="AH308" s="8"/>
      <c r="AI308" s="8"/>
      <c r="AJ308" s="8" t="s">
        <v>5002</v>
      </c>
      <c r="AK308" s="8"/>
      <c r="AL308" s="8" t="s">
        <v>5004</v>
      </c>
      <c r="AM308" s="8"/>
      <c r="AN308" s="8"/>
      <c r="AO308" s="8"/>
      <c r="AP308" s="8"/>
      <c r="AQ308" s="8"/>
      <c r="AR308" s="8"/>
      <c r="AS308" s="8"/>
      <c r="AT308" s="8"/>
      <c r="AU308" s="8"/>
      <c r="AV308" s="8"/>
      <c r="AW308" s="8"/>
      <c r="AX308" s="8"/>
      <c r="AY308" s="8"/>
      <c r="AZ308" s="8"/>
      <c r="BA308" s="8"/>
      <c r="BB308" s="8"/>
      <c r="BC308" s="8"/>
      <c r="BD308" s="8"/>
      <c r="BE308" s="8"/>
      <c r="BF308" s="8"/>
      <c r="BG308" s="8"/>
      <c r="BH308" s="8"/>
      <c r="BI308" s="8"/>
      <c r="BJ308" s="8"/>
      <c r="BK308" s="8"/>
      <c r="BL308" s="8"/>
      <c r="BM308" s="8"/>
      <c r="BN308" s="8"/>
      <c r="BO308" s="8"/>
      <c r="BP308" s="8"/>
      <c r="BQ308" s="8"/>
      <c r="BR308" s="8"/>
      <c r="BS308" s="8"/>
      <c r="BT308" s="8"/>
      <c r="BU308" s="8"/>
      <c r="BV308" s="8"/>
      <c r="BW308" s="8"/>
      <c r="BX308" s="8"/>
      <c r="BY308" s="8"/>
      <c r="BZ308" s="8"/>
    </row>
    <row r="309" spans="1:78" ht="13" customHeight="1" x14ac:dyDescent="0.15">
      <c r="A309" s="8" t="s">
        <v>6189</v>
      </c>
      <c r="B309" s="8" t="s">
        <v>4679</v>
      </c>
      <c r="C309" s="11">
        <v>1981</v>
      </c>
      <c r="D309" s="8" t="s">
        <v>5006</v>
      </c>
      <c r="E309" s="8"/>
      <c r="F309" s="8" t="s">
        <v>5005</v>
      </c>
      <c r="G309" s="8" t="str" cm="1">
        <f t="array" ref="G309">LOWER(CleanCode(F309))</f>
        <v>arrivalanddeparturetheoreticalconsiderationsandclinicalobservationsonmigrantsandimmigrants</v>
      </c>
      <c r="H309" s="8"/>
      <c r="I309" s="8"/>
      <c r="J309" s="8" t="s">
        <v>5011</v>
      </c>
      <c r="K309" s="8"/>
      <c r="L309" s="8"/>
      <c r="M309" s="8" t="s">
        <v>5007</v>
      </c>
      <c r="N309" s="8" t="str">
        <f t="shared" si="4"/>
        <v>Psychiatric Journal Of The University Of Ottawa</v>
      </c>
      <c r="O309" s="8" t="str">
        <f>"07028466"</f>
        <v>07028466</v>
      </c>
      <c r="P309" s="8"/>
      <c r="Q309" s="8"/>
      <c r="R309" s="8" t="str">
        <f>"19811201"</f>
        <v>19811201</v>
      </c>
      <c r="S309" s="8">
        <v>6</v>
      </c>
      <c r="T309" s="8">
        <v>4</v>
      </c>
      <c r="U309" s="8">
        <v>234</v>
      </c>
      <c r="V309" s="8"/>
      <c r="W309" s="8">
        <v>5</v>
      </c>
      <c r="X309" s="8"/>
      <c r="Y309" s="8"/>
      <c r="Z309" s="8"/>
      <c r="AA309" s="8"/>
      <c r="AB309" s="8"/>
      <c r="AC309" s="8"/>
      <c r="AD309" s="8" t="s">
        <v>5008</v>
      </c>
      <c r="AE309" s="8"/>
      <c r="AF309" s="8"/>
      <c r="AG309" s="8" t="s">
        <v>5009</v>
      </c>
      <c r="AH309" s="8"/>
      <c r="AI309" s="8"/>
      <c r="AJ309" s="8" t="s">
        <v>5010</v>
      </c>
      <c r="AK309" s="8"/>
      <c r="AL309" s="8" t="s">
        <v>5012</v>
      </c>
      <c r="AM309" s="8"/>
      <c r="AN309" s="8"/>
      <c r="AO309" s="8"/>
      <c r="AP309" s="8"/>
      <c r="AQ309" s="8"/>
      <c r="AR309" s="8"/>
      <c r="AS309" s="8"/>
      <c r="AT309" s="8"/>
      <c r="AU309" s="8"/>
      <c r="AV309" s="8"/>
      <c r="AW309" s="8"/>
      <c r="AX309" s="8"/>
      <c r="AY309" s="8"/>
      <c r="AZ309" s="8"/>
      <c r="BA309" s="8"/>
      <c r="BB309" s="8"/>
      <c r="BC309" s="8"/>
      <c r="BD309" s="8"/>
      <c r="BE309" s="8"/>
      <c r="BF309" s="8"/>
      <c r="BG309" s="8"/>
      <c r="BH309" s="8"/>
      <c r="BI309" s="8"/>
      <c r="BJ309" s="8"/>
      <c r="BK309" s="8"/>
      <c r="BL309" s="8"/>
      <c r="BM309" s="8"/>
      <c r="BN309" s="8"/>
      <c r="BO309" s="8"/>
      <c r="BP309" s="8"/>
      <c r="BQ309" s="8"/>
      <c r="BR309" s="8"/>
      <c r="BS309" s="8"/>
      <c r="BT309" s="8"/>
      <c r="BU309" s="8"/>
      <c r="BV309" s="8"/>
      <c r="BW309" s="8"/>
      <c r="BX309" s="8"/>
      <c r="BY309" s="8"/>
      <c r="BZ309" s="8"/>
    </row>
    <row r="310" spans="1:78" ht="13" customHeight="1" x14ac:dyDescent="0.15">
      <c r="A310" s="8" t="s">
        <v>6189</v>
      </c>
      <c r="B310" s="8" t="s">
        <v>4679</v>
      </c>
      <c r="C310" s="11">
        <v>2017</v>
      </c>
      <c r="D310" s="8" t="s">
        <v>2128</v>
      </c>
      <c r="E310" s="8"/>
      <c r="F310" s="8" t="s">
        <v>5013</v>
      </c>
      <c r="G310" s="8" t="str" cm="1">
        <f t="array" ref="G310">LOWER(CleanCode(F310))</f>
        <v>asiannorthamericansleisureacriticalexaminationofthetheoreticalframeworksusedinresearchandsuggestionsforfuturestudy</v>
      </c>
      <c r="H310" s="8"/>
      <c r="I310" s="8"/>
      <c r="J310" s="8" t="s">
        <v>5017</v>
      </c>
      <c r="K310" s="8"/>
      <c r="L310" s="8"/>
      <c r="M310" s="8" t="s">
        <v>5014</v>
      </c>
      <c r="N310" s="8" t="str">
        <f t="shared" si="4"/>
        <v>Leisure Sciences</v>
      </c>
      <c r="O310" s="8" t="str">
        <f>"01490400"</f>
        <v>01490400</v>
      </c>
      <c r="P310" s="8"/>
      <c r="Q310" s="8"/>
      <c r="R310" s="8" t="str">
        <f>"20171101"</f>
        <v>20171101</v>
      </c>
      <c r="S310" s="8">
        <v>39</v>
      </c>
      <c r="T310" s="8">
        <v>6</v>
      </c>
      <c r="U310" s="8">
        <v>524</v>
      </c>
      <c r="V310" s="8"/>
      <c r="W310" s="8">
        <v>19</v>
      </c>
      <c r="X310" s="8"/>
      <c r="Y310" s="8"/>
      <c r="Z310" s="8"/>
      <c r="AA310" s="8"/>
      <c r="AB310" s="8"/>
      <c r="AC310" s="8"/>
      <c r="AD310" s="8" t="s">
        <v>5015</v>
      </c>
      <c r="AE310" s="8" t="s">
        <v>2142</v>
      </c>
      <c r="AF310" s="8"/>
      <c r="AG310" s="8" t="s">
        <v>4728</v>
      </c>
      <c r="AH310" s="8"/>
      <c r="AI310" s="8"/>
      <c r="AJ310" s="8" t="s">
        <v>5016</v>
      </c>
      <c r="AK310" s="8"/>
      <c r="AL310" s="8" t="s">
        <v>5018</v>
      </c>
      <c r="AM310" s="8"/>
      <c r="AN310" s="8"/>
      <c r="AO310" s="8"/>
      <c r="AP310" s="8"/>
      <c r="AQ310" s="8"/>
      <c r="AR310" s="8"/>
      <c r="AS310" s="8"/>
      <c r="AT310" s="8"/>
      <c r="AU310" s="8"/>
      <c r="AV310" s="8"/>
      <c r="AW310" s="8"/>
      <c r="AX310" s="8"/>
      <c r="AY310" s="8"/>
      <c r="AZ310" s="8"/>
      <c r="BA310" s="8"/>
      <c r="BB310" s="8"/>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row>
    <row r="311" spans="1:78" ht="13" customHeight="1" x14ac:dyDescent="0.15">
      <c r="A311" s="8" t="s">
        <v>6189</v>
      </c>
      <c r="B311" s="8" t="s">
        <v>4679</v>
      </c>
      <c r="C311" s="11">
        <v>2005</v>
      </c>
      <c r="D311" s="8" t="s">
        <v>5020</v>
      </c>
      <c r="E311" s="8"/>
      <c r="F311" s="8" t="s">
        <v>5019</v>
      </c>
      <c r="G311" s="8" t="str" cm="1">
        <f t="array" ref="G311">LOWER(CleanCode(F311))</f>
        <v>assessingimmigrantassimilationnewempiricalandtheoreticalchallenges</v>
      </c>
      <c r="H311" s="8"/>
      <c r="I311" s="8"/>
      <c r="J311" s="8" t="s">
        <v>5024</v>
      </c>
      <c r="K311" s="8"/>
      <c r="L311" s="8"/>
      <c r="M311" s="8" t="s">
        <v>4053</v>
      </c>
      <c r="N311" s="8" t="str">
        <f t="shared" si="4"/>
        <v>Annual Review Of Sociology</v>
      </c>
      <c r="O311" s="8" t="str">
        <f>"03600572"</f>
        <v>03600572</v>
      </c>
      <c r="P311" s="8"/>
      <c r="Q311" s="8"/>
      <c r="R311" s="8" t="str">
        <f>"20050101"</f>
        <v>20050101</v>
      </c>
      <c r="S311" s="8">
        <v>31</v>
      </c>
      <c r="T311" s="8"/>
      <c r="U311" s="8">
        <v>105</v>
      </c>
      <c r="V311" s="8"/>
      <c r="W311" s="8">
        <v>21</v>
      </c>
      <c r="X311" s="8"/>
      <c r="Y311" s="8"/>
      <c r="Z311" s="8"/>
      <c r="AA311" s="8"/>
      <c r="AB311" s="8"/>
      <c r="AC311" s="8"/>
      <c r="AD311" s="8" t="s">
        <v>5021</v>
      </c>
      <c r="AE311" s="8" t="s">
        <v>4069</v>
      </c>
      <c r="AF311" s="8"/>
      <c r="AG311" s="8" t="s">
        <v>5022</v>
      </c>
      <c r="AH311" s="8"/>
      <c r="AI311" s="8"/>
      <c r="AJ311" s="8" t="s">
        <v>5023</v>
      </c>
      <c r="AK311" s="8"/>
      <c r="AL311" s="8" t="s">
        <v>5025</v>
      </c>
      <c r="AM311" s="8"/>
      <c r="AN311" s="8"/>
      <c r="AO311" s="8"/>
      <c r="AP311" s="8"/>
      <c r="AQ311" s="8"/>
      <c r="AR311" s="8"/>
      <c r="AS311" s="8"/>
      <c r="AT311" s="8"/>
      <c r="AU311" s="8"/>
      <c r="AV311" s="8"/>
      <c r="AW311" s="8"/>
      <c r="AX311" s="8"/>
      <c r="AY311" s="8"/>
      <c r="AZ311" s="8"/>
      <c r="BA311" s="8"/>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row>
    <row r="312" spans="1:78" ht="13" customHeight="1" x14ac:dyDescent="0.15">
      <c r="A312" s="8" t="s">
        <v>6189</v>
      </c>
      <c r="B312" s="8" t="s">
        <v>4773</v>
      </c>
      <c r="C312" s="11">
        <v>2006</v>
      </c>
      <c r="D312" s="8" t="s">
        <v>5027</v>
      </c>
      <c r="E312" s="8"/>
      <c r="F312" s="8" t="s">
        <v>5026</v>
      </c>
      <c r="G312" s="8" t="str" cm="1">
        <f t="array" ref="G312">LOWER(CleanCode(F312))</f>
        <v>assimilationortransnationalismconceptualmodelsoftheimmigrantexperienceinamerica</v>
      </c>
      <c r="H312" s="8"/>
      <c r="I312" s="8"/>
      <c r="J312" s="8" t="s">
        <v>5032</v>
      </c>
      <c r="K312" s="8"/>
      <c r="L312" s="8"/>
      <c r="M312" s="8" t="s">
        <v>5028</v>
      </c>
      <c r="N312" s="8" t="str">
        <f t="shared" si="4"/>
        <v>Cultural Psychology Of Immigrants.</v>
      </c>
      <c r="O312" s="8"/>
      <c r="P312" s="8"/>
      <c r="Q312" s="8" t="str">
        <f>"0805853154; 9780805853155; 0805853146"</f>
        <v>0805853154; 9780805853155; 0805853146</v>
      </c>
      <c r="R312" s="8" t="str">
        <f>"20060101"</f>
        <v>20060101</v>
      </c>
      <c r="S312" s="8"/>
      <c r="T312" s="8"/>
      <c r="U312" s="8">
        <v>33</v>
      </c>
      <c r="V312" s="8"/>
      <c r="W312" s="8">
        <v>22</v>
      </c>
      <c r="X312" s="8"/>
      <c r="Y312" s="8"/>
      <c r="Z312" s="8"/>
      <c r="AA312" s="8"/>
      <c r="AB312" s="8"/>
      <c r="AC312" s="8"/>
      <c r="AD312" s="8" t="s">
        <v>5029</v>
      </c>
      <c r="AE312" s="8"/>
      <c r="AF312" s="8"/>
      <c r="AG312" s="8" t="s">
        <v>5030</v>
      </c>
      <c r="AH312" s="8"/>
      <c r="AI312" s="8"/>
      <c r="AJ312" s="8" t="s">
        <v>5031</v>
      </c>
      <c r="AK312" s="8"/>
      <c r="AL312" s="8" t="s">
        <v>5033</v>
      </c>
      <c r="AM312" s="8"/>
      <c r="AN312" s="8"/>
      <c r="AO312" s="8"/>
      <c r="AP312" s="8"/>
      <c r="AQ312" s="8"/>
      <c r="AR312" s="8"/>
      <c r="AS312" s="8"/>
      <c r="AT312" s="8"/>
      <c r="AU312" s="8"/>
      <c r="AV312" s="8"/>
      <c r="AW312" s="8"/>
      <c r="AX312" s="8"/>
      <c r="AY312" s="8"/>
      <c r="AZ312" s="8"/>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row>
    <row r="313" spans="1:78" ht="13" customHeight="1" x14ac:dyDescent="0.15">
      <c r="A313" s="8" t="s">
        <v>6189</v>
      </c>
      <c r="B313" s="8" t="s">
        <v>4679</v>
      </c>
      <c r="C313" s="11">
        <v>2020</v>
      </c>
      <c r="D313" s="8" t="s">
        <v>561</v>
      </c>
      <c r="E313" s="8"/>
      <c r="F313" s="8" t="s">
        <v>5034</v>
      </c>
      <c r="G313" s="8" t="str" cm="1">
        <f t="array" ref="G313">LOWER(CleanCode(F313))</f>
        <v>attachmentfacilitatesacculturativelearningandadversitymoderatesvalidatingthetheoryofepistemictrustinanaturalexperiment</v>
      </c>
      <c r="H313" s="8"/>
      <c r="I313" s="8"/>
      <c r="J313" s="8" t="s">
        <v>5038</v>
      </c>
      <c r="K313" s="8"/>
      <c r="L313" s="8"/>
      <c r="M313" s="8" t="s">
        <v>5035</v>
      </c>
      <c r="N313" s="8" t="str">
        <f t="shared" si="4"/>
        <v>Child Psychiatry And Human Development</v>
      </c>
      <c r="O313" s="8" t="str">
        <f>"0009398X"</f>
        <v>0009398X</v>
      </c>
      <c r="P313" s="8"/>
      <c r="Q313" s="8"/>
      <c r="R313" s="8" t="str">
        <f>"20200601"</f>
        <v>20200601</v>
      </c>
      <c r="S313" s="8">
        <v>51</v>
      </c>
      <c r="T313" s="8">
        <v>3</v>
      </c>
      <c r="U313" s="8">
        <v>471</v>
      </c>
      <c r="V313" s="8"/>
      <c r="W313" s="8">
        <v>7</v>
      </c>
      <c r="X313" s="8"/>
      <c r="Y313" s="8"/>
      <c r="Z313" s="8"/>
      <c r="AA313" s="8"/>
      <c r="AB313" s="8"/>
      <c r="AC313" s="8"/>
      <c r="AD313" s="8" t="s">
        <v>5036</v>
      </c>
      <c r="AE313" s="8" t="s">
        <v>580</v>
      </c>
      <c r="AF313" s="8"/>
      <c r="AG313" s="8" t="s">
        <v>4696</v>
      </c>
      <c r="AH313" s="8"/>
      <c r="AI313" s="8"/>
      <c r="AJ313" s="8" t="s">
        <v>5037</v>
      </c>
      <c r="AK313" s="8"/>
      <c r="AL313" s="8" t="s">
        <v>5039</v>
      </c>
      <c r="AM313" s="8"/>
      <c r="AN313" s="8"/>
      <c r="AO313" s="8"/>
      <c r="AP313" s="8"/>
      <c r="AQ313" s="8"/>
      <c r="AR313" s="8"/>
      <c r="AS313" s="8"/>
      <c r="AT313" s="8"/>
      <c r="AU313" s="8"/>
      <c r="AV313" s="8"/>
      <c r="AW313" s="8"/>
      <c r="AX313" s="8"/>
      <c r="AY313" s="8"/>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row>
    <row r="314" spans="1:78" ht="13" customHeight="1" x14ac:dyDescent="0.15">
      <c r="A314" s="8" t="s">
        <v>6189</v>
      </c>
      <c r="B314" s="8" t="s">
        <v>4671</v>
      </c>
      <c r="C314" s="11">
        <v>2012</v>
      </c>
      <c r="D314" s="8" t="s">
        <v>5041</v>
      </c>
      <c r="E314" s="8"/>
      <c r="F314" s="8" t="s">
        <v>5040</v>
      </c>
      <c r="G314" s="8" t="str" cm="1">
        <f t="array" ref="G314">LOWER(CleanCode(F314))</f>
        <v>avatarsinavirtualdiasporadevelopingatheoryofculturaltiesandidentityinsecondlife</v>
      </c>
      <c r="H314" s="8"/>
      <c r="I314" s="8"/>
      <c r="J314" s="8" t="s">
        <v>5045</v>
      </c>
      <c r="K314" s="8"/>
      <c r="L314" s="8"/>
      <c r="M314" s="8" t="s">
        <v>4762</v>
      </c>
      <c r="N314" s="8" t="str">
        <f t="shared" si="4"/>
        <v>Dissertation Abstracts International Section A: Humanities And Social Sciences</v>
      </c>
      <c r="O314" s="8" t="str">
        <f>"04194209"</f>
        <v>04194209</v>
      </c>
      <c r="P314" s="8"/>
      <c r="Q314" s="8" t="str">
        <f>"9781124689067"</f>
        <v>9781124689067</v>
      </c>
      <c r="R314" s="8" t="str">
        <f>"20120101"</f>
        <v>20120101</v>
      </c>
      <c r="S314" s="8">
        <v>72</v>
      </c>
      <c r="T314" s="8" t="s">
        <v>5042</v>
      </c>
      <c r="U314" s="8">
        <v>2627</v>
      </c>
      <c r="V314" s="8"/>
      <c r="W314" s="8">
        <v>1</v>
      </c>
      <c r="X314" s="8"/>
      <c r="Y314" s="8"/>
      <c r="Z314" s="8"/>
      <c r="AA314" s="8"/>
      <c r="AB314" s="8"/>
      <c r="AC314" s="8"/>
      <c r="AD314" s="8" t="s">
        <v>5043</v>
      </c>
      <c r="AE314" s="8"/>
      <c r="AF314" s="8"/>
      <c r="AG314" s="8" t="s">
        <v>4670</v>
      </c>
      <c r="AH314" s="8"/>
      <c r="AI314" s="8"/>
      <c r="AJ314" s="8" t="s">
        <v>5044</v>
      </c>
      <c r="AK314" s="8"/>
      <c r="AL314" s="8" t="s">
        <v>5046</v>
      </c>
      <c r="AM314" s="8"/>
      <c r="AN314" s="8"/>
      <c r="AO314" s="8"/>
      <c r="AP314" s="8"/>
      <c r="AQ314" s="8"/>
      <c r="AR314" s="8"/>
      <c r="AS314" s="8"/>
      <c r="AT314" s="8"/>
      <c r="AU314" s="8"/>
      <c r="AV314" s="8"/>
      <c r="AW314" s="8"/>
      <c r="AX314" s="8"/>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row>
    <row r="315" spans="1:78" ht="13" customHeight="1" x14ac:dyDescent="0.15">
      <c r="A315" s="8" t="s">
        <v>6189</v>
      </c>
      <c r="B315" s="8" t="s">
        <v>4679</v>
      </c>
      <c r="C315" s="11">
        <v>2012</v>
      </c>
      <c r="D315" s="8" t="s">
        <v>3209</v>
      </c>
      <c r="E315" s="8"/>
      <c r="F315" s="8" t="s">
        <v>5047</v>
      </c>
      <c r="G315" s="8" t="str" cm="1">
        <f t="array" ref="G315">LOWER(CleanCode(F315))</f>
        <v>backtoandbeyondberrysbasicstheconceptualizationoperationalizationandclassificationofacculturation</v>
      </c>
      <c r="H315" s="8"/>
      <c r="I315" s="8"/>
      <c r="J315" s="8" t="s">
        <v>5050</v>
      </c>
      <c r="K315" s="8"/>
      <c r="L315" s="8"/>
      <c r="M315" s="8" t="s">
        <v>4733</v>
      </c>
      <c r="N315" s="8" t="str">
        <f t="shared" si="4"/>
        <v>International Journal Of Intercultural Relations</v>
      </c>
      <c r="O315" s="8" t="str">
        <f>"01471767"</f>
        <v>01471767</v>
      </c>
      <c r="P315" s="8"/>
      <c r="Q315" s="8"/>
      <c r="R315" s="8" t="str">
        <f>"20120701"</f>
        <v>20120701</v>
      </c>
      <c r="S315" s="8">
        <v>36</v>
      </c>
      <c r="T315" s="8">
        <v>4</v>
      </c>
      <c r="U315" s="8">
        <v>472</v>
      </c>
      <c r="V315" s="8"/>
      <c r="W315" s="8">
        <v>14</v>
      </c>
      <c r="X315" s="8"/>
      <c r="Y315" s="8"/>
      <c r="Z315" s="8"/>
      <c r="AA315" s="8"/>
      <c r="AB315" s="8"/>
      <c r="AC315" s="8"/>
      <c r="AD315" s="8" t="s">
        <v>5048</v>
      </c>
      <c r="AE315" s="8" t="s">
        <v>3218</v>
      </c>
      <c r="AF315" s="8"/>
      <c r="AG315" s="8" t="s">
        <v>4735</v>
      </c>
      <c r="AH315" s="8"/>
      <c r="AI315" s="8"/>
      <c r="AJ315" s="8" t="s">
        <v>5049</v>
      </c>
      <c r="AK315" s="8"/>
      <c r="AL315" s="8" t="s">
        <v>5051</v>
      </c>
      <c r="AM315" s="8"/>
      <c r="AN315" s="8"/>
      <c r="AO315" s="8"/>
      <c r="AP315" s="8"/>
      <c r="AQ315" s="8"/>
      <c r="AR315" s="8"/>
      <c r="AS315" s="8"/>
      <c r="AT315" s="8"/>
      <c r="AU315" s="8"/>
      <c r="AV315" s="8"/>
      <c r="AW315" s="8"/>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row>
    <row r="316" spans="1:78" ht="13" customHeight="1" x14ac:dyDescent="0.15">
      <c r="A316" s="8" t="s">
        <v>6189</v>
      </c>
      <c r="B316" s="8" t="s">
        <v>4671</v>
      </c>
      <c r="C316" s="11">
        <v>2016</v>
      </c>
      <c r="D316" s="8" t="s">
        <v>5053</v>
      </c>
      <c r="E316" s="8"/>
      <c r="F316" s="8" t="s">
        <v>5052</v>
      </c>
      <c r="G316" s="8" t="str" cm="1">
        <f t="array" ref="G316">LOWER(CleanCode(F316))</f>
        <v>beingandbecomingagroundedtheorystudyoftheracialandethnicsocializationprocessesoffifteenhaitianimmigrantslivingintheunitedstates</v>
      </c>
      <c r="H316" s="8"/>
      <c r="I316" s="8"/>
      <c r="J316" s="8" t="s">
        <v>5057</v>
      </c>
      <c r="K316" s="8"/>
      <c r="L316" s="8"/>
      <c r="M316" s="8" t="s">
        <v>4667</v>
      </c>
      <c r="N316" s="8" t="str">
        <f t="shared" si="4"/>
        <v>Dissertation Abstracts International: Section B: The Sciences And Engineering</v>
      </c>
      <c r="O316" s="8" t="str">
        <f>"04194217"</f>
        <v>04194217</v>
      </c>
      <c r="P316" s="8"/>
      <c r="Q316" s="8" t="str">
        <f>"9781339423494"</f>
        <v>9781339423494</v>
      </c>
      <c r="R316" s="8" t="str">
        <f>"20160101"</f>
        <v>20160101</v>
      </c>
      <c r="S316" s="8">
        <v>77</v>
      </c>
      <c r="T316" s="8" t="s">
        <v>5054</v>
      </c>
      <c r="U316" s="8"/>
      <c r="V316" s="8"/>
      <c r="W316" s="8"/>
      <c r="X316" s="8"/>
      <c r="Y316" s="8"/>
      <c r="Z316" s="8"/>
      <c r="AA316" s="8"/>
      <c r="AB316" s="8"/>
      <c r="AC316" s="8"/>
      <c r="AD316" s="8" t="s">
        <v>5055</v>
      </c>
      <c r="AE316" s="8"/>
      <c r="AF316" s="8"/>
      <c r="AG316" s="8" t="s">
        <v>4670</v>
      </c>
      <c r="AH316" s="8"/>
      <c r="AI316" s="8"/>
      <c r="AJ316" s="8" t="s">
        <v>5056</v>
      </c>
      <c r="AK316" s="8"/>
      <c r="AL316" s="8" t="s">
        <v>5058</v>
      </c>
      <c r="AM316" s="8"/>
      <c r="AN316" s="8"/>
      <c r="AO316" s="8"/>
      <c r="AP316" s="8"/>
      <c r="AQ316" s="8"/>
      <c r="AR316" s="8"/>
      <c r="AS316" s="8"/>
      <c r="AT316" s="8"/>
      <c r="AU316" s="8"/>
      <c r="AV316" s="8"/>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row>
    <row r="317" spans="1:78" ht="13" customHeight="1" x14ac:dyDescent="0.15">
      <c r="A317" s="8" t="s">
        <v>6189</v>
      </c>
      <c r="B317" s="8" t="s">
        <v>4773</v>
      </c>
      <c r="C317" s="11">
        <v>1994</v>
      </c>
      <c r="D317" s="8" t="s">
        <v>5060</v>
      </c>
      <c r="E317" s="8"/>
      <c r="F317" s="8" t="s">
        <v>5059</v>
      </c>
      <c r="G317" s="8" t="str" cm="1">
        <f t="array" ref="G317">LOWER(CleanCode(F317))</f>
        <v>biculturaldevelopmentatheoreticalandempiricalexamination</v>
      </c>
      <c r="H317" s="8"/>
      <c r="I317" s="8"/>
      <c r="J317" s="8" t="s">
        <v>5065</v>
      </c>
      <c r="K317" s="8"/>
      <c r="L317" s="8"/>
      <c r="M317" s="8" t="s">
        <v>5061</v>
      </c>
      <c r="N317" s="8" t="str">
        <f t="shared" si="4"/>
        <v>Theoretical And Conceptual Issues In Hispanic Mental Health.</v>
      </c>
      <c r="O317" s="8"/>
      <c r="P317" s="8"/>
      <c r="Q317" s="8" t="str">
        <f>"089464839X"</f>
        <v>089464839X</v>
      </c>
      <c r="R317" s="8" t="str">
        <f>"19940101"</f>
        <v>19940101</v>
      </c>
      <c r="S317" s="8"/>
      <c r="T317" s="8"/>
      <c r="U317" s="8">
        <v>20</v>
      </c>
      <c r="V317" s="8"/>
      <c r="W317" s="8">
        <v>32</v>
      </c>
      <c r="X317" s="8"/>
      <c r="Y317" s="8"/>
      <c r="Z317" s="8"/>
      <c r="AA317" s="8"/>
      <c r="AB317" s="8"/>
      <c r="AC317" s="8"/>
      <c r="AD317" s="8" t="s">
        <v>5062</v>
      </c>
      <c r="AE317" s="8"/>
      <c r="AF317" s="8"/>
      <c r="AG317" s="8" t="s">
        <v>5063</v>
      </c>
      <c r="AH317" s="8"/>
      <c r="AI317" s="8"/>
      <c r="AJ317" s="8" t="s">
        <v>5064</v>
      </c>
      <c r="AK317" s="8"/>
      <c r="AL317" s="8" t="s">
        <v>5066</v>
      </c>
      <c r="AM317" s="8"/>
      <c r="AN317" s="8"/>
      <c r="AO317" s="8"/>
      <c r="AP317" s="8"/>
      <c r="AQ317" s="8"/>
      <c r="AR317" s="8"/>
      <c r="AS317" s="8"/>
      <c r="AT317" s="8"/>
      <c r="AU317" s="8"/>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row>
    <row r="318" spans="1:78" ht="13" customHeight="1" x14ac:dyDescent="0.15">
      <c r="A318" s="8" t="s">
        <v>6189</v>
      </c>
      <c r="B318" s="8" t="s">
        <v>4671</v>
      </c>
      <c r="C318" s="11">
        <v>2011</v>
      </c>
      <c r="D318" s="8" t="s">
        <v>5068</v>
      </c>
      <c r="E318" s="8"/>
      <c r="F318" s="8" t="s">
        <v>5067</v>
      </c>
      <c r="G318" s="8" t="str" cm="1">
        <f t="array" ref="G318">LOWER(CleanCode(F318))</f>
        <v>bilingualismandeducationalexpectationscollegeaccessandsuccessofyouthfromimmigrantfamiliesatestofsegmentedassimilationtheory</v>
      </c>
      <c r="H318" s="8"/>
      <c r="I318" s="8"/>
      <c r="J318" s="8" t="s">
        <v>5072</v>
      </c>
      <c r="K318" s="8"/>
      <c r="L318" s="8"/>
      <c r="M318" s="8" t="s">
        <v>4762</v>
      </c>
      <c r="N318" s="8" t="str">
        <f t="shared" si="4"/>
        <v>Dissertation Abstracts International Section A: Humanities And Social Sciences</v>
      </c>
      <c r="O318" s="8" t="str">
        <f>"04194209"</f>
        <v>04194209</v>
      </c>
      <c r="P318" s="8"/>
      <c r="Q318" s="8" t="str">
        <f>"9781124490182"</f>
        <v>9781124490182</v>
      </c>
      <c r="R318" s="8" t="str">
        <f>"20110101"</f>
        <v>20110101</v>
      </c>
      <c r="S318" s="8">
        <v>72</v>
      </c>
      <c r="T318" s="8" t="s">
        <v>5069</v>
      </c>
      <c r="U318" s="8">
        <v>1445</v>
      </c>
      <c r="V318" s="8"/>
      <c r="W318" s="8">
        <v>1</v>
      </c>
      <c r="X318" s="8"/>
      <c r="Y318" s="8"/>
      <c r="Z318" s="8"/>
      <c r="AA318" s="8"/>
      <c r="AB318" s="8"/>
      <c r="AC318" s="8"/>
      <c r="AD318" s="8" t="s">
        <v>5070</v>
      </c>
      <c r="AE318" s="8"/>
      <c r="AF318" s="8"/>
      <c r="AG318" s="8" t="s">
        <v>4670</v>
      </c>
      <c r="AH318" s="8"/>
      <c r="AI318" s="8"/>
      <c r="AJ318" s="8" t="s">
        <v>5071</v>
      </c>
      <c r="AK318" s="8"/>
      <c r="AL318" s="8" t="s">
        <v>5073</v>
      </c>
      <c r="AM318" s="8"/>
      <c r="AN318" s="8"/>
      <c r="AO318" s="8"/>
      <c r="AP318" s="8"/>
      <c r="AQ318" s="8"/>
      <c r="AR318" s="8"/>
      <c r="AS318" s="8"/>
      <c r="AT318" s="8"/>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row>
    <row r="319" spans="1:78" ht="13" customHeight="1" x14ac:dyDescent="0.15">
      <c r="A319" s="8" t="s">
        <v>6189</v>
      </c>
      <c r="B319" s="8" t="s">
        <v>4671</v>
      </c>
      <c r="C319" s="11">
        <v>2018</v>
      </c>
      <c r="D319" s="8" t="s">
        <v>5075</v>
      </c>
      <c r="E319" s="8"/>
      <c r="F319" s="8" t="s">
        <v>5074</v>
      </c>
      <c r="G319" s="8" t="str" cm="1">
        <f t="array" ref="G319">LOWER(CleanCode(F319))</f>
        <v>breakingthesilenceextendingtheorytoaddresstheunderutilizationofmentalhealthservicesamongchineseimmigrantsintheunitedstates</v>
      </c>
      <c r="H319" s="8"/>
      <c r="I319" s="8"/>
      <c r="J319" s="8" t="s">
        <v>5078</v>
      </c>
      <c r="K319" s="8"/>
      <c r="L319" s="8"/>
      <c r="M319" s="8" t="s">
        <v>4762</v>
      </c>
      <c r="N319" s="8" t="str">
        <f t="shared" si="4"/>
        <v>Dissertation Abstracts International Section A: Humanities And Social Sciences</v>
      </c>
      <c r="O319" s="8" t="str">
        <f>"04194209"</f>
        <v>04194209</v>
      </c>
      <c r="P319" s="8"/>
      <c r="Q319" s="8" t="str">
        <f>"9780438112438"</f>
        <v>9780438112438</v>
      </c>
      <c r="R319" s="8" t="str">
        <f>"20180101"</f>
        <v>20180101</v>
      </c>
      <c r="S319" s="8">
        <v>79</v>
      </c>
      <c r="T319" s="8" t="s">
        <v>5000</v>
      </c>
      <c r="U319" s="8"/>
      <c r="V319" s="8"/>
      <c r="W319" s="8"/>
      <c r="X319" s="8"/>
      <c r="Y319" s="8"/>
      <c r="Z319" s="8"/>
      <c r="AA319" s="8"/>
      <c r="AB319" s="8"/>
      <c r="AC319" s="8"/>
      <c r="AD319" s="8" t="s">
        <v>5076</v>
      </c>
      <c r="AE319" s="8"/>
      <c r="AF319" s="8"/>
      <c r="AG319" s="8" t="s">
        <v>4670</v>
      </c>
      <c r="AH319" s="8"/>
      <c r="AI319" s="8"/>
      <c r="AJ319" s="8" t="s">
        <v>5077</v>
      </c>
      <c r="AK319" s="8"/>
      <c r="AL319" s="8" t="s">
        <v>5079</v>
      </c>
      <c r="AM319" s="8"/>
      <c r="AN319" s="8"/>
      <c r="AO319" s="8"/>
      <c r="AP319" s="8"/>
      <c r="AQ319" s="8"/>
      <c r="AR319" s="8"/>
      <c r="AS319" s="8"/>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row>
    <row r="320" spans="1:78" ht="13" customHeight="1" x14ac:dyDescent="0.15">
      <c r="A320" s="8" t="s">
        <v>6189</v>
      </c>
      <c r="B320" s="8" t="s">
        <v>4679</v>
      </c>
      <c r="C320" s="11">
        <v>2019</v>
      </c>
      <c r="D320" s="8" t="s">
        <v>5081</v>
      </c>
      <c r="E320" s="8"/>
      <c r="F320" s="8" t="s">
        <v>5080</v>
      </c>
      <c r="G320" s="8" t="str" cm="1">
        <f t="array" ref="G320">LOWER(CleanCode(F320))</f>
        <v>bridginggroupdividesatheoreticaloverviewofthewhatandhowofgatewaygroups</v>
      </c>
      <c r="H320" s="8"/>
      <c r="I320" s="8"/>
      <c r="J320" s="8" t="s">
        <v>5086</v>
      </c>
      <c r="K320" s="8"/>
      <c r="L320" s="8"/>
      <c r="M320" s="8" t="s">
        <v>5082</v>
      </c>
      <c r="N320" s="8" t="str">
        <f t="shared" si="4"/>
        <v>Journal Of Social Issues</v>
      </c>
      <c r="O320" s="8" t="str">
        <f>"00224537"</f>
        <v>00224537</v>
      </c>
      <c r="P320" s="8"/>
      <c r="Q320" s="8"/>
      <c r="R320" s="8" t="str">
        <f>"20190601"</f>
        <v>20190601</v>
      </c>
      <c r="S320" s="8">
        <v>75</v>
      </c>
      <c r="T320" s="8">
        <v>2</v>
      </c>
      <c r="U320" s="8">
        <v>414</v>
      </c>
      <c r="V320" s="8"/>
      <c r="W320" s="8">
        <v>22</v>
      </c>
      <c r="X320" s="8"/>
      <c r="Y320" s="8"/>
      <c r="Z320" s="8"/>
      <c r="AA320" s="8"/>
      <c r="AB320" s="8"/>
      <c r="AC320" s="8"/>
      <c r="AD320" s="8" t="s">
        <v>5083</v>
      </c>
      <c r="AE320" s="8" t="s">
        <v>5084</v>
      </c>
      <c r="AF320" s="8"/>
      <c r="AG320" s="8" t="s">
        <v>4883</v>
      </c>
      <c r="AH320" s="8"/>
      <c r="AI320" s="8"/>
      <c r="AJ320" s="8" t="s">
        <v>5085</v>
      </c>
      <c r="AK320" s="8"/>
      <c r="AL320" s="8" t="s">
        <v>5087</v>
      </c>
      <c r="AM320" s="8"/>
      <c r="AN320" s="8"/>
      <c r="AO320" s="8"/>
      <c r="AP320" s="8"/>
      <c r="AQ320" s="8"/>
      <c r="AR320" s="8"/>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row>
    <row r="321" spans="1:78" ht="13" customHeight="1" x14ac:dyDescent="0.15">
      <c r="A321" s="8" t="s">
        <v>6189</v>
      </c>
      <c r="B321" s="8" t="s">
        <v>4679</v>
      </c>
      <c r="C321" s="11">
        <v>2011</v>
      </c>
      <c r="D321" s="8" t="s">
        <v>3360</v>
      </c>
      <c r="E321" s="8"/>
      <c r="F321" s="8" t="s">
        <v>5088</v>
      </c>
      <c r="G321" s="8" t="str" cm="1">
        <f t="array" ref="G321">LOWER(CleanCode(F321))</f>
        <v>bringingtogetheracculturationtheoryandintergroupcontacttheorypredictorsofflemingsexpectationsofturksacculturationbehavior</v>
      </c>
      <c r="H321" s="8"/>
      <c r="I321" s="8"/>
      <c r="J321" s="8" t="s">
        <v>5091</v>
      </c>
      <c r="K321" s="8"/>
      <c r="L321" s="8"/>
      <c r="M321" s="8" t="s">
        <v>4733</v>
      </c>
      <c r="N321" s="8" t="str">
        <f t="shared" si="4"/>
        <v>International Journal Of Intercultural Relations</v>
      </c>
      <c r="O321" s="8" t="str">
        <f>"01471767"</f>
        <v>01471767</v>
      </c>
      <c r="P321" s="8"/>
      <c r="Q321" s="8"/>
      <c r="R321" s="8" t="str">
        <f>"20110501"</f>
        <v>20110501</v>
      </c>
      <c r="S321" s="8">
        <v>35</v>
      </c>
      <c r="T321" s="8">
        <v>3</v>
      </c>
      <c r="U321" s="8">
        <v>334</v>
      </c>
      <c r="V321" s="8"/>
      <c r="W321" s="8">
        <v>12</v>
      </c>
      <c r="X321" s="8"/>
      <c r="Y321" s="8"/>
      <c r="Z321" s="8"/>
      <c r="AA321" s="8"/>
      <c r="AB321" s="8"/>
      <c r="AC321" s="8"/>
      <c r="AD321" s="8" t="s">
        <v>5089</v>
      </c>
      <c r="AE321" s="8" t="s">
        <v>3368</v>
      </c>
      <c r="AF321" s="8"/>
      <c r="AG321" s="8" t="s">
        <v>4735</v>
      </c>
      <c r="AH321" s="8"/>
      <c r="AI321" s="8"/>
      <c r="AJ321" s="8" t="s">
        <v>5090</v>
      </c>
      <c r="AK321" s="8"/>
      <c r="AL321" s="8" t="s">
        <v>5092</v>
      </c>
      <c r="AM321" s="8"/>
      <c r="AN321" s="8"/>
      <c r="AO321" s="8"/>
      <c r="AP321" s="8"/>
      <c r="AQ321" s="8"/>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row>
    <row r="322" spans="1:78" ht="13" customHeight="1" x14ac:dyDescent="0.15">
      <c r="A322" s="8" t="s">
        <v>6189</v>
      </c>
      <c r="B322" s="8" t="s">
        <v>4679</v>
      </c>
      <c r="C322" s="11">
        <v>2014</v>
      </c>
      <c r="D322" s="8" t="s">
        <v>5094</v>
      </c>
      <c r="E322" s="8"/>
      <c r="F322" s="8" t="s">
        <v>5093</v>
      </c>
      <c r="G322" s="8" t="str" cm="1">
        <f t="array" ref="G322">LOWER(CleanCode(F322))</f>
        <v>buildingaconceptualframeworktoculturallyadapthealthpromotionandpreventionprogramsatthedeepstructurallevel</v>
      </c>
      <c r="H322" s="8"/>
      <c r="I322" s="8"/>
      <c r="J322" s="8" t="s">
        <v>5099</v>
      </c>
      <c r="K322" s="8"/>
      <c r="L322" s="8"/>
      <c r="M322" s="8" t="s">
        <v>5095</v>
      </c>
      <c r="N322" s="8" t="str">
        <f t="shared" si="4"/>
        <v>Health Promotion Practice</v>
      </c>
      <c r="O322" s="8" t="str">
        <f>"15248399"</f>
        <v>15248399</v>
      </c>
      <c r="P322" s="8"/>
      <c r="Q322" s="8"/>
      <c r="R322" s="8" t="str">
        <f>"20140701"</f>
        <v>20140701</v>
      </c>
      <c r="S322" s="8">
        <v>15</v>
      </c>
      <c r="T322" s="8">
        <v>4</v>
      </c>
      <c r="U322" s="8">
        <v>575</v>
      </c>
      <c r="V322" s="8"/>
      <c r="W322" s="8">
        <v>10</v>
      </c>
      <c r="X322" s="8"/>
      <c r="Y322" s="8"/>
      <c r="Z322" s="8"/>
      <c r="AA322" s="8"/>
      <c r="AB322" s="8"/>
      <c r="AC322" s="8"/>
      <c r="AD322" s="8" t="s">
        <v>5096</v>
      </c>
      <c r="AE322" s="8" t="s">
        <v>5097</v>
      </c>
      <c r="AF322" s="8"/>
      <c r="AG322" s="8" t="s">
        <v>4678</v>
      </c>
      <c r="AH322" s="8"/>
      <c r="AI322" s="8"/>
      <c r="AJ322" s="8" t="s">
        <v>5098</v>
      </c>
      <c r="AK322" s="8"/>
      <c r="AL322" s="8" t="s">
        <v>5100</v>
      </c>
      <c r="AM322" s="8"/>
      <c r="AN322" s="8"/>
      <c r="AO322" s="8"/>
      <c r="AP322" s="8"/>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row>
    <row r="323" spans="1:78" ht="13" customHeight="1" x14ac:dyDescent="0.15">
      <c r="A323" s="8" t="s">
        <v>6189</v>
      </c>
      <c r="B323" s="8" t="s">
        <v>4679</v>
      </c>
      <c r="C323" s="11">
        <v>2020</v>
      </c>
      <c r="D323" s="8" t="s">
        <v>5102</v>
      </c>
      <c r="E323" s="8"/>
      <c r="F323" s="8" t="s">
        <v>5101</v>
      </c>
      <c r="G323" s="8" t="str" cm="1">
        <f t="array" ref="G323">LOWER(CleanCode(F323))</f>
        <v>combatingdiscriminationatworkplacesthroughmainstreaminggenderandintegrationneedsinlegislationtestinganewanalyticalframeworkingermanyandsweden</v>
      </c>
      <c r="H323" s="8"/>
      <c r="I323" s="8"/>
      <c r="J323" s="8" t="s">
        <v>5107</v>
      </c>
      <c r="K323" s="8"/>
      <c r="L323" s="8"/>
      <c r="M323" s="8" t="s">
        <v>5103</v>
      </c>
      <c r="N323" s="8" t="str">
        <f t="shared" ref="N323:N386" si="5">PROPER(M323)</f>
        <v>Women'S Studies International Forum</v>
      </c>
      <c r="O323" s="8" t="str">
        <f>"02775395"</f>
        <v>02775395</v>
      </c>
      <c r="P323" s="8"/>
      <c r="Q323" s="8"/>
      <c r="R323" s="8" t="str">
        <f>"20200701"</f>
        <v>20200701</v>
      </c>
      <c r="S323" s="8">
        <v>81</v>
      </c>
      <c r="T323" s="8"/>
      <c r="U323" s="8"/>
      <c r="V323" s="8"/>
      <c r="W323" s="8"/>
      <c r="X323" s="8"/>
      <c r="Y323" s="8"/>
      <c r="Z323" s="8"/>
      <c r="AA323" s="8"/>
      <c r="AB323" s="8"/>
      <c r="AC323" s="8"/>
      <c r="AD323" s="8" t="s">
        <v>5104</v>
      </c>
      <c r="AE323" s="8" t="s">
        <v>5105</v>
      </c>
      <c r="AF323" s="8"/>
      <c r="AG323" s="8" t="s">
        <v>4735</v>
      </c>
      <c r="AH323" s="8"/>
      <c r="AI323" s="8"/>
      <c r="AJ323" s="8" t="s">
        <v>5106</v>
      </c>
      <c r="AK323" s="8"/>
      <c r="AL323" s="8" t="s">
        <v>5108</v>
      </c>
      <c r="AM323" s="8"/>
      <c r="AN323" s="8"/>
      <c r="AO323" s="8"/>
      <c r="AP323" s="8"/>
      <c r="AQ323" s="8"/>
      <c r="AR323" s="8"/>
      <c r="AS323" s="8"/>
      <c r="AT323" s="8"/>
      <c r="AU323" s="8"/>
      <c r="AV323" s="8"/>
      <c r="AW323" s="8"/>
      <c r="AX323" s="8"/>
      <c r="AY323" s="8"/>
      <c r="AZ323" s="8"/>
      <c r="BA323" s="8"/>
      <c r="BB323" s="8"/>
      <c r="BC323" s="8"/>
      <c r="BD323" s="8"/>
      <c r="BE323" s="8"/>
      <c r="BF323" s="8"/>
      <c r="BG323" s="8"/>
      <c r="BH323" s="8"/>
      <c r="BI323" s="8"/>
      <c r="BJ323" s="8"/>
      <c r="BK323" s="8"/>
      <c r="BL323" s="8"/>
      <c r="BM323" s="8"/>
      <c r="BN323" s="8"/>
      <c r="BO323" s="8"/>
      <c r="BP323" s="8"/>
      <c r="BQ323" s="8"/>
      <c r="BR323" s="8"/>
      <c r="BS323" s="8"/>
      <c r="BT323" s="8"/>
      <c r="BU323" s="8"/>
      <c r="BV323" s="8"/>
      <c r="BW323" s="8"/>
      <c r="BX323" s="8"/>
      <c r="BY323" s="8"/>
      <c r="BZ323" s="8"/>
    </row>
    <row r="324" spans="1:78" ht="13" customHeight="1" x14ac:dyDescent="0.15">
      <c r="A324" s="8" t="s">
        <v>6189</v>
      </c>
      <c r="B324" s="8" t="s">
        <v>4828</v>
      </c>
      <c r="C324" s="11">
        <v>2012</v>
      </c>
      <c r="D324" s="8" t="s">
        <v>5110</v>
      </c>
      <c r="E324" s="8"/>
      <c r="F324" s="8" t="s">
        <v>5109</v>
      </c>
      <c r="G324" s="8" t="str" cm="1">
        <f t="array" ref="G324">LOWER(CleanCode(F324))</f>
        <v>commentaryonculturaldiversityacrossthepacificthedominanceofwesterntheoriesmodelsresearchandpracticeinpsychology</v>
      </c>
      <c r="H324" s="8"/>
      <c r="I324" s="8"/>
      <c r="J324" s="8" t="s">
        <v>5115</v>
      </c>
      <c r="K324" s="8"/>
      <c r="L324" s="8"/>
      <c r="M324" s="8" t="s">
        <v>5111</v>
      </c>
      <c r="N324" s="8" t="str">
        <f t="shared" si="5"/>
        <v>Journal Of Pacific Rim Psychology</v>
      </c>
      <c r="O324" s="8" t="str">
        <f>"18344909"</f>
        <v>18344909</v>
      </c>
      <c r="P324" s="8"/>
      <c r="Q324" s="8"/>
      <c r="R324" s="8" t="str">
        <f>"20120601"</f>
        <v>20120601</v>
      </c>
      <c r="S324" s="8">
        <v>6</v>
      </c>
      <c r="T324" s="8">
        <v>1</v>
      </c>
      <c r="U324" s="8">
        <v>27</v>
      </c>
      <c r="V324" s="8"/>
      <c r="W324" s="8">
        <v>5</v>
      </c>
      <c r="X324" s="8"/>
      <c r="Y324" s="8"/>
      <c r="Z324" s="8"/>
      <c r="AA324" s="8"/>
      <c r="AB324" s="8"/>
      <c r="AC324" s="8"/>
      <c r="AD324" s="8" t="s">
        <v>5112</v>
      </c>
      <c r="AE324" s="8" t="s">
        <v>5113</v>
      </c>
      <c r="AF324" s="8"/>
      <c r="AG324" s="8" t="s">
        <v>4892</v>
      </c>
      <c r="AH324" s="8"/>
      <c r="AI324" s="8"/>
      <c r="AJ324" s="8" t="s">
        <v>5114</v>
      </c>
      <c r="AK324" s="8"/>
      <c r="AL324" s="8" t="s">
        <v>5116</v>
      </c>
      <c r="AM324" s="8"/>
      <c r="AN324" s="8"/>
      <c r="AO324" s="8"/>
      <c r="AP324" s="8"/>
      <c r="AQ324" s="8"/>
      <c r="AR324" s="8"/>
      <c r="AS324" s="8"/>
      <c r="AT324" s="8"/>
      <c r="AU324" s="8"/>
      <c r="AV324" s="8"/>
      <c r="AW324" s="8"/>
      <c r="AX324" s="8"/>
      <c r="AY324" s="8"/>
      <c r="AZ324" s="8"/>
      <c r="BA324" s="8"/>
      <c r="BB324" s="8"/>
      <c r="BC324" s="8"/>
      <c r="BD324" s="8"/>
      <c r="BE324" s="8"/>
      <c r="BF324" s="8"/>
      <c r="BG324" s="8"/>
      <c r="BH324" s="8"/>
      <c r="BI324" s="8"/>
      <c r="BJ324" s="8"/>
      <c r="BK324" s="8"/>
      <c r="BL324" s="8"/>
      <c r="BM324" s="8"/>
      <c r="BN324" s="8"/>
      <c r="BO324" s="8"/>
      <c r="BP324" s="8"/>
      <c r="BQ324" s="8"/>
      <c r="BR324" s="8"/>
      <c r="BS324" s="8"/>
      <c r="BT324" s="8"/>
      <c r="BU324" s="8"/>
      <c r="BV324" s="8"/>
      <c r="BW324" s="8"/>
      <c r="BX324" s="8"/>
      <c r="BY324" s="8"/>
      <c r="BZ324" s="8"/>
    </row>
    <row r="325" spans="1:78" ht="13" customHeight="1" x14ac:dyDescent="0.15">
      <c r="A325" s="8" t="s">
        <v>6189</v>
      </c>
      <c r="B325" s="8" t="s">
        <v>4828</v>
      </c>
      <c r="C325" s="11">
        <v>2011</v>
      </c>
      <c r="D325" s="8" t="s">
        <v>5118</v>
      </c>
      <c r="E325" s="8"/>
      <c r="F325" s="8" t="s">
        <v>5117</v>
      </c>
      <c r="G325" s="8" t="str" cm="1">
        <f t="array" ref="G325">LOWER(CleanCode(F325))</f>
        <v>commentaryonfurnhamscultureshockberrysacculturationtheoryandmarsellaandyamadasindigenouspsychopathologybeingacalltoactionforpacificrimpsychology</v>
      </c>
      <c r="H325" s="8"/>
      <c r="I325" s="8"/>
      <c r="J325" s="8" t="s">
        <v>5122</v>
      </c>
      <c r="K325" s="8"/>
      <c r="L325" s="8"/>
      <c r="M325" s="8" t="s">
        <v>5111</v>
      </c>
      <c r="N325" s="8" t="str">
        <f t="shared" si="5"/>
        <v>Journal Of Pacific Rim Psychology</v>
      </c>
      <c r="O325" s="8" t="str">
        <f>"18344909"</f>
        <v>18344909</v>
      </c>
      <c r="P325" s="8"/>
      <c r="Q325" s="8"/>
      <c r="R325" s="8" t="str">
        <f>"20111201"</f>
        <v>20111201</v>
      </c>
      <c r="S325" s="8">
        <v>5</v>
      </c>
      <c r="T325" s="8">
        <v>2</v>
      </c>
      <c r="U325" s="8">
        <v>75</v>
      </c>
      <c r="V325" s="8"/>
      <c r="W325" s="8">
        <v>6</v>
      </c>
      <c r="X325" s="8"/>
      <c r="Y325" s="8"/>
      <c r="Z325" s="8"/>
      <c r="AA325" s="8"/>
      <c r="AB325" s="8"/>
      <c r="AC325" s="8"/>
      <c r="AD325" s="8" t="s">
        <v>5119</v>
      </c>
      <c r="AE325" s="8" t="s">
        <v>5120</v>
      </c>
      <c r="AF325" s="8"/>
      <c r="AG325" s="8" t="s">
        <v>4892</v>
      </c>
      <c r="AH325" s="8"/>
      <c r="AI325" s="8"/>
      <c r="AJ325" s="8" t="s">
        <v>5121</v>
      </c>
      <c r="AK325" s="8"/>
      <c r="AL325" s="8" t="s">
        <v>5123</v>
      </c>
      <c r="AM325" s="8"/>
      <c r="AN325" s="8"/>
      <c r="AO325" s="8"/>
      <c r="AP325" s="8"/>
      <c r="AQ325" s="8"/>
      <c r="AR325" s="8"/>
      <c r="AS325" s="8"/>
      <c r="AT325" s="8"/>
      <c r="AU325" s="8"/>
      <c r="AV325" s="8"/>
      <c r="AW325" s="8"/>
      <c r="AX325" s="8"/>
      <c r="AY325" s="8"/>
      <c r="AZ325" s="8"/>
      <c r="BA325" s="8"/>
      <c r="BB325" s="8"/>
      <c r="BC325" s="8"/>
      <c r="BD325" s="8"/>
      <c r="BE325" s="8"/>
      <c r="BF325" s="8"/>
      <c r="BG325" s="8"/>
      <c r="BH325" s="8"/>
      <c r="BI325" s="8"/>
      <c r="BJ325" s="8"/>
      <c r="BK325" s="8"/>
      <c r="BL325" s="8"/>
      <c r="BM325" s="8"/>
      <c r="BN325" s="8"/>
      <c r="BO325" s="8"/>
      <c r="BP325" s="8"/>
      <c r="BQ325" s="8"/>
      <c r="BR325" s="8"/>
      <c r="BS325" s="8"/>
      <c r="BT325" s="8"/>
      <c r="BU325" s="8"/>
      <c r="BV325" s="8"/>
      <c r="BW325" s="8"/>
      <c r="BX325" s="8"/>
      <c r="BY325" s="8"/>
      <c r="BZ325" s="8"/>
    </row>
    <row r="326" spans="1:78" ht="13" customHeight="1" x14ac:dyDescent="0.15">
      <c r="A326" s="8" t="s">
        <v>6189</v>
      </c>
      <c r="B326" s="8"/>
      <c r="C326" s="11">
        <v>1988</v>
      </c>
      <c r="D326" s="8" t="s">
        <v>4919</v>
      </c>
      <c r="E326" s="8"/>
      <c r="F326" s="8" t="s">
        <v>5124</v>
      </c>
      <c r="G326" s="8" t="str" cm="1">
        <f t="array" ref="G326">LOWER(CleanCode(F326))</f>
        <v>communicationandcrossculturaladaptationanintegrativetheory</v>
      </c>
      <c r="H326" s="8"/>
      <c r="I326" s="8"/>
      <c r="J326" s="8" t="s">
        <v>5128</v>
      </c>
      <c r="K326" s="8"/>
      <c r="L326" s="8"/>
      <c r="M326" s="8"/>
      <c r="N326" s="8" t="str">
        <f t="shared" si="5"/>
        <v/>
      </c>
      <c r="O326" s="8"/>
      <c r="P326" s="8"/>
      <c r="Q326" s="8" t="str">
        <f>"090502883X; 0905028821"</f>
        <v>090502883X; 0905028821</v>
      </c>
      <c r="R326" s="8" t="str">
        <f>"19880101"</f>
        <v>19880101</v>
      </c>
      <c r="S326" s="8"/>
      <c r="T326" s="8"/>
      <c r="U326" s="8"/>
      <c r="V326" s="8"/>
      <c r="W326" s="8">
        <v>223</v>
      </c>
      <c r="X326" s="8"/>
      <c r="Y326" s="8"/>
      <c r="Z326" s="8"/>
      <c r="AA326" s="8"/>
      <c r="AB326" s="8"/>
      <c r="AC326" s="8"/>
      <c r="AD326" s="8" t="s">
        <v>5125</v>
      </c>
      <c r="AE326" s="8"/>
      <c r="AF326" s="8"/>
      <c r="AG326" s="8" t="s">
        <v>5126</v>
      </c>
      <c r="AH326" s="8"/>
      <c r="AI326" s="8"/>
      <c r="AJ326" s="8" t="s">
        <v>5127</v>
      </c>
      <c r="AK326" s="8"/>
      <c r="AL326" s="8" t="s">
        <v>5129</v>
      </c>
      <c r="AM326" s="8"/>
      <c r="AN326" s="8"/>
      <c r="AO326" s="8"/>
      <c r="AP326" s="8"/>
      <c r="AQ326" s="8"/>
      <c r="AR326" s="8"/>
      <c r="AS326" s="8"/>
      <c r="AT326" s="8"/>
      <c r="AU326" s="8"/>
      <c r="AV326" s="8"/>
      <c r="AW326" s="8"/>
      <c r="AX326" s="8"/>
      <c r="AY326" s="8"/>
      <c r="AZ326" s="8"/>
      <c r="BA326" s="8"/>
      <c r="BB326" s="8"/>
      <c r="BC326" s="8"/>
      <c r="BD326" s="8"/>
      <c r="BE326" s="8"/>
      <c r="BF326" s="8"/>
      <c r="BG326" s="8"/>
      <c r="BH326" s="8"/>
      <c r="BI326" s="8"/>
      <c r="BJ326" s="8"/>
      <c r="BK326" s="8"/>
      <c r="BL326" s="8"/>
      <c r="BM326" s="8"/>
      <c r="BN326" s="8"/>
      <c r="BO326" s="8"/>
      <c r="BP326" s="8"/>
      <c r="BQ326" s="8"/>
      <c r="BR326" s="8"/>
      <c r="BS326" s="8"/>
      <c r="BT326" s="8"/>
      <c r="BU326" s="8"/>
      <c r="BV326" s="8"/>
      <c r="BW326" s="8"/>
      <c r="BX326" s="8"/>
      <c r="BY326" s="8"/>
      <c r="BZ326" s="8"/>
    </row>
    <row r="327" spans="1:78" ht="13" customHeight="1" x14ac:dyDescent="0.15">
      <c r="A327" s="8" t="s">
        <v>6189</v>
      </c>
      <c r="B327" s="8" t="s">
        <v>4679</v>
      </c>
      <c r="C327" s="11">
        <v>2010</v>
      </c>
      <c r="D327" s="8" t="s">
        <v>5131</v>
      </c>
      <c r="E327" s="8"/>
      <c r="F327" s="8" t="s">
        <v>5130</v>
      </c>
      <c r="G327" s="8" t="str" cm="1">
        <f t="array" ref="G327">LOWER(CleanCode(F327))</f>
        <v>comparaisondetroisconceptualisationsdelintgrationidentitaireunetudeauprsdimmigrantsqubcois</v>
      </c>
      <c r="H327" s="8"/>
      <c r="I327" s="8"/>
      <c r="J327" s="8" t="s">
        <v>5136</v>
      </c>
      <c r="K327" s="8"/>
      <c r="L327" s="8"/>
      <c r="M327" s="8" t="s">
        <v>5132</v>
      </c>
      <c r="N327" s="8" t="str">
        <f t="shared" si="5"/>
        <v>Cahiers Internationaux De Psychologie Sociale</v>
      </c>
      <c r="O327" s="8" t="str">
        <f>"07770707"</f>
        <v>07770707</v>
      </c>
      <c r="P327" s="8"/>
      <c r="Q327" s="8"/>
      <c r="R327" s="8" t="str">
        <f>"20101001"</f>
        <v>20101001</v>
      </c>
      <c r="S327" s="8">
        <v>88</v>
      </c>
      <c r="T327" s="8">
        <v>4</v>
      </c>
      <c r="U327" s="8">
        <v>663</v>
      </c>
      <c r="V327" s="8"/>
      <c r="W327" s="8">
        <v>20</v>
      </c>
      <c r="X327" s="8"/>
      <c r="Y327" s="8"/>
      <c r="Z327" s="8"/>
      <c r="AA327" s="8"/>
      <c r="AB327" s="8"/>
      <c r="AC327" s="8"/>
      <c r="AD327" s="8" t="s">
        <v>5133</v>
      </c>
      <c r="AE327" s="8"/>
      <c r="AF327" s="8"/>
      <c r="AG327" s="8" t="s">
        <v>5134</v>
      </c>
      <c r="AH327" s="8"/>
      <c r="AI327" s="8"/>
      <c r="AJ327" s="8" t="s">
        <v>5135</v>
      </c>
      <c r="AK327" s="8"/>
      <c r="AL327" s="8" t="s">
        <v>5137</v>
      </c>
      <c r="AM327" s="8"/>
      <c r="AN327" s="8"/>
      <c r="AO327" s="8"/>
      <c r="AP327" s="8"/>
      <c r="AQ327" s="8"/>
      <c r="AR327" s="8"/>
      <c r="AS327" s="8"/>
      <c r="AT327" s="8"/>
      <c r="AU327" s="8"/>
      <c r="AV327" s="8"/>
      <c r="AW327" s="8"/>
      <c r="AX327" s="8"/>
      <c r="AY327" s="8"/>
      <c r="AZ327" s="8"/>
      <c r="BA327" s="8"/>
      <c r="BB327" s="8"/>
      <c r="BC327" s="8"/>
      <c r="BD327" s="8"/>
      <c r="BE327" s="8"/>
      <c r="BF327" s="8"/>
      <c r="BG327" s="8"/>
      <c r="BH327" s="8"/>
      <c r="BI327" s="8"/>
      <c r="BJ327" s="8"/>
      <c r="BK327" s="8"/>
      <c r="BL327" s="8"/>
      <c r="BM327" s="8"/>
      <c r="BN327" s="8"/>
      <c r="BO327" s="8"/>
      <c r="BP327" s="8"/>
      <c r="BQ327" s="8"/>
      <c r="BR327" s="8"/>
      <c r="BS327" s="8"/>
      <c r="BT327" s="8"/>
      <c r="BU327" s="8"/>
      <c r="BV327" s="8"/>
      <c r="BW327" s="8"/>
      <c r="BX327" s="8"/>
      <c r="BY327" s="8"/>
      <c r="BZ327" s="8"/>
    </row>
    <row r="328" spans="1:78" ht="13" customHeight="1" x14ac:dyDescent="0.15">
      <c r="A328" s="8" t="s">
        <v>6189</v>
      </c>
      <c r="B328" s="8" t="s">
        <v>4773</v>
      </c>
      <c r="C328" s="11">
        <v>1988</v>
      </c>
      <c r="D328" s="8" t="s">
        <v>5139</v>
      </c>
      <c r="E328" s="8"/>
      <c r="F328" s="8" t="s">
        <v>5138</v>
      </c>
      <c r="G328" s="8" t="str" cm="1">
        <f t="array" ref="G328">LOWER(CleanCode(F328))</f>
        <v>conceptualmigrationsunderstandingtravelerstalesforcrossculturaladaptation</v>
      </c>
      <c r="H328" s="8"/>
      <c r="I328" s="8"/>
      <c r="J328" s="8" t="s">
        <v>5144</v>
      </c>
      <c r="K328" s="8"/>
      <c r="L328" s="8"/>
      <c r="M328" s="8" t="s">
        <v>5140</v>
      </c>
      <c r="N328" s="8" t="str">
        <f t="shared" si="5"/>
        <v>Cross-Cultural Adaptation: Current Approaches.</v>
      </c>
      <c r="O328" s="8" t="str">
        <f>"02706075"</f>
        <v>02706075</v>
      </c>
      <c r="P328" s="8"/>
      <c r="Q328" s="8" t="str">
        <f>"0803930372; 0803930380"</f>
        <v>0803930372; 0803930380</v>
      </c>
      <c r="R328" s="8" t="str">
        <f>"19880101"</f>
        <v>19880101</v>
      </c>
      <c r="S328" s="8"/>
      <c r="T328" s="8"/>
      <c r="U328" s="8">
        <v>20</v>
      </c>
      <c r="V328" s="8"/>
      <c r="W328" s="8">
        <v>22</v>
      </c>
      <c r="X328" s="8"/>
      <c r="Y328" s="8"/>
      <c r="Z328" s="8"/>
      <c r="AA328" s="8"/>
      <c r="AB328" s="8"/>
      <c r="AC328" s="8"/>
      <c r="AD328" s="8" t="s">
        <v>5141</v>
      </c>
      <c r="AE328" s="8"/>
      <c r="AF328" s="8"/>
      <c r="AG328" s="8" t="s">
        <v>5142</v>
      </c>
      <c r="AH328" s="8"/>
      <c r="AI328" s="8"/>
      <c r="AJ328" s="8" t="s">
        <v>5143</v>
      </c>
      <c r="AK328" s="8"/>
      <c r="AL328" s="8" t="s">
        <v>5145</v>
      </c>
      <c r="AM328" s="8"/>
      <c r="AN328" s="8"/>
      <c r="AO328" s="8"/>
      <c r="AP328" s="8"/>
      <c r="AQ328" s="8"/>
      <c r="AR328" s="8"/>
      <c r="AS328" s="8"/>
      <c r="AT328" s="8"/>
      <c r="AU328" s="8"/>
      <c r="AV328" s="8"/>
      <c r="AW328" s="8"/>
      <c r="AX328" s="8"/>
      <c r="AY328" s="8"/>
      <c r="AZ328" s="8"/>
      <c r="BA328" s="8"/>
      <c r="BB328" s="8"/>
      <c r="BC328" s="8"/>
      <c r="BD328" s="8"/>
      <c r="BE328" s="8"/>
      <c r="BF328" s="8"/>
      <c r="BG328" s="8"/>
      <c r="BH328" s="8"/>
      <c r="BI328" s="8"/>
      <c r="BJ328" s="8"/>
      <c r="BK328" s="8"/>
      <c r="BL328" s="8"/>
      <c r="BM328" s="8"/>
      <c r="BN328" s="8"/>
      <c r="BO328" s="8"/>
      <c r="BP328" s="8"/>
      <c r="BQ328" s="8"/>
      <c r="BR328" s="8"/>
      <c r="BS328" s="8"/>
      <c r="BT328" s="8"/>
      <c r="BU328" s="8"/>
      <c r="BV328" s="8"/>
      <c r="BW328" s="8"/>
      <c r="BX328" s="8"/>
      <c r="BY328" s="8"/>
      <c r="BZ328" s="8"/>
    </row>
    <row r="329" spans="1:78" ht="13" customHeight="1" x14ac:dyDescent="0.15">
      <c r="A329" s="8" t="s">
        <v>6189</v>
      </c>
      <c r="B329" s="8" t="s">
        <v>4679</v>
      </c>
      <c r="C329" s="11">
        <v>1993</v>
      </c>
      <c r="D329" s="8" t="s">
        <v>5147</v>
      </c>
      <c r="E329" s="8"/>
      <c r="F329" s="8" t="s">
        <v>5146</v>
      </c>
      <c r="G329" s="8" t="str" cm="1">
        <f t="array" ref="G329">LOWER(CleanCode(F329))</f>
        <v>conceptualizationofmentalillnessamongkoreanamericanclergymenandimplicationsformentalhealthservicedelivery</v>
      </c>
      <c r="H329" s="8"/>
      <c r="I329" s="8"/>
      <c r="J329" s="8" t="s">
        <v>5152</v>
      </c>
      <c r="K329" s="8"/>
      <c r="L329" s="8"/>
      <c r="M329" s="8" t="s">
        <v>5148</v>
      </c>
      <c r="N329" s="8" t="str">
        <f t="shared" si="5"/>
        <v>Community Mental Health Journal</v>
      </c>
      <c r="O329" s="8" t="str">
        <f>"00103853"</f>
        <v>00103853</v>
      </c>
      <c r="P329" s="8"/>
      <c r="Q329" s="8"/>
      <c r="R329" s="8" t="str">
        <f>"19931001"</f>
        <v>19931001</v>
      </c>
      <c r="S329" s="8">
        <v>29</v>
      </c>
      <c r="T329" s="8">
        <v>5</v>
      </c>
      <c r="U329" s="8">
        <v>405</v>
      </c>
      <c r="V329" s="8"/>
      <c r="W329" s="8">
        <v>8</v>
      </c>
      <c r="X329" s="8"/>
      <c r="Y329" s="8"/>
      <c r="Z329" s="8"/>
      <c r="AA329" s="8"/>
      <c r="AB329" s="8"/>
      <c r="AC329" s="8"/>
      <c r="AD329" s="8" t="s">
        <v>5149</v>
      </c>
      <c r="AE329" s="8" t="s">
        <v>5150</v>
      </c>
      <c r="AF329" s="8"/>
      <c r="AG329" s="8" t="s">
        <v>4696</v>
      </c>
      <c r="AH329" s="8"/>
      <c r="AI329" s="8"/>
      <c r="AJ329" s="8" t="s">
        <v>5151</v>
      </c>
      <c r="AK329" s="8"/>
      <c r="AL329" s="8" t="s">
        <v>5153</v>
      </c>
      <c r="AM329" s="8"/>
      <c r="AN329" s="8"/>
      <c r="AO329" s="8"/>
      <c r="AP329" s="8"/>
      <c r="AQ329" s="8"/>
      <c r="AR329" s="8"/>
      <c r="AS329" s="8"/>
      <c r="AT329" s="8"/>
      <c r="AU329" s="8"/>
      <c r="AV329" s="8"/>
      <c r="AW329" s="8"/>
      <c r="AX329" s="8"/>
      <c r="AY329" s="8"/>
      <c r="AZ329" s="8"/>
      <c r="BA329" s="8"/>
      <c r="BB329" s="8"/>
      <c r="BC329" s="8"/>
      <c r="BD329" s="8"/>
      <c r="BE329" s="8"/>
      <c r="BF329" s="8"/>
      <c r="BG329" s="8"/>
      <c r="BH329" s="8"/>
      <c r="BI329" s="8"/>
      <c r="BJ329" s="8"/>
      <c r="BK329" s="8"/>
      <c r="BL329" s="8"/>
      <c r="BM329" s="8"/>
      <c r="BN329" s="8"/>
      <c r="BO329" s="8"/>
      <c r="BP329" s="8"/>
      <c r="BQ329" s="8"/>
      <c r="BR329" s="8"/>
      <c r="BS329" s="8"/>
      <c r="BT329" s="8"/>
      <c r="BU329" s="8"/>
      <c r="BV329" s="8"/>
      <c r="BW329" s="8"/>
      <c r="BX329" s="8"/>
      <c r="BY329" s="8"/>
      <c r="BZ329" s="8"/>
    </row>
    <row r="330" spans="1:78" ht="13" customHeight="1" x14ac:dyDescent="0.15">
      <c r="A330" s="8" t="s">
        <v>6189</v>
      </c>
      <c r="B330" s="8" t="s">
        <v>4679</v>
      </c>
      <c r="C330" s="11">
        <v>2016</v>
      </c>
      <c r="D330" s="8" t="s">
        <v>2498</v>
      </c>
      <c r="E330" s="8"/>
      <c r="F330" s="8" t="s">
        <v>5154</v>
      </c>
      <c r="G330" s="8" t="str" cm="1">
        <f t="array" ref="G330">LOWER(CleanCode(F330))</f>
        <v>conceptualizingpsychologicalprocessesinresponsetoglobalizationcomponentsantecedentsandconsequencesofglobalorientations</v>
      </c>
      <c r="H330" s="8"/>
      <c r="I330" s="8"/>
      <c r="J330" s="8" t="s">
        <v>5158</v>
      </c>
      <c r="K330" s="8"/>
      <c r="L330" s="8"/>
      <c r="M330" s="8" t="s">
        <v>5155</v>
      </c>
      <c r="N330" s="8" t="str">
        <f t="shared" si="5"/>
        <v>Journal Of Personality And Social Psychology</v>
      </c>
      <c r="O330" s="8" t="str">
        <f>"00223514"</f>
        <v>00223514</v>
      </c>
      <c r="P330" s="8"/>
      <c r="Q330" s="8"/>
      <c r="R330" s="8" t="str">
        <f>"20160201"</f>
        <v>20160201</v>
      </c>
      <c r="S330" s="8">
        <v>110</v>
      </c>
      <c r="T330" s="8">
        <v>2</v>
      </c>
      <c r="U330" s="8">
        <v>302</v>
      </c>
      <c r="V330" s="8"/>
      <c r="W330" s="8">
        <v>30</v>
      </c>
      <c r="X330" s="8"/>
      <c r="Y330" s="8"/>
      <c r="Z330" s="8"/>
      <c r="AA330" s="8"/>
      <c r="AB330" s="8"/>
      <c r="AC330" s="8"/>
      <c r="AD330" s="8" t="s">
        <v>5156</v>
      </c>
      <c r="AE330" s="8" t="s">
        <v>2515</v>
      </c>
      <c r="AF330" s="8"/>
      <c r="AG330" s="8" t="s">
        <v>4899</v>
      </c>
      <c r="AH330" s="8"/>
      <c r="AI330" s="8"/>
      <c r="AJ330" s="8" t="s">
        <v>5157</v>
      </c>
      <c r="AK330" s="8"/>
      <c r="AL330" s="8" t="s">
        <v>5159</v>
      </c>
      <c r="AM330" s="8"/>
      <c r="AN330" s="8"/>
      <c r="AO330" s="8"/>
      <c r="AP330" s="8"/>
      <c r="AQ330" s="8"/>
      <c r="AR330" s="8"/>
      <c r="AS330" s="8"/>
      <c r="AT330" s="8"/>
      <c r="AU330" s="8"/>
      <c r="AV330" s="8"/>
      <c r="AW330" s="8"/>
      <c r="AX330" s="8"/>
      <c r="AY330" s="8"/>
      <c r="AZ330" s="8"/>
      <c r="BA330" s="8"/>
      <c r="BB330" s="8"/>
      <c r="BC330" s="8"/>
      <c r="BD330" s="8"/>
      <c r="BE330" s="8"/>
      <c r="BF330" s="8"/>
      <c r="BG330" s="8"/>
      <c r="BH330" s="8"/>
      <c r="BI330" s="8"/>
      <c r="BJ330" s="8"/>
      <c r="BK330" s="8"/>
      <c r="BL330" s="8"/>
      <c r="BM330" s="8"/>
      <c r="BN330" s="8"/>
      <c r="BO330" s="8"/>
      <c r="BP330" s="8"/>
      <c r="BQ330" s="8"/>
      <c r="BR330" s="8"/>
      <c r="BS330" s="8"/>
      <c r="BT330" s="8"/>
      <c r="BU330" s="8"/>
      <c r="BV330" s="8"/>
      <c r="BW330" s="8"/>
      <c r="BX330" s="8"/>
      <c r="BY330" s="8"/>
      <c r="BZ330" s="8"/>
    </row>
    <row r="331" spans="1:78" ht="13" customHeight="1" x14ac:dyDescent="0.15">
      <c r="A331" s="8" t="s">
        <v>6189</v>
      </c>
      <c r="B331" s="8" t="s">
        <v>4679</v>
      </c>
      <c r="C331" s="11">
        <v>2017</v>
      </c>
      <c r="D331" s="8" t="s">
        <v>5161</v>
      </c>
      <c r="E331" s="8"/>
      <c r="F331" s="8" t="s">
        <v>5160</v>
      </c>
      <c r="G331" s="8" t="str" cm="1">
        <f t="array" ref="G331">LOWER(CleanCode(F331))</f>
        <v>conceptualizingthedynamicsbetweenbiculturalidentificationandpersonalsocialnetworks</v>
      </c>
      <c r="H331" s="8"/>
      <c r="I331" s="8"/>
      <c r="J331" s="8" t="s">
        <v>5166</v>
      </c>
      <c r="K331" s="8"/>
      <c r="L331" s="8"/>
      <c r="M331" s="8" t="s">
        <v>5162</v>
      </c>
      <c r="N331" s="8" t="str">
        <f t="shared" si="5"/>
        <v>Frontiers In Psychology</v>
      </c>
      <c r="O331" s="8" t="str">
        <f>"16641078"</f>
        <v>16641078</v>
      </c>
      <c r="P331" s="8"/>
      <c r="Q331" s="8"/>
      <c r="R331" s="8" t="str">
        <f>"20170331"</f>
        <v>20170331</v>
      </c>
      <c r="S331" s="8">
        <v>8</v>
      </c>
      <c r="T331" s="8"/>
      <c r="U331" s="8"/>
      <c r="V331" s="8"/>
      <c r="W331" s="8"/>
      <c r="X331" s="8"/>
      <c r="Y331" s="8"/>
      <c r="Z331" s="8"/>
      <c r="AA331" s="8"/>
      <c r="AB331" s="8"/>
      <c r="AC331" s="8"/>
      <c r="AD331" s="8" t="s">
        <v>5163</v>
      </c>
      <c r="AE331" s="8"/>
      <c r="AF331" s="8"/>
      <c r="AG331" s="8" t="s">
        <v>5164</v>
      </c>
      <c r="AH331" s="8"/>
      <c r="AI331" s="8"/>
      <c r="AJ331" s="8" t="s">
        <v>5165</v>
      </c>
      <c r="AK331" s="8"/>
      <c r="AL331" s="8" t="s">
        <v>5167</v>
      </c>
      <c r="AM331" s="8"/>
      <c r="AN331" s="8"/>
      <c r="AO331" s="8"/>
      <c r="AP331" s="8"/>
      <c r="AQ331" s="8"/>
      <c r="AR331" s="8"/>
      <c r="AS331" s="8"/>
      <c r="AT331" s="8"/>
      <c r="AU331" s="8"/>
      <c r="AV331" s="8"/>
      <c r="AW331" s="8"/>
      <c r="AX331" s="8"/>
      <c r="AY331" s="8"/>
      <c r="AZ331" s="8"/>
      <c r="BA331" s="8"/>
      <c r="BB331" s="8"/>
      <c r="BC331" s="8"/>
      <c r="BD331" s="8"/>
      <c r="BE331" s="8"/>
      <c r="BF331" s="8"/>
      <c r="BG331" s="8"/>
      <c r="BH331" s="8"/>
      <c r="BI331" s="8"/>
      <c r="BJ331" s="8"/>
      <c r="BK331" s="8"/>
      <c r="BL331" s="8"/>
      <c r="BM331" s="8"/>
      <c r="BN331" s="8"/>
      <c r="BO331" s="8"/>
      <c r="BP331" s="8"/>
      <c r="BQ331" s="8"/>
      <c r="BR331" s="8"/>
      <c r="BS331" s="8"/>
      <c r="BT331" s="8"/>
      <c r="BU331" s="8"/>
      <c r="BV331" s="8"/>
      <c r="BW331" s="8"/>
      <c r="BX331" s="8"/>
      <c r="BY331" s="8"/>
      <c r="BZ331" s="8"/>
    </row>
    <row r="332" spans="1:78" ht="13" customHeight="1" x14ac:dyDescent="0.15">
      <c r="A332" s="8" t="s">
        <v>6189</v>
      </c>
      <c r="B332" s="8"/>
      <c r="C332" s="11">
        <v>2018</v>
      </c>
      <c r="D332" s="8" t="s">
        <v>784</v>
      </c>
      <c r="E332" s="8"/>
      <c r="F332" s="8" t="s">
        <v>5168</v>
      </c>
      <c r="G332" s="8" t="str" cm="1">
        <f t="array" ref="G332">LOWER(CleanCode(F332))</f>
        <v>conceptualizingtheotherininterculturalencountersreviewformulationandtypologyoftheotheridentity</v>
      </c>
      <c r="H332" s="8"/>
      <c r="I332" s="8"/>
      <c r="J332" s="8" t="s">
        <v>5172</v>
      </c>
      <c r="K332" s="8"/>
      <c r="L332" s="8"/>
      <c r="M332" s="8" t="s">
        <v>5169</v>
      </c>
      <c r="N332" s="8" t="str">
        <f t="shared" si="5"/>
        <v>Howard Journal Of Communications</v>
      </c>
      <c r="O332" s="8" t="str">
        <f>"10646175"</f>
        <v>10646175</v>
      </c>
      <c r="P332" s="8"/>
      <c r="Q332" s="8"/>
      <c r="R332" s="8" t="str">
        <f>"20181220"</f>
        <v>20181220</v>
      </c>
      <c r="S332" s="8"/>
      <c r="T332" s="8"/>
      <c r="U332" s="8"/>
      <c r="V332" s="8"/>
      <c r="W332" s="8"/>
      <c r="X332" s="8"/>
      <c r="Y332" s="8"/>
      <c r="Z332" s="8"/>
      <c r="AA332" s="8"/>
      <c r="AB332" s="8"/>
      <c r="AC332" s="8"/>
      <c r="AD332" s="8" t="s">
        <v>5170</v>
      </c>
      <c r="AE332" s="8" t="s">
        <v>798</v>
      </c>
      <c r="AF332" s="8"/>
      <c r="AG332" s="8" t="s">
        <v>4728</v>
      </c>
      <c r="AH332" s="8"/>
      <c r="AI332" s="8"/>
      <c r="AJ332" s="8" t="s">
        <v>5171</v>
      </c>
      <c r="AK332" s="8"/>
      <c r="AL332" s="8" t="s">
        <v>5173</v>
      </c>
      <c r="AM332" s="8"/>
      <c r="AN332" s="8"/>
      <c r="AO332" s="8"/>
      <c r="AP332" s="8"/>
      <c r="AQ332" s="8"/>
      <c r="AR332" s="8"/>
      <c r="AS332" s="8"/>
      <c r="AT332" s="8"/>
      <c r="AU332" s="8"/>
      <c r="AV332" s="8"/>
      <c r="AW332" s="8"/>
      <c r="AX332" s="8"/>
      <c r="AY332" s="8"/>
      <c r="AZ332" s="8"/>
      <c r="BA332" s="8"/>
      <c r="BB332" s="8"/>
      <c r="BC332" s="8"/>
      <c r="BD332" s="8"/>
      <c r="BE332" s="8"/>
      <c r="BF332" s="8"/>
      <c r="BG332" s="8"/>
      <c r="BH332" s="8"/>
      <c r="BI332" s="8"/>
      <c r="BJ332" s="8"/>
      <c r="BK332" s="8"/>
      <c r="BL332" s="8"/>
      <c r="BM332" s="8"/>
      <c r="BN332" s="8"/>
      <c r="BO332" s="8"/>
      <c r="BP332" s="8"/>
      <c r="BQ332" s="8"/>
      <c r="BR332" s="8"/>
      <c r="BS332" s="8"/>
      <c r="BT332" s="8"/>
      <c r="BU332" s="8"/>
      <c r="BV332" s="8"/>
      <c r="BW332" s="8"/>
      <c r="BX332" s="8"/>
      <c r="BY332" s="8"/>
      <c r="BZ332" s="8"/>
    </row>
    <row r="333" spans="1:78" ht="13" customHeight="1" x14ac:dyDescent="0.15">
      <c r="A333" s="8" t="s">
        <v>6189</v>
      </c>
      <c r="B333" s="8" t="s">
        <v>4773</v>
      </c>
      <c r="C333" s="11">
        <v>2012</v>
      </c>
      <c r="D333" s="8" t="s">
        <v>5175</v>
      </c>
      <c r="E333" s="8"/>
      <c r="F333" s="8" t="s">
        <v>5174</v>
      </c>
      <c r="G333" s="8" t="str" cm="1">
        <f t="array" ref="G333">LOWER(CleanCode(F333))</f>
        <v>conceptualizingtheschoolacculturativecontextschoolclassroomandtheimmigrantstudent</v>
      </c>
      <c r="H333" s="8"/>
      <c r="I333" s="8"/>
      <c r="J333" s="8" t="s">
        <v>5180</v>
      </c>
      <c r="K333" s="8"/>
      <c r="L333" s="8"/>
      <c r="M333" s="8" t="s">
        <v>5176</v>
      </c>
      <c r="N333" s="8" t="str">
        <f t="shared" si="5"/>
        <v>Realizing The Potential Of Immigrant Youth.</v>
      </c>
      <c r="O333" s="8"/>
      <c r="P333" s="8"/>
      <c r="Q333" s="8" t="str">
        <f>"9781107019508"</f>
        <v>9781107019508</v>
      </c>
      <c r="R333" s="8" t="str">
        <f>"20120101"</f>
        <v>20120101</v>
      </c>
      <c r="S333" s="8"/>
      <c r="T333" s="8"/>
      <c r="U333" s="8">
        <v>359</v>
      </c>
      <c r="V333" s="8"/>
      <c r="W333" s="8">
        <v>17</v>
      </c>
      <c r="X333" s="8"/>
      <c r="Y333" s="8"/>
      <c r="Z333" s="8"/>
      <c r="AA333" s="8"/>
      <c r="AB333" s="8"/>
      <c r="AC333" s="8"/>
      <c r="AD333" s="8" t="s">
        <v>5177</v>
      </c>
      <c r="AE333" s="8" t="s">
        <v>5178</v>
      </c>
      <c r="AF333" s="8"/>
      <c r="AG333" s="8" t="s">
        <v>4892</v>
      </c>
      <c r="AH333" s="8"/>
      <c r="AI333" s="8"/>
      <c r="AJ333" s="8" t="s">
        <v>5179</v>
      </c>
      <c r="AK333" s="8"/>
      <c r="AL333" s="8" t="s">
        <v>5181</v>
      </c>
      <c r="AM333" s="8"/>
      <c r="AN333" s="8"/>
      <c r="AO333" s="8"/>
      <c r="AP333" s="8"/>
      <c r="AQ333" s="8"/>
      <c r="AR333" s="8"/>
      <c r="AS333" s="8"/>
      <c r="AT333" s="8"/>
      <c r="AU333" s="8"/>
      <c r="AV333" s="8"/>
      <c r="AW333" s="8"/>
      <c r="AX333" s="8"/>
      <c r="AY333" s="8"/>
      <c r="AZ333" s="8"/>
      <c r="BA333" s="8"/>
      <c r="BB333" s="8"/>
      <c r="BC333" s="8"/>
      <c r="BD333" s="8"/>
      <c r="BE333" s="8"/>
      <c r="BF333" s="8"/>
      <c r="BG333" s="8"/>
      <c r="BH333" s="8"/>
      <c r="BI333" s="8"/>
      <c r="BJ333" s="8"/>
      <c r="BK333" s="8"/>
      <c r="BL333" s="8"/>
      <c r="BM333" s="8"/>
      <c r="BN333" s="8"/>
      <c r="BO333" s="8"/>
      <c r="BP333" s="8"/>
      <c r="BQ333" s="8"/>
      <c r="BR333" s="8"/>
      <c r="BS333" s="8"/>
      <c r="BT333" s="8"/>
      <c r="BU333" s="8"/>
      <c r="BV333" s="8"/>
      <c r="BW333" s="8"/>
      <c r="BX333" s="8"/>
      <c r="BY333" s="8"/>
      <c r="BZ333" s="8"/>
    </row>
    <row r="334" spans="1:78" ht="13" customHeight="1" x14ac:dyDescent="0.15">
      <c r="A334" s="8" t="s">
        <v>6189</v>
      </c>
      <c r="B334" s="8" t="s">
        <v>4828</v>
      </c>
      <c r="C334" s="11">
        <v>1997</v>
      </c>
      <c r="D334" s="8" t="s">
        <v>4794</v>
      </c>
      <c r="E334" s="8"/>
      <c r="F334" s="8" t="s">
        <v>5182</v>
      </c>
      <c r="G334" s="8" t="str" cm="1">
        <f t="array" ref="G334">LOWER(CleanCode(F334))</f>
        <v>constructingandexpandingaframeworkopportunitiesfordevelopingacculturationresearch</v>
      </c>
      <c r="H334" s="8"/>
      <c r="I334" s="8"/>
      <c r="J334" s="8" t="s">
        <v>5188</v>
      </c>
      <c r="K334" s="8"/>
      <c r="L334" s="8"/>
      <c r="M334" s="8" t="s">
        <v>5183</v>
      </c>
      <c r="N334" s="8" t="str">
        <f t="shared" si="5"/>
        <v>Applied Psychology: An International Review</v>
      </c>
      <c r="O334" s="8" t="str">
        <f>"0269994X"</f>
        <v>0269994X</v>
      </c>
      <c r="P334" s="8"/>
      <c r="Q334" s="8"/>
      <c r="R334" s="8" t="str">
        <f>"19970101"</f>
        <v>19970101</v>
      </c>
      <c r="S334" s="8">
        <v>46</v>
      </c>
      <c r="T334" s="8">
        <v>1</v>
      </c>
      <c r="U334" s="8">
        <v>62</v>
      </c>
      <c r="V334" s="8"/>
      <c r="W334" s="8">
        <v>7</v>
      </c>
      <c r="X334" s="8"/>
      <c r="Y334" s="8"/>
      <c r="Z334" s="8"/>
      <c r="AA334" s="8"/>
      <c r="AB334" s="8"/>
      <c r="AC334" s="8"/>
      <c r="AD334" s="8" t="s">
        <v>5184</v>
      </c>
      <c r="AE334" s="8" t="s">
        <v>5185</v>
      </c>
      <c r="AF334" s="8"/>
      <c r="AG334" s="8" t="s">
        <v>5186</v>
      </c>
      <c r="AH334" s="8"/>
      <c r="AI334" s="8"/>
      <c r="AJ334" s="8" t="s">
        <v>5187</v>
      </c>
      <c r="AK334" s="8"/>
      <c r="AL334" s="8" t="s">
        <v>5189</v>
      </c>
      <c r="AM334" s="8"/>
      <c r="AN334" s="8"/>
      <c r="AO334" s="8"/>
      <c r="AP334" s="8"/>
      <c r="AQ334" s="8"/>
      <c r="AR334" s="8"/>
      <c r="AS334" s="8"/>
      <c r="AT334" s="8"/>
      <c r="AU334" s="8"/>
      <c r="AV334" s="8"/>
      <c r="AW334" s="8"/>
      <c r="AX334" s="8"/>
      <c r="AY334" s="8"/>
      <c r="AZ334" s="8"/>
      <c r="BA334" s="8"/>
      <c r="BB334" s="8"/>
      <c r="BC334" s="8"/>
      <c r="BD334" s="8"/>
      <c r="BE334" s="8"/>
      <c r="BF334" s="8"/>
      <c r="BG334" s="8"/>
      <c r="BH334" s="8"/>
      <c r="BI334" s="8"/>
      <c r="BJ334" s="8"/>
      <c r="BK334" s="8"/>
      <c r="BL334" s="8"/>
      <c r="BM334" s="8"/>
      <c r="BN334" s="8"/>
      <c r="BO334" s="8"/>
      <c r="BP334" s="8"/>
      <c r="BQ334" s="8"/>
      <c r="BR334" s="8"/>
      <c r="BS334" s="8"/>
      <c r="BT334" s="8"/>
      <c r="BU334" s="8"/>
      <c r="BV334" s="8"/>
      <c r="BW334" s="8"/>
      <c r="BX334" s="8"/>
      <c r="BY334" s="8"/>
      <c r="BZ334" s="8"/>
    </row>
    <row r="335" spans="1:78" ht="13" customHeight="1" x14ac:dyDescent="0.15">
      <c r="A335" s="8" t="s">
        <v>6189</v>
      </c>
      <c r="B335" s="8"/>
      <c r="C335" s="11">
        <v>2013</v>
      </c>
      <c r="D335" s="8" t="s">
        <v>5191</v>
      </c>
      <c r="E335" s="8"/>
      <c r="F335" s="8" t="s">
        <v>5190</v>
      </c>
      <c r="G335" s="8" t="str" cm="1">
        <f t="array" ref="G335">LOWER(CleanCode(F335))</f>
        <v>contemporaryclinicalpracticewithasianimmigrantsarelationalframeworkwithculturallyresponsiveapproaches</v>
      </c>
      <c r="H335" s="8"/>
      <c r="I335" s="8"/>
      <c r="J335" s="8" t="s">
        <v>5196</v>
      </c>
      <c r="K335" s="8"/>
      <c r="L335" s="8"/>
      <c r="M335" s="8"/>
      <c r="N335" s="8" t="str">
        <f t="shared" si="5"/>
        <v/>
      </c>
      <c r="O335" s="8"/>
      <c r="P335" s="8"/>
      <c r="Q335" s="8" t="str">
        <f>"9780415783422; 9780203758359"</f>
        <v>9780415783422; 9780203758359</v>
      </c>
      <c r="R335" s="8" t="str">
        <f>"20130101"</f>
        <v>20130101</v>
      </c>
      <c r="S335" s="8"/>
      <c r="T335" s="8"/>
      <c r="U335" s="8"/>
      <c r="V335" s="8"/>
      <c r="W335" s="8">
        <v>242</v>
      </c>
      <c r="X335" s="8"/>
      <c r="Y335" s="8"/>
      <c r="Z335" s="8"/>
      <c r="AA335" s="8"/>
      <c r="AB335" s="8"/>
      <c r="AC335" s="8"/>
      <c r="AD335" s="8" t="s">
        <v>5192</v>
      </c>
      <c r="AE335" s="8" t="s">
        <v>5193</v>
      </c>
      <c r="AF335" s="8"/>
      <c r="AG335" s="8" t="s">
        <v>5194</v>
      </c>
      <c r="AH335" s="8"/>
      <c r="AI335" s="8"/>
      <c r="AJ335" s="8" t="s">
        <v>5195</v>
      </c>
      <c r="AK335" s="8"/>
      <c r="AL335" s="8" t="s">
        <v>5197</v>
      </c>
      <c r="AM335" s="8"/>
      <c r="AN335" s="8"/>
      <c r="AO335" s="8"/>
      <c r="AP335" s="8"/>
      <c r="AQ335" s="8"/>
      <c r="AR335" s="8"/>
      <c r="AS335" s="8"/>
      <c r="AT335" s="8"/>
      <c r="AU335" s="8"/>
      <c r="AV335" s="8"/>
      <c r="AW335" s="8"/>
      <c r="AX335" s="8"/>
      <c r="AY335" s="8"/>
      <c r="AZ335" s="8"/>
      <c r="BA335" s="8"/>
      <c r="BB335" s="8"/>
      <c r="BC335" s="8"/>
      <c r="BD335" s="8"/>
      <c r="BE335" s="8"/>
      <c r="BF335" s="8"/>
      <c r="BG335" s="8"/>
      <c r="BH335" s="8"/>
      <c r="BI335" s="8"/>
      <c r="BJ335" s="8"/>
      <c r="BK335" s="8"/>
      <c r="BL335" s="8"/>
      <c r="BM335" s="8"/>
      <c r="BN335" s="8"/>
      <c r="BO335" s="8"/>
      <c r="BP335" s="8"/>
      <c r="BQ335" s="8"/>
      <c r="BR335" s="8"/>
      <c r="BS335" s="8"/>
      <c r="BT335" s="8"/>
      <c r="BU335" s="8"/>
      <c r="BV335" s="8"/>
      <c r="BW335" s="8"/>
      <c r="BX335" s="8"/>
      <c r="BY335" s="8"/>
      <c r="BZ335" s="8"/>
    </row>
    <row r="336" spans="1:78" ht="13" customHeight="1" x14ac:dyDescent="0.15">
      <c r="A336" s="8" t="s">
        <v>6189</v>
      </c>
      <c r="B336" s="8" t="s">
        <v>4679</v>
      </c>
      <c r="C336" s="11">
        <v>2007</v>
      </c>
      <c r="D336" s="8" t="s">
        <v>5199</v>
      </c>
      <c r="E336" s="8"/>
      <c r="F336" s="8" t="s">
        <v>5198</v>
      </c>
      <c r="G336" s="8" t="str" cm="1">
        <f t="array" ref="G336">LOWER(CleanCode(F336))</f>
        <v>creatinghealthyacculturationpathwaysintegratingtheoryandresearchtoinformcounselorsworkwithimmigrantchildren</v>
      </c>
      <c r="H336" s="8"/>
      <c r="I336" s="8"/>
      <c r="J336" s="8" t="s">
        <v>5205</v>
      </c>
      <c r="K336" s="8"/>
      <c r="L336" s="8"/>
      <c r="M336" s="8" t="s">
        <v>5200</v>
      </c>
      <c r="N336" s="8" t="str">
        <f t="shared" si="5"/>
        <v>Professional School Counseling</v>
      </c>
      <c r="O336" s="8" t="str">
        <f>"10962409"</f>
        <v>10962409</v>
      </c>
      <c r="P336" s="8"/>
      <c r="Q336" s="8"/>
      <c r="R336" s="8" t="str">
        <f>"20071001"</f>
        <v>20071001</v>
      </c>
      <c r="S336" s="8">
        <v>11</v>
      </c>
      <c r="T336" s="8">
        <v>1</v>
      </c>
      <c r="U336" s="8">
        <v>25</v>
      </c>
      <c r="V336" s="8"/>
      <c r="W336" s="8">
        <v>10</v>
      </c>
      <c r="X336" s="8"/>
      <c r="Y336" s="8"/>
      <c r="Z336" s="8"/>
      <c r="AA336" s="8"/>
      <c r="AB336" s="8"/>
      <c r="AC336" s="8"/>
      <c r="AD336" s="8" t="s">
        <v>5201</v>
      </c>
      <c r="AE336" s="8" t="s">
        <v>5202</v>
      </c>
      <c r="AF336" s="8"/>
      <c r="AG336" s="8" t="s">
        <v>5203</v>
      </c>
      <c r="AH336" s="8"/>
      <c r="AI336" s="8"/>
      <c r="AJ336" s="8" t="s">
        <v>5204</v>
      </c>
      <c r="AK336" s="8"/>
      <c r="AL336" s="8" t="s">
        <v>5206</v>
      </c>
      <c r="AM336" s="8"/>
      <c r="AN336" s="8"/>
      <c r="AO336" s="8"/>
      <c r="AP336" s="8"/>
      <c r="AQ336" s="8"/>
      <c r="AR336" s="8"/>
      <c r="AS336" s="8"/>
      <c r="AT336" s="8"/>
      <c r="AU336" s="8"/>
      <c r="AV336" s="8"/>
      <c r="AW336" s="8"/>
      <c r="AX336" s="8"/>
      <c r="AY336" s="8"/>
      <c r="AZ336" s="8"/>
      <c r="BA336" s="8"/>
      <c r="BB336" s="8"/>
      <c r="BC336" s="8"/>
      <c r="BD336" s="8"/>
      <c r="BE336" s="8"/>
      <c r="BF336" s="8"/>
      <c r="BG336" s="8"/>
      <c r="BH336" s="8"/>
      <c r="BI336" s="8"/>
      <c r="BJ336" s="8"/>
      <c r="BK336" s="8"/>
      <c r="BL336" s="8"/>
      <c r="BM336" s="8"/>
      <c r="BN336" s="8"/>
      <c r="BO336" s="8"/>
      <c r="BP336" s="8"/>
      <c r="BQ336" s="8"/>
      <c r="BR336" s="8"/>
      <c r="BS336" s="8"/>
      <c r="BT336" s="8"/>
      <c r="BU336" s="8"/>
      <c r="BV336" s="8"/>
      <c r="BW336" s="8"/>
      <c r="BX336" s="8"/>
      <c r="BY336" s="8"/>
      <c r="BZ336" s="8"/>
    </row>
    <row r="337" spans="1:78" ht="13" customHeight="1" x14ac:dyDescent="0.15">
      <c r="A337" s="8" t="s">
        <v>6189</v>
      </c>
      <c r="B337" s="8" t="s">
        <v>4679</v>
      </c>
      <c r="C337" s="11">
        <v>2010</v>
      </c>
      <c r="D337" s="8" t="s">
        <v>5208</v>
      </c>
      <c r="E337" s="8"/>
      <c r="F337" s="8" t="s">
        <v>5207</v>
      </c>
      <c r="G337" s="8" t="str" cm="1">
        <f t="array" ref="G337">LOWER(CleanCode(F337))</f>
        <v>criticalracetheoriescolorismandthedecadesresearchonfamiliesofcolor</v>
      </c>
      <c r="H337" s="8"/>
      <c r="I337" s="8"/>
      <c r="J337" s="8" t="s">
        <v>5213</v>
      </c>
      <c r="K337" s="8"/>
      <c r="L337" s="8"/>
      <c r="M337" s="8" t="s">
        <v>5209</v>
      </c>
      <c r="N337" s="8" t="str">
        <f t="shared" si="5"/>
        <v>Journal Of Marriage And Family</v>
      </c>
      <c r="O337" s="8" t="str">
        <f>"00222445"</f>
        <v>00222445</v>
      </c>
      <c r="P337" s="8"/>
      <c r="Q337" s="8"/>
      <c r="R337" s="8" t="str">
        <f>"20100601"</f>
        <v>20100601</v>
      </c>
      <c r="S337" s="8">
        <v>72</v>
      </c>
      <c r="T337" s="8">
        <v>3</v>
      </c>
      <c r="U337" s="8">
        <v>440</v>
      </c>
      <c r="V337" s="8"/>
      <c r="W337" s="8">
        <v>20</v>
      </c>
      <c r="X337" s="8"/>
      <c r="Y337" s="8"/>
      <c r="Z337" s="8"/>
      <c r="AA337" s="8"/>
      <c r="AB337" s="8"/>
      <c r="AC337" s="8"/>
      <c r="AD337" s="8" t="s">
        <v>5210</v>
      </c>
      <c r="AE337" s="8" t="s">
        <v>5211</v>
      </c>
      <c r="AF337" s="8"/>
      <c r="AG337" s="8" t="s">
        <v>4883</v>
      </c>
      <c r="AH337" s="8"/>
      <c r="AI337" s="8"/>
      <c r="AJ337" s="8" t="s">
        <v>5212</v>
      </c>
      <c r="AK337" s="8"/>
      <c r="AL337" s="8" t="s">
        <v>5214</v>
      </c>
      <c r="AM337" s="8"/>
      <c r="AN337" s="8"/>
      <c r="AO337" s="8"/>
      <c r="AP337" s="8"/>
      <c r="AQ337" s="8"/>
      <c r="AR337" s="8"/>
      <c r="AS337" s="8"/>
      <c r="AT337" s="8"/>
      <c r="AU337" s="8"/>
      <c r="AV337" s="8"/>
      <c r="AW337" s="8"/>
      <c r="AX337" s="8"/>
      <c r="AY337" s="8"/>
      <c r="AZ337" s="8"/>
      <c r="BA337" s="8"/>
      <c r="BB337" s="8"/>
      <c r="BC337" s="8"/>
      <c r="BD337" s="8"/>
      <c r="BE337" s="8"/>
      <c r="BF337" s="8"/>
      <c r="BG337" s="8"/>
      <c r="BH337" s="8"/>
      <c r="BI337" s="8"/>
      <c r="BJ337" s="8"/>
      <c r="BK337" s="8"/>
      <c r="BL337" s="8"/>
      <c r="BM337" s="8"/>
      <c r="BN337" s="8"/>
      <c r="BO337" s="8"/>
      <c r="BP337" s="8"/>
      <c r="BQ337" s="8"/>
      <c r="BR337" s="8"/>
      <c r="BS337" s="8"/>
      <c r="BT337" s="8"/>
      <c r="BU337" s="8"/>
      <c r="BV337" s="8"/>
      <c r="BW337" s="8"/>
      <c r="BX337" s="8"/>
      <c r="BY337" s="8"/>
      <c r="BZ337" s="8"/>
    </row>
    <row r="338" spans="1:78" ht="13" customHeight="1" x14ac:dyDescent="0.15">
      <c r="A338" s="8" t="s">
        <v>6189</v>
      </c>
      <c r="B338" s="8" t="s">
        <v>4773</v>
      </c>
      <c r="C338" s="11">
        <v>1995</v>
      </c>
      <c r="D338" s="8" t="s">
        <v>5216</v>
      </c>
      <c r="E338" s="8"/>
      <c r="F338" s="8" t="s">
        <v>5215</v>
      </c>
      <c r="G338" s="8" t="str" cm="1">
        <f t="array" ref="G338">LOWER(CleanCode(F338))</f>
        <v>crossculturalissuesinsocialtheorizationthecaseoffeminism</v>
      </c>
      <c r="H338" s="8"/>
      <c r="I338" s="8"/>
      <c r="J338" s="8" t="s">
        <v>5221</v>
      </c>
      <c r="K338" s="8"/>
      <c r="L338" s="8"/>
      <c r="M338" s="8" t="s">
        <v>5217</v>
      </c>
      <c r="N338" s="8" t="str">
        <f t="shared" si="5"/>
        <v>Trends And Issues In Theoretical Psychology.</v>
      </c>
      <c r="O338" s="8"/>
      <c r="P338" s="8"/>
      <c r="Q338" s="8" t="str">
        <f>"0826188109"</f>
        <v>0826188109</v>
      </c>
      <c r="R338" s="8" t="str">
        <f>"19950101"</f>
        <v>19950101</v>
      </c>
      <c r="S338" s="8"/>
      <c r="T338" s="8"/>
      <c r="U338" s="8">
        <v>55</v>
      </c>
      <c r="V338" s="8"/>
      <c r="W338" s="8">
        <v>5</v>
      </c>
      <c r="X338" s="8"/>
      <c r="Y338" s="8"/>
      <c r="Z338" s="8"/>
      <c r="AA338" s="8"/>
      <c r="AB338" s="8"/>
      <c r="AC338" s="8"/>
      <c r="AD338" s="8" t="s">
        <v>5218</v>
      </c>
      <c r="AE338" s="8"/>
      <c r="AF338" s="8"/>
      <c r="AG338" s="8" t="s">
        <v>5219</v>
      </c>
      <c r="AH338" s="8"/>
      <c r="AI338" s="8"/>
      <c r="AJ338" s="8" t="s">
        <v>5220</v>
      </c>
      <c r="AK338" s="8"/>
      <c r="AL338" s="8" t="s">
        <v>5222</v>
      </c>
      <c r="AM338" s="8"/>
      <c r="AN338" s="8"/>
      <c r="AO338" s="8"/>
      <c r="AP338" s="8"/>
      <c r="AQ338" s="8"/>
      <c r="AR338" s="8"/>
      <c r="AS338" s="8"/>
      <c r="AT338" s="8"/>
      <c r="AU338" s="8"/>
      <c r="AV338" s="8"/>
      <c r="AW338" s="8"/>
      <c r="AX338" s="8"/>
      <c r="AY338" s="8"/>
      <c r="AZ338" s="8"/>
      <c r="BA338" s="8"/>
      <c r="BB338" s="8"/>
      <c r="BC338" s="8"/>
      <c r="BD338" s="8"/>
      <c r="BE338" s="8"/>
      <c r="BF338" s="8"/>
      <c r="BG338" s="8"/>
      <c r="BH338" s="8"/>
      <c r="BI338" s="8"/>
      <c r="BJ338" s="8"/>
      <c r="BK338" s="8"/>
      <c r="BL338" s="8"/>
      <c r="BM338" s="8"/>
      <c r="BN338" s="8"/>
      <c r="BO338" s="8"/>
      <c r="BP338" s="8"/>
      <c r="BQ338" s="8"/>
      <c r="BR338" s="8"/>
      <c r="BS338" s="8"/>
      <c r="BT338" s="8"/>
      <c r="BU338" s="8"/>
      <c r="BV338" s="8"/>
      <c r="BW338" s="8"/>
      <c r="BX338" s="8"/>
      <c r="BY338" s="8"/>
      <c r="BZ338" s="8"/>
    </row>
    <row r="339" spans="1:78" ht="13" customHeight="1" x14ac:dyDescent="0.15">
      <c r="A339" s="8" t="s">
        <v>6189</v>
      </c>
      <c r="B339" s="8" t="s">
        <v>4671</v>
      </c>
      <c r="C339" s="11">
        <v>1983</v>
      </c>
      <c r="D339" s="8" t="s">
        <v>5224</v>
      </c>
      <c r="E339" s="8"/>
      <c r="F339" s="8" t="s">
        <v>5223</v>
      </c>
      <c r="G339" s="8" t="str" cm="1">
        <f t="array" ref="G339">LOWER(CleanCode(F339))</f>
        <v>cubanamericansandmentalhealthculturalframeworkandtheoreticalbasesofapreventiveeducationalmodel</v>
      </c>
      <c r="H339" s="8"/>
      <c r="I339" s="8"/>
      <c r="J339" s="8"/>
      <c r="K339" s="8"/>
      <c r="L339" s="8"/>
      <c r="M339" s="8" t="s">
        <v>4762</v>
      </c>
      <c r="N339" s="8" t="str">
        <f t="shared" si="5"/>
        <v>Dissertation Abstracts International Section A: Humanities And Social Sciences</v>
      </c>
      <c r="O339" s="8" t="str">
        <f>"04194209"</f>
        <v>04194209</v>
      </c>
      <c r="P339" s="8"/>
      <c r="Q339" s="8"/>
      <c r="R339" s="8" t="str">
        <f>"19830801"</f>
        <v>19830801</v>
      </c>
      <c r="S339" s="8">
        <v>44</v>
      </c>
      <c r="T339" s="8" t="s">
        <v>5225</v>
      </c>
      <c r="U339" s="8">
        <v>419</v>
      </c>
      <c r="V339" s="8"/>
      <c r="W339" s="8">
        <v>1</v>
      </c>
      <c r="X339" s="8"/>
      <c r="Y339" s="8"/>
      <c r="Z339" s="8"/>
      <c r="AA339" s="8"/>
      <c r="AB339" s="8"/>
      <c r="AC339" s="8"/>
      <c r="AD339" s="8" t="s">
        <v>5226</v>
      </c>
      <c r="AE339" s="8"/>
      <c r="AF339" s="8"/>
      <c r="AG339" s="8" t="s">
        <v>4670</v>
      </c>
      <c r="AH339" s="8"/>
      <c r="AI339" s="8"/>
      <c r="AJ339" s="8" t="s">
        <v>5227</v>
      </c>
      <c r="AK339" s="8"/>
      <c r="AL339" s="8" t="s">
        <v>5228</v>
      </c>
      <c r="AM339" s="8"/>
      <c r="AN339" s="8"/>
      <c r="AO339" s="8"/>
      <c r="AP339" s="8"/>
      <c r="AQ339" s="8"/>
      <c r="AR339" s="8"/>
      <c r="AS339" s="8"/>
      <c r="AT339" s="8"/>
      <c r="AU339" s="8"/>
      <c r="AV339" s="8"/>
      <c r="AW339" s="8"/>
      <c r="AX339" s="8"/>
      <c r="AY339" s="8"/>
      <c r="AZ339" s="8"/>
      <c r="BA339" s="8"/>
      <c r="BB339" s="8"/>
      <c r="BC339" s="8"/>
      <c r="BD339" s="8"/>
      <c r="BE339" s="8"/>
      <c r="BF339" s="8"/>
      <c r="BG339" s="8"/>
      <c r="BH339" s="8"/>
      <c r="BI339" s="8"/>
      <c r="BJ339" s="8"/>
      <c r="BK339" s="8"/>
      <c r="BL339" s="8"/>
      <c r="BM339" s="8"/>
      <c r="BN339" s="8"/>
      <c r="BO339" s="8"/>
      <c r="BP339" s="8"/>
      <c r="BQ339" s="8"/>
      <c r="BR339" s="8"/>
      <c r="BS339" s="8"/>
      <c r="BT339" s="8"/>
      <c r="BU339" s="8"/>
      <c r="BV339" s="8"/>
      <c r="BW339" s="8"/>
      <c r="BX339" s="8"/>
      <c r="BY339" s="8"/>
      <c r="BZ339" s="8"/>
    </row>
    <row r="340" spans="1:78" ht="13" customHeight="1" x14ac:dyDescent="0.15">
      <c r="A340" s="8" t="s">
        <v>6189</v>
      </c>
      <c r="B340" s="8" t="s">
        <v>4679</v>
      </c>
      <c r="C340" s="11">
        <v>2014</v>
      </c>
      <c r="D340" s="8" t="s">
        <v>5230</v>
      </c>
      <c r="E340" s="8"/>
      <c r="F340" s="8" t="s">
        <v>5229</v>
      </c>
      <c r="G340" s="8" t="str" cm="1">
        <f t="array" ref="G340">LOWER(CleanCode(F340))</f>
        <v>culturalassimilationthepoliticaleconomyofpsychologyasanevolutionarygametheoreticdynamic</v>
      </c>
      <c r="H340" s="8"/>
      <c r="I340" s="8"/>
      <c r="J340" s="8" t="s">
        <v>5235</v>
      </c>
      <c r="K340" s="8"/>
      <c r="L340" s="8"/>
      <c r="M340" s="8" t="s">
        <v>5231</v>
      </c>
      <c r="N340" s="8" t="str">
        <f t="shared" si="5"/>
        <v>Evolutionary Behavioral Sciences</v>
      </c>
      <c r="O340" s="8" t="str">
        <f>"23302925"</f>
        <v>23302925</v>
      </c>
      <c r="P340" s="8"/>
      <c r="Q340" s="8"/>
      <c r="R340" s="8" t="str">
        <f>"20140701"</f>
        <v>20140701</v>
      </c>
      <c r="S340" s="8">
        <v>8</v>
      </c>
      <c r="T340" s="8">
        <v>3</v>
      </c>
      <c r="U340" s="8">
        <v>209</v>
      </c>
      <c r="V340" s="8"/>
      <c r="W340" s="8">
        <v>14</v>
      </c>
      <c r="X340" s="8"/>
      <c r="Y340" s="8"/>
      <c r="Z340" s="8"/>
      <c r="AA340" s="8"/>
      <c r="AB340" s="8"/>
      <c r="AC340" s="8"/>
      <c r="AD340" s="8" t="s">
        <v>5232</v>
      </c>
      <c r="AE340" s="8" t="s">
        <v>5233</v>
      </c>
      <c r="AF340" s="8"/>
      <c r="AG340" s="8" t="s">
        <v>4711</v>
      </c>
      <c r="AH340" s="8"/>
      <c r="AI340" s="8"/>
      <c r="AJ340" s="8" t="s">
        <v>5234</v>
      </c>
      <c r="AK340" s="8"/>
      <c r="AL340" s="8" t="s">
        <v>5236</v>
      </c>
      <c r="AM340" s="8"/>
      <c r="AN340" s="8"/>
      <c r="AO340" s="8"/>
      <c r="AP340" s="8"/>
      <c r="AQ340" s="8"/>
      <c r="AR340" s="8"/>
      <c r="AS340" s="8"/>
      <c r="AT340" s="8"/>
      <c r="AU340" s="8"/>
      <c r="AV340" s="8"/>
      <c r="AW340" s="8"/>
      <c r="AX340" s="8"/>
      <c r="AY340" s="8"/>
      <c r="AZ340" s="8"/>
      <c r="BA340" s="8"/>
      <c r="BB340" s="8"/>
      <c r="BC340" s="8"/>
      <c r="BD340" s="8"/>
      <c r="BE340" s="8"/>
      <c r="BF340" s="8"/>
      <c r="BG340" s="8"/>
      <c r="BH340" s="8"/>
      <c r="BI340" s="8"/>
      <c r="BJ340" s="8"/>
      <c r="BK340" s="8"/>
      <c r="BL340" s="8"/>
      <c r="BM340" s="8"/>
      <c r="BN340" s="8"/>
      <c r="BO340" s="8"/>
      <c r="BP340" s="8"/>
      <c r="BQ340" s="8"/>
      <c r="BR340" s="8"/>
      <c r="BS340" s="8"/>
      <c r="BT340" s="8"/>
      <c r="BU340" s="8"/>
      <c r="BV340" s="8"/>
      <c r="BW340" s="8"/>
      <c r="BX340" s="8"/>
      <c r="BY340" s="8"/>
      <c r="BZ340" s="8"/>
    </row>
    <row r="341" spans="1:78" ht="13" customHeight="1" x14ac:dyDescent="0.15">
      <c r="A341" s="8" t="s">
        <v>6189</v>
      </c>
      <c r="B341" s="8" t="s">
        <v>4679</v>
      </c>
      <c r="C341" s="11">
        <v>2009</v>
      </c>
      <c r="D341" s="8" t="s">
        <v>3736</v>
      </c>
      <c r="E341" s="8"/>
      <c r="F341" s="8" t="s">
        <v>5237</v>
      </c>
      <c r="G341" s="8" t="str" cm="1">
        <f t="array" ref="G341">LOWER(CleanCode(F341))</f>
        <v>culturalexplanationsforracialandethnicstratificationinacademicachievementacallforanewandimprovedtheory</v>
      </c>
      <c r="H341" s="8"/>
      <c r="I341" s="8"/>
      <c r="J341" s="8" t="s">
        <v>5241</v>
      </c>
      <c r="K341" s="8"/>
      <c r="L341" s="8"/>
      <c r="M341" s="8" t="s">
        <v>5238</v>
      </c>
      <c r="N341" s="8" t="str">
        <f t="shared" si="5"/>
        <v>Review Of Educational Research</v>
      </c>
      <c r="O341" s="8" t="str">
        <f>"00346543"</f>
        <v>00346543</v>
      </c>
      <c r="P341" s="8"/>
      <c r="Q341" s="8"/>
      <c r="R341" s="8" t="str">
        <f>"20090301"</f>
        <v>20090301</v>
      </c>
      <c r="S341" s="8">
        <v>79</v>
      </c>
      <c r="T341" s="8">
        <v>1</v>
      </c>
      <c r="U341" s="8">
        <v>366</v>
      </c>
      <c r="V341" s="8"/>
      <c r="W341" s="8">
        <v>29</v>
      </c>
      <c r="X341" s="8"/>
      <c r="Y341" s="8"/>
      <c r="Z341" s="8"/>
      <c r="AA341" s="8"/>
      <c r="AB341" s="8"/>
      <c r="AC341" s="8"/>
      <c r="AD341" s="8" t="s">
        <v>5239</v>
      </c>
      <c r="AE341" s="8" t="s">
        <v>3749</v>
      </c>
      <c r="AF341" s="8"/>
      <c r="AG341" s="8" t="s">
        <v>4678</v>
      </c>
      <c r="AH341" s="8"/>
      <c r="AI341" s="8"/>
      <c r="AJ341" s="8" t="s">
        <v>5240</v>
      </c>
      <c r="AK341" s="8"/>
      <c r="AL341" s="8" t="s">
        <v>5242</v>
      </c>
      <c r="AM341" s="8"/>
      <c r="AN341" s="8"/>
      <c r="AO341" s="8"/>
      <c r="AP341" s="8"/>
      <c r="AQ341" s="8"/>
      <c r="AR341" s="8"/>
      <c r="AS341" s="8"/>
      <c r="AT341" s="8"/>
      <c r="AU341" s="8"/>
      <c r="AV341" s="8"/>
      <c r="AW341" s="8"/>
      <c r="AX341" s="8"/>
      <c r="AY341" s="8"/>
      <c r="AZ341" s="8"/>
      <c r="BA341" s="8"/>
      <c r="BB341" s="8"/>
      <c r="BC341" s="8"/>
      <c r="BD341" s="8"/>
      <c r="BE341" s="8"/>
      <c r="BF341" s="8"/>
      <c r="BG341" s="8"/>
      <c r="BH341" s="8"/>
      <c r="BI341" s="8"/>
      <c r="BJ341" s="8"/>
      <c r="BK341" s="8"/>
      <c r="BL341" s="8"/>
      <c r="BM341" s="8"/>
      <c r="BN341" s="8"/>
      <c r="BO341" s="8"/>
      <c r="BP341" s="8"/>
      <c r="BQ341" s="8"/>
      <c r="BR341" s="8"/>
      <c r="BS341" s="8"/>
      <c r="BT341" s="8"/>
      <c r="BU341" s="8"/>
      <c r="BV341" s="8"/>
      <c r="BW341" s="8"/>
      <c r="BX341" s="8"/>
      <c r="BY341" s="8"/>
      <c r="BZ341" s="8"/>
    </row>
    <row r="342" spans="1:78" ht="13" customHeight="1" x14ac:dyDescent="0.15">
      <c r="A342" s="8" t="s">
        <v>6189</v>
      </c>
      <c r="B342" s="8"/>
      <c r="C342" s="11">
        <v>2017</v>
      </c>
      <c r="D342" s="8" t="s">
        <v>5244</v>
      </c>
      <c r="E342" s="8"/>
      <c r="F342" s="8" t="s">
        <v>5243</v>
      </c>
      <c r="G342" s="8" t="str" cm="1">
        <f t="array" ref="G342">LOWER(CleanCode(F342))</f>
        <v>culturalfoundationsandinterventionsinlatinoamentalhealthhistorytheoryandwithingroupdifferences</v>
      </c>
      <c r="H342" s="8"/>
      <c r="I342" s="8"/>
      <c r="J342" s="8" t="s">
        <v>5247</v>
      </c>
      <c r="K342" s="8"/>
      <c r="L342" s="8"/>
      <c r="M342" s="8"/>
      <c r="N342" s="8" t="str">
        <f t="shared" si="5"/>
        <v/>
      </c>
      <c r="O342" s="8"/>
      <c r="P342" s="8"/>
      <c r="Q342" s="8" t="str">
        <f>"9781138851535; 9781315724058"</f>
        <v>9781138851535; 9781315724058</v>
      </c>
      <c r="R342" s="8" t="str">
        <f>"20170101"</f>
        <v>20170101</v>
      </c>
      <c r="S342" s="8"/>
      <c r="T342" s="8"/>
      <c r="U342" s="8"/>
      <c r="V342" s="8"/>
      <c r="W342" s="8">
        <v>252</v>
      </c>
      <c r="X342" s="8"/>
      <c r="Y342" s="8"/>
      <c r="Z342" s="8"/>
      <c r="AA342" s="8"/>
      <c r="AB342" s="8"/>
      <c r="AC342" s="8"/>
      <c r="AD342" s="8" t="s">
        <v>5245</v>
      </c>
      <c r="AE342" s="8"/>
      <c r="AF342" s="8"/>
      <c r="AG342" s="8" t="s">
        <v>5194</v>
      </c>
      <c r="AH342" s="8"/>
      <c r="AI342" s="8"/>
      <c r="AJ342" s="8" t="s">
        <v>5246</v>
      </c>
      <c r="AK342" s="8"/>
      <c r="AL342" s="8" t="s">
        <v>5248</v>
      </c>
      <c r="AM342" s="8"/>
      <c r="AN342" s="8"/>
      <c r="AO342" s="8"/>
      <c r="AP342" s="8"/>
      <c r="AQ342" s="8"/>
      <c r="AR342" s="8"/>
      <c r="AS342" s="8"/>
      <c r="AT342" s="8"/>
      <c r="AU342" s="8"/>
      <c r="AV342" s="8"/>
      <c r="AW342" s="8"/>
      <c r="AX342" s="8"/>
      <c r="AY342" s="8"/>
      <c r="AZ342" s="8"/>
      <c r="BA342" s="8"/>
      <c r="BB342" s="8"/>
      <c r="BC342" s="8"/>
      <c r="BD342" s="8"/>
      <c r="BE342" s="8"/>
      <c r="BF342" s="8"/>
      <c r="BG342" s="8"/>
      <c r="BH342" s="8"/>
      <c r="BI342" s="8"/>
      <c r="BJ342" s="8"/>
      <c r="BK342" s="8"/>
      <c r="BL342" s="8"/>
      <c r="BM342" s="8"/>
      <c r="BN342" s="8"/>
      <c r="BO342" s="8"/>
      <c r="BP342" s="8"/>
      <c r="BQ342" s="8"/>
      <c r="BR342" s="8"/>
      <c r="BS342" s="8"/>
      <c r="BT342" s="8"/>
      <c r="BU342" s="8"/>
      <c r="BV342" s="8"/>
      <c r="BW342" s="8"/>
      <c r="BX342" s="8"/>
      <c r="BY342" s="8"/>
      <c r="BZ342" s="8"/>
    </row>
    <row r="343" spans="1:78" ht="13" customHeight="1" x14ac:dyDescent="0.15">
      <c r="A343" s="8" t="s">
        <v>6189</v>
      </c>
      <c r="B343" s="8" t="s">
        <v>4679</v>
      </c>
      <c r="C343" s="11">
        <v>2018</v>
      </c>
      <c r="D343" s="8" t="s">
        <v>5250</v>
      </c>
      <c r="E343" s="8"/>
      <c r="F343" s="8" t="s">
        <v>5249</v>
      </c>
      <c r="G343" s="8" t="str" cm="1">
        <f t="array" ref="G343">LOWER(CleanCode(F343))</f>
        <v>culturalidentityamongafghanandiraqitraumatizedrefugeestowardsaconceptualframeworkformentalhealthcareprofessionals</v>
      </c>
      <c r="H343" s="8"/>
      <c r="I343" s="8"/>
      <c r="J343" s="8" t="s">
        <v>5254</v>
      </c>
      <c r="K343" s="8"/>
      <c r="L343" s="8"/>
      <c r="M343" s="8" t="s">
        <v>5251</v>
      </c>
      <c r="N343" s="8" t="str">
        <f t="shared" si="5"/>
        <v>Culture, Medicine, And Psychiatry: An International Journal Of Cross-Cultural Health Research</v>
      </c>
      <c r="O343" s="8" t="str">
        <f>"0165005X"</f>
        <v>0165005X</v>
      </c>
      <c r="P343" s="8"/>
      <c r="Q343" s="8"/>
      <c r="R343" s="8" t="str">
        <f>"20180301"</f>
        <v>20180301</v>
      </c>
      <c r="S343" s="8">
        <v>42</v>
      </c>
      <c r="T343" s="8">
        <v>1</v>
      </c>
      <c r="U343" s="8">
        <v>69</v>
      </c>
      <c r="V343" s="8"/>
      <c r="W343" s="8">
        <v>23</v>
      </c>
      <c r="X343" s="8"/>
      <c r="Y343" s="8"/>
      <c r="Z343" s="8"/>
      <c r="AA343" s="8"/>
      <c r="AB343" s="8"/>
      <c r="AC343" s="8"/>
      <c r="AD343" s="8" t="s">
        <v>5252</v>
      </c>
      <c r="AE343" s="8" t="s">
        <v>1527</v>
      </c>
      <c r="AF343" s="8"/>
      <c r="AG343" s="8" t="s">
        <v>4696</v>
      </c>
      <c r="AH343" s="8"/>
      <c r="AI343" s="8"/>
      <c r="AJ343" s="8" t="s">
        <v>5253</v>
      </c>
      <c r="AK343" s="8"/>
      <c r="AL343" s="8" t="s">
        <v>5255</v>
      </c>
      <c r="AM343" s="8"/>
      <c r="AN343" s="8"/>
      <c r="AO343" s="8"/>
      <c r="AP343" s="8"/>
      <c r="AQ343" s="8"/>
      <c r="AR343" s="8"/>
      <c r="AS343" s="8"/>
      <c r="AT343" s="8"/>
      <c r="AU343" s="8"/>
      <c r="AV343" s="8"/>
      <c r="AW343" s="8"/>
      <c r="AX343" s="8"/>
      <c r="AY343" s="8"/>
      <c r="AZ343" s="8"/>
      <c r="BA343" s="8"/>
      <c r="BB343" s="8"/>
      <c r="BC343" s="8"/>
      <c r="BD343" s="8"/>
      <c r="BE343" s="8"/>
      <c r="BF343" s="8"/>
      <c r="BG343" s="8"/>
      <c r="BH343" s="8"/>
      <c r="BI343" s="8"/>
      <c r="BJ343" s="8"/>
      <c r="BK343" s="8"/>
      <c r="BL343" s="8"/>
      <c r="BM343" s="8"/>
      <c r="BN343" s="8"/>
      <c r="BO343" s="8"/>
      <c r="BP343" s="8"/>
      <c r="BQ343" s="8"/>
      <c r="BR343" s="8"/>
      <c r="BS343" s="8"/>
      <c r="BT343" s="8"/>
      <c r="BU343" s="8"/>
      <c r="BV343" s="8"/>
      <c r="BW343" s="8"/>
      <c r="BX343" s="8"/>
      <c r="BY343" s="8"/>
      <c r="BZ343" s="8"/>
    </row>
    <row r="344" spans="1:78" ht="13" customHeight="1" x14ac:dyDescent="0.15">
      <c r="A344" s="8" t="s">
        <v>6189</v>
      </c>
      <c r="B344" s="8" t="s">
        <v>4773</v>
      </c>
      <c r="C344" s="11">
        <v>2009</v>
      </c>
      <c r="D344" s="8" t="s">
        <v>5257</v>
      </c>
      <c r="E344" s="8"/>
      <c r="F344" s="8" t="s">
        <v>5256</v>
      </c>
      <c r="G344" s="8" t="str" cm="1">
        <f t="array" ref="G344">LOWER(CleanCode(F344))</f>
        <v>culturemigrationandfamilyvaluesocializationatheoreticalmodelandempiricalinvestigationwithrussianimmigrantyouthinisrael</v>
      </c>
      <c r="H344" s="8"/>
      <c r="I344" s="8"/>
      <c r="J344" s="8" t="s">
        <v>5261</v>
      </c>
      <c r="K344" s="8"/>
      <c r="L344" s="8"/>
      <c r="M344" s="8" t="s">
        <v>5258</v>
      </c>
      <c r="N344" s="8" t="str">
        <f t="shared" si="5"/>
        <v>Cultural Transmission: Psychological, Developmental, Social, And Methodological Aspects.</v>
      </c>
      <c r="O344" s="8"/>
      <c r="P344" s="8"/>
      <c r="Q344" s="8" t="str">
        <f>"9780521706575; 9780521880435"</f>
        <v>9780521706575; 9780521880435</v>
      </c>
      <c r="R344" s="8" t="str">
        <f>"20090101"</f>
        <v>20090101</v>
      </c>
      <c r="S344" s="8"/>
      <c r="T344" s="8"/>
      <c r="U344" s="8">
        <v>269</v>
      </c>
      <c r="V344" s="8"/>
      <c r="W344" s="8">
        <v>28</v>
      </c>
      <c r="X344" s="8"/>
      <c r="Y344" s="8"/>
      <c r="Z344" s="8"/>
      <c r="AA344" s="8"/>
      <c r="AB344" s="8"/>
      <c r="AC344" s="8"/>
      <c r="AD344" s="8" t="s">
        <v>5259</v>
      </c>
      <c r="AE344" s="8"/>
      <c r="AF344" s="8"/>
      <c r="AG344" s="8" t="s">
        <v>4892</v>
      </c>
      <c r="AH344" s="8"/>
      <c r="AI344" s="8"/>
      <c r="AJ344" s="8" t="s">
        <v>5260</v>
      </c>
      <c r="AK344" s="8"/>
      <c r="AL344" s="8" t="s">
        <v>5262</v>
      </c>
      <c r="AM344" s="8"/>
      <c r="AN344" s="8"/>
      <c r="AO344" s="8"/>
      <c r="AP344" s="8"/>
      <c r="AQ344" s="8"/>
      <c r="AR344" s="8"/>
      <c r="AS344" s="8"/>
      <c r="AT344" s="8"/>
      <c r="AU344" s="8"/>
      <c r="AV344" s="8"/>
      <c r="AW344" s="8"/>
      <c r="AX344" s="8"/>
      <c r="AY344" s="8"/>
      <c r="AZ344" s="8"/>
      <c r="BA344" s="8"/>
      <c r="BB344" s="8"/>
      <c r="BC344" s="8"/>
      <c r="BD344" s="8"/>
      <c r="BE344" s="8"/>
      <c r="BF344" s="8"/>
      <c r="BG344" s="8"/>
      <c r="BH344" s="8"/>
      <c r="BI344" s="8"/>
      <c r="BJ344" s="8"/>
      <c r="BK344" s="8"/>
      <c r="BL344" s="8"/>
      <c r="BM344" s="8"/>
      <c r="BN344" s="8"/>
      <c r="BO344" s="8"/>
      <c r="BP344" s="8"/>
      <c r="BQ344" s="8"/>
      <c r="BR344" s="8"/>
      <c r="BS344" s="8"/>
      <c r="BT344" s="8"/>
      <c r="BU344" s="8"/>
      <c r="BV344" s="8"/>
      <c r="BW344" s="8"/>
      <c r="BX344" s="8"/>
      <c r="BY344" s="8"/>
      <c r="BZ344" s="8"/>
    </row>
    <row r="345" spans="1:78" ht="13" customHeight="1" x14ac:dyDescent="0.15">
      <c r="A345" s="8" t="s">
        <v>6189</v>
      </c>
      <c r="B345" s="8" t="s">
        <v>4679</v>
      </c>
      <c r="C345" s="11">
        <v>2015</v>
      </c>
      <c r="D345" s="8" t="s">
        <v>2625</v>
      </c>
      <c r="E345" s="8"/>
      <c r="F345" s="8" t="s">
        <v>5263</v>
      </c>
      <c r="G345" s="8" t="str" cm="1">
        <f t="array" ref="G345">LOWER(CleanCode(F345))</f>
        <v>determinantsofhostsocietyacculturationanditsrelationshipwithhealthbehaviorsandoutcomesanewresearchandinterventionframework</v>
      </c>
      <c r="H345" s="8"/>
      <c r="I345" s="8"/>
      <c r="J345" s="8" t="s">
        <v>5267</v>
      </c>
      <c r="K345" s="8"/>
      <c r="L345" s="8"/>
      <c r="M345" s="8" t="s">
        <v>5264</v>
      </c>
      <c r="N345" s="8" t="str">
        <f t="shared" si="5"/>
        <v>Journal Of Immigrant And Minority Health</v>
      </c>
      <c r="O345" s="8" t="str">
        <f>"15571912"</f>
        <v>15571912</v>
      </c>
      <c r="P345" s="8"/>
      <c r="Q345" s="8"/>
      <c r="R345" s="8" t="str">
        <f>"20151001"</f>
        <v>20151001</v>
      </c>
      <c r="S345" s="8">
        <v>17</v>
      </c>
      <c r="T345" s="8">
        <v>5</v>
      </c>
      <c r="U345" s="8">
        <v>1420</v>
      </c>
      <c r="V345" s="8"/>
      <c r="W345" s="8">
        <v>7</v>
      </c>
      <c r="X345" s="8"/>
      <c r="Y345" s="8"/>
      <c r="Z345" s="8"/>
      <c r="AA345" s="8"/>
      <c r="AB345" s="8"/>
      <c r="AC345" s="8"/>
      <c r="AD345" s="8" t="s">
        <v>5265</v>
      </c>
      <c r="AE345" s="8" t="s">
        <v>2642</v>
      </c>
      <c r="AF345" s="8"/>
      <c r="AG345" s="8" t="s">
        <v>4696</v>
      </c>
      <c r="AH345" s="8"/>
      <c r="AI345" s="8"/>
      <c r="AJ345" s="8" t="s">
        <v>5266</v>
      </c>
      <c r="AK345" s="8"/>
      <c r="AL345" s="8" t="s">
        <v>5268</v>
      </c>
      <c r="AM345" s="8"/>
      <c r="AN345" s="8"/>
      <c r="AO345" s="8"/>
      <c r="AP345" s="8"/>
      <c r="AQ345" s="8"/>
      <c r="AR345" s="8"/>
      <c r="AS345" s="8"/>
      <c r="AT345" s="8"/>
      <c r="AU345" s="8"/>
      <c r="AV345" s="8"/>
      <c r="AW345" s="8"/>
      <c r="AX345" s="8"/>
      <c r="AY345" s="8"/>
      <c r="AZ345" s="8"/>
      <c r="BA345" s="8"/>
      <c r="BB345" s="8"/>
      <c r="BC345" s="8"/>
      <c r="BD345" s="8"/>
      <c r="BE345" s="8"/>
      <c r="BF345" s="8"/>
      <c r="BG345" s="8"/>
      <c r="BH345" s="8"/>
      <c r="BI345" s="8"/>
      <c r="BJ345" s="8"/>
      <c r="BK345" s="8"/>
      <c r="BL345" s="8"/>
      <c r="BM345" s="8"/>
      <c r="BN345" s="8"/>
      <c r="BO345" s="8"/>
      <c r="BP345" s="8"/>
      <c r="BQ345" s="8"/>
      <c r="BR345" s="8"/>
      <c r="BS345" s="8"/>
      <c r="BT345" s="8"/>
      <c r="BU345" s="8"/>
      <c r="BV345" s="8"/>
      <c r="BW345" s="8"/>
      <c r="BX345" s="8"/>
      <c r="BY345" s="8"/>
      <c r="BZ345" s="8"/>
    </row>
    <row r="346" spans="1:78" ht="13" customHeight="1" x14ac:dyDescent="0.15">
      <c r="A346" s="8" t="s">
        <v>6189</v>
      </c>
      <c r="B346" s="8" t="s">
        <v>4679</v>
      </c>
      <c r="C346" s="11">
        <v>2018</v>
      </c>
      <c r="D346" s="8" t="s">
        <v>1322</v>
      </c>
      <c r="E346" s="8"/>
      <c r="F346" s="8" t="s">
        <v>5269</v>
      </c>
      <c r="G346" s="8" t="str" cm="1">
        <f t="array" ref="G346">LOWER(CleanCode(F346))</f>
        <v>developingaculturalcontextforconductinganeuropsychologicalevaluationwithaculturallydiverseclienttheeclecticframework</v>
      </c>
      <c r="H346" s="8"/>
      <c r="I346" s="8"/>
      <c r="J346" s="8" t="s">
        <v>5273</v>
      </c>
      <c r="K346" s="8"/>
      <c r="L346" s="8"/>
      <c r="M346" s="8" t="s">
        <v>5270</v>
      </c>
      <c r="N346" s="8" t="str">
        <f t="shared" si="5"/>
        <v>The Clinical Neuropsychologist</v>
      </c>
      <c r="O346" s="8" t="str">
        <f>"13854046"</f>
        <v>13854046</v>
      </c>
      <c r="P346" s="8"/>
      <c r="Q346" s="8"/>
      <c r="R346" s="8" t="str">
        <f>"20181101"</f>
        <v>20181101</v>
      </c>
      <c r="S346" s="8">
        <v>32</v>
      </c>
      <c r="T346" s="8">
        <v>8</v>
      </c>
      <c r="U346" s="8">
        <v>1356</v>
      </c>
      <c r="V346" s="8"/>
      <c r="W346" s="8">
        <v>37</v>
      </c>
      <c r="X346" s="8"/>
      <c r="Y346" s="8"/>
      <c r="Z346" s="8"/>
      <c r="AA346" s="8"/>
      <c r="AB346" s="8"/>
      <c r="AC346" s="8"/>
      <c r="AD346" s="8" t="s">
        <v>5271</v>
      </c>
      <c r="AE346" s="8" t="s">
        <v>1335</v>
      </c>
      <c r="AF346" s="8"/>
      <c r="AG346" s="8" t="s">
        <v>4728</v>
      </c>
      <c r="AH346" s="8"/>
      <c r="AI346" s="8"/>
      <c r="AJ346" s="8" t="s">
        <v>5272</v>
      </c>
      <c r="AK346" s="8"/>
      <c r="AL346" s="8" t="s">
        <v>5274</v>
      </c>
      <c r="AM346" s="8"/>
      <c r="AN346" s="8"/>
      <c r="AO346" s="8"/>
      <c r="AP346" s="8"/>
      <c r="AQ346" s="8"/>
      <c r="AR346" s="8"/>
      <c r="AS346" s="8"/>
      <c r="AT346" s="8"/>
      <c r="AU346" s="8"/>
      <c r="AV346" s="8"/>
      <c r="AW346" s="8"/>
      <c r="AX346" s="8"/>
      <c r="AY346" s="8"/>
      <c r="AZ346" s="8"/>
      <c r="BA346" s="8"/>
      <c r="BB346" s="8"/>
      <c r="BC346" s="8"/>
      <c r="BD346" s="8"/>
      <c r="BE346" s="8"/>
      <c r="BF346" s="8"/>
      <c r="BG346" s="8"/>
      <c r="BH346" s="8"/>
      <c r="BI346" s="8"/>
      <c r="BJ346" s="8"/>
      <c r="BK346" s="8"/>
      <c r="BL346" s="8"/>
      <c r="BM346" s="8"/>
      <c r="BN346" s="8"/>
      <c r="BO346" s="8"/>
      <c r="BP346" s="8"/>
      <c r="BQ346" s="8"/>
      <c r="BR346" s="8"/>
      <c r="BS346" s="8"/>
      <c r="BT346" s="8"/>
      <c r="BU346" s="8"/>
      <c r="BV346" s="8"/>
      <c r="BW346" s="8"/>
      <c r="BX346" s="8"/>
      <c r="BY346" s="8"/>
      <c r="BZ346" s="8"/>
    </row>
    <row r="347" spans="1:78" ht="13" customHeight="1" x14ac:dyDescent="0.15">
      <c r="A347" s="8" t="s">
        <v>6189</v>
      </c>
      <c r="B347" s="8" t="s">
        <v>4773</v>
      </c>
      <c r="C347" s="11">
        <v>2017</v>
      </c>
      <c r="D347" s="8" t="s">
        <v>5276</v>
      </c>
      <c r="E347" s="8"/>
      <c r="F347" s="8" t="s">
        <v>5275</v>
      </c>
      <c r="G347" s="8" t="str" cm="1">
        <f t="array" ref="G347">LOWER(CleanCode(F347))</f>
        <v>developingatheoreticalframeworkforstudiesonacculturationandchronicdisease</v>
      </c>
      <c r="H347" s="8"/>
      <c r="I347" s="8"/>
      <c r="J347" s="8" t="s">
        <v>5280</v>
      </c>
      <c r="K347" s="8"/>
      <c r="L347" s="8"/>
      <c r="M347" s="8" t="s">
        <v>5277</v>
      </c>
      <c r="N347" s="8" t="str">
        <f t="shared" si="5"/>
        <v>The Oxford Handbook Of Acculturation And Health.</v>
      </c>
      <c r="O347" s="8"/>
      <c r="P347" s="8"/>
      <c r="Q347" s="8" t="str">
        <f>"9780190215217"</f>
        <v>9780190215217</v>
      </c>
      <c r="R347" s="8" t="str">
        <f>"20170101"</f>
        <v>20170101</v>
      </c>
      <c r="S347" s="8"/>
      <c r="T347" s="8"/>
      <c r="U347" s="8">
        <v>357</v>
      </c>
      <c r="V347" s="8"/>
      <c r="W347" s="8">
        <v>21</v>
      </c>
      <c r="X347" s="8"/>
      <c r="Y347" s="8"/>
      <c r="Z347" s="8"/>
      <c r="AA347" s="8"/>
      <c r="AB347" s="8"/>
      <c r="AC347" s="8"/>
      <c r="AD347" s="8" t="s">
        <v>5278</v>
      </c>
      <c r="AE347" s="8"/>
      <c r="AF347" s="8"/>
      <c r="AG347" s="8" t="s">
        <v>4813</v>
      </c>
      <c r="AH347" s="8"/>
      <c r="AI347" s="8"/>
      <c r="AJ347" s="8" t="s">
        <v>5279</v>
      </c>
      <c r="AK347" s="8"/>
      <c r="AL347" s="8" t="s">
        <v>5281</v>
      </c>
      <c r="AM347" s="8"/>
      <c r="AN347" s="8"/>
      <c r="AO347" s="8"/>
      <c r="AP347" s="8"/>
      <c r="AQ347" s="8"/>
      <c r="AR347" s="8"/>
      <c r="AS347" s="8"/>
      <c r="AT347" s="8"/>
      <c r="AU347" s="8"/>
      <c r="AV347" s="8"/>
      <c r="AW347" s="8"/>
      <c r="AX347" s="8"/>
      <c r="AY347" s="8"/>
      <c r="AZ347" s="8"/>
      <c r="BA347" s="8"/>
      <c r="BB347" s="8"/>
      <c r="BC347" s="8"/>
      <c r="BD347" s="8"/>
      <c r="BE347" s="8"/>
      <c r="BF347" s="8"/>
      <c r="BG347" s="8"/>
      <c r="BH347" s="8"/>
      <c r="BI347" s="8"/>
      <c r="BJ347" s="8"/>
      <c r="BK347" s="8"/>
      <c r="BL347" s="8"/>
      <c r="BM347" s="8"/>
      <c r="BN347" s="8"/>
      <c r="BO347" s="8"/>
      <c r="BP347" s="8"/>
      <c r="BQ347" s="8"/>
      <c r="BR347" s="8"/>
      <c r="BS347" s="8"/>
      <c r="BT347" s="8"/>
      <c r="BU347" s="8"/>
      <c r="BV347" s="8"/>
      <c r="BW347" s="8"/>
      <c r="BX347" s="8"/>
      <c r="BY347" s="8"/>
      <c r="BZ347" s="8"/>
    </row>
    <row r="348" spans="1:78" ht="13" customHeight="1" x14ac:dyDescent="0.15">
      <c r="A348" s="8" t="s">
        <v>6189</v>
      </c>
      <c r="B348" s="8" t="s">
        <v>4679</v>
      </c>
      <c r="C348" s="11">
        <v>2008</v>
      </c>
      <c r="D348" s="8" t="s">
        <v>5283</v>
      </c>
      <c r="E348" s="8"/>
      <c r="F348" s="8" t="s">
        <v>5282</v>
      </c>
      <c r="G348" s="8" t="str" cm="1">
        <f t="array" ref="G348">LOWER(CleanCode(F348))</f>
        <v>diasporaidentityandthepotentialforviolencetowardanidentitymobilizationframework</v>
      </c>
      <c r="H348" s="8"/>
      <c r="I348" s="8"/>
      <c r="J348" s="8" t="s">
        <v>5288</v>
      </c>
      <c r="K348" s="8"/>
      <c r="L348" s="8"/>
      <c r="M348" s="8" t="s">
        <v>5284</v>
      </c>
      <c r="N348" s="8" t="str">
        <f t="shared" si="5"/>
        <v>Identity: An International Journal Of Theory And Research</v>
      </c>
      <c r="O348" s="8" t="str">
        <f>"15283488"</f>
        <v>15283488</v>
      </c>
      <c r="P348" s="8"/>
      <c r="Q348" s="8"/>
      <c r="R348" s="8" t="str">
        <f>"20080101"</f>
        <v>20080101</v>
      </c>
      <c r="S348" s="8">
        <v>8</v>
      </c>
      <c r="T348" s="8">
        <v>1</v>
      </c>
      <c r="U348" s="8">
        <v>67</v>
      </c>
      <c r="V348" s="8"/>
      <c r="W348" s="8">
        <v>22</v>
      </c>
      <c r="X348" s="8"/>
      <c r="Y348" s="8"/>
      <c r="Z348" s="8"/>
      <c r="AA348" s="8"/>
      <c r="AB348" s="8"/>
      <c r="AC348" s="8"/>
      <c r="AD348" s="8" t="s">
        <v>5285</v>
      </c>
      <c r="AE348" s="8" t="s">
        <v>5286</v>
      </c>
      <c r="AF348" s="8"/>
      <c r="AG348" s="8" t="s">
        <v>4728</v>
      </c>
      <c r="AH348" s="8"/>
      <c r="AI348" s="8"/>
      <c r="AJ348" s="8" t="s">
        <v>5287</v>
      </c>
      <c r="AK348" s="8"/>
      <c r="AL348" s="8" t="s">
        <v>5289</v>
      </c>
      <c r="AM348" s="8"/>
      <c r="AN348" s="8"/>
      <c r="AO348" s="8"/>
      <c r="AP348" s="8"/>
      <c r="AQ348" s="8"/>
      <c r="AR348" s="8"/>
      <c r="AS348" s="8"/>
      <c r="AT348" s="8"/>
      <c r="AU348" s="8"/>
      <c r="AV348" s="8"/>
      <c r="AW348" s="8"/>
      <c r="AX348" s="8"/>
      <c r="AY348" s="8"/>
      <c r="AZ348" s="8"/>
      <c r="BA348" s="8"/>
      <c r="BB348" s="8"/>
      <c r="BC348" s="8"/>
      <c r="BD348" s="8"/>
      <c r="BE348" s="8"/>
      <c r="BF348" s="8"/>
      <c r="BG348" s="8"/>
      <c r="BH348" s="8"/>
      <c r="BI348" s="8"/>
      <c r="BJ348" s="8"/>
      <c r="BK348" s="8"/>
      <c r="BL348" s="8"/>
      <c r="BM348" s="8"/>
      <c r="BN348" s="8"/>
      <c r="BO348" s="8"/>
      <c r="BP348" s="8"/>
      <c r="BQ348" s="8"/>
      <c r="BR348" s="8"/>
      <c r="BS348" s="8"/>
      <c r="BT348" s="8"/>
      <c r="BU348" s="8"/>
      <c r="BV348" s="8"/>
      <c r="BW348" s="8"/>
      <c r="BX348" s="8"/>
      <c r="BY348" s="8"/>
      <c r="BZ348" s="8"/>
    </row>
    <row r="349" spans="1:78" ht="13" customHeight="1" x14ac:dyDescent="0.15">
      <c r="A349" s="8" t="s">
        <v>6189</v>
      </c>
      <c r="B349" s="8" t="s">
        <v>4679</v>
      </c>
      <c r="C349" s="11">
        <v>2018</v>
      </c>
      <c r="D349" s="8" t="s">
        <v>1629</v>
      </c>
      <c r="E349" s="8"/>
      <c r="F349" s="8" t="s">
        <v>5290</v>
      </c>
      <c r="G349" s="8" t="str" cm="1">
        <f t="array" ref="G349">LOWER(CleanCode(F349))</f>
        <v>differentiatingthedrugnormalizationframeworkaquantitativeassessmentofcannabisusepatternsaccessibilityandacceptabilityattitudesamonguniversityundergraduates</v>
      </c>
      <c r="H349" s="8"/>
      <c r="I349" s="8"/>
      <c r="J349" s="8" t="s">
        <v>5294</v>
      </c>
      <c r="K349" s="8"/>
      <c r="L349" s="8"/>
      <c r="M349" s="8" t="s">
        <v>5291</v>
      </c>
      <c r="N349" s="8" t="str">
        <f t="shared" si="5"/>
        <v>Substance Use &amp; Misuse</v>
      </c>
      <c r="O349" s="8" t="str">
        <f>"10826084"</f>
        <v>10826084</v>
      </c>
      <c r="P349" s="8"/>
      <c r="Q349" s="8"/>
      <c r="R349" s="8" t="str">
        <f>"20181201"</f>
        <v>20181201</v>
      </c>
      <c r="S349" s="8">
        <v>53</v>
      </c>
      <c r="T349" s="8">
        <v>14</v>
      </c>
      <c r="U349" s="8">
        <v>2339</v>
      </c>
      <c r="V349" s="8"/>
      <c r="W349" s="8">
        <v>11</v>
      </c>
      <c r="X349" s="8"/>
      <c r="Y349" s="8"/>
      <c r="Z349" s="8"/>
      <c r="AA349" s="8"/>
      <c r="AB349" s="8"/>
      <c r="AC349" s="8"/>
      <c r="AD349" s="8" t="s">
        <v>5292</v>
      </c>
      <c r="AE349" s="8" t="s">
        <v>1645</v>
      </c>
      <c r="AF349" s="8"/>
      <c r="AG349" s="8" t="s">
        <v>4728</v>
      </c>
      <c r="AH349" s="8"/>
      <c r="AI349" s="8"/>
      <c r="AJ349" s="8" t="s">
        <v>5293</v>
      </c>
      <c r="AK349" s="8"/>
      <c r="AL349" s="8" t="s">
        <v>5295</v>
      </c>
      <c r="AM349" s="8"/>
      <c r="AN349" s="8"/>
      <c r="AO349" s="8"/>
      <c r="AP349" s="8"/>
      <c r="AQ349" s="8"/>
      <c r="AR349" s="8"/>
      <c r="AS349" s="8"/>
      <c r="AT349" s="8"/>
      <c r="AU349" s="8"/>
      <c r="AV349" s="8"/>
      <c r="AW349" s="8"/>
      <c r="AX349" s="8"/>
      <c r="AY349" s="8"/>
      <c r="AZ349" s="8"/>
      <c r="BA349" s="8"/>
      <c r="BB349" s="8"/>
      <c r="BC349" s="8"/>
      <c r="BD349" s="8"/>
      <c r="BE349" s="8"/>
      <c r="BF349" s="8"/>
      <c r="BG349" s="8"/>
      <c r="BH349" s="8"/>
      <c r="BI349" s="8"/>
      <c r="BJ349" s="8"/>
      <c r="BK349" s="8"/>
      <c r="BL349" s="8"/>
      <c r="BM349" s="8"/>
      <c r="BN349" s="8"/>
      <c r="BO349" s="8"/>
      <c r="BP349" s="8"/>
      <c r="BQ349" s="8"/>
      <c r="BR349" s="8"/>
      <c r="BS349" s="8"/>
      <c r="BT349" s="8"/>
      <c r="BU349" s="8"/>
      <c r="BV349" s="8"/>
      <c r="BW349" s="8"/>
      <c r="BX349" s="8"/>
      <c r="BY349" s="8"/>
      <c r="BZ349" s="8"/>
    </row>
    <row r="350" spans="1:78" ht="13" customHeight="1" x14ac:dyDescent="0.15">
      <c r="A350" s="8" t="s">
        <v>6189</v>
      </c>
      <c r="B350" s="8" t="s">
        <v>4679</v>
      </c>
      <c r="C350" s="11">
        <v>2015</v>
      </c>
      <c r="D350" s="8" t="s">
        <v>2604</v>
      </c>
      <c r="E350" s="8"/>
      <c r="F350" s="8" t="s">
        <v>5296</v>
      </c>
      <c r="G350" s="8" t="str" cm="1">
        <f t="array" ref="G350">LOWER(CleanCode(F350))</f>
        <v>durationofusstayandbodymassindexamonglatinoandasianimmigrantsatestoftheoreticalpathways</v>
      </c>
      <c r="H350" s="8"/>
      <c r="I350" s="8"/>
      <c r="J350" s="8" t="s">
        <v>5300</v>
      </c>
      <c r="K350" s="8"/>
      <c r="L350" s="8"/>
      <c r="M350" s="8" t="s">
        <v>5297</v>
      </c>
      <c r="N350" s="8" t="str">
        <f t="shared" si="5"/>
        <v>Social Science &amp; Medicine</v>
      </c>
      <c r="O350" s="8" t="str">
        <f>"02779536"</f>
        <v>02779536</v>
      </c>
      <c r="P350" s="8"/>
      <c r="Q350" s="8"/>
      <c r="R350" s="8" t="str">
        <f>"20151101"</f>
        <v>20151101</v>
      </c>
      <c r="S350" s="8">
        <v>144</v>
      </c>
      <c r="T350" s="8"/>
      <c r="U350" s="8">
        <v>39</v>
      </c>
      <c r="V350" s="8"/>
      <c r="W350" s="8">
        <v>9</v>
      </c>
      <c r="X350" s="8"/>
      <c r="Y350" s="8"/>
      <c r="Z350" s="8"/>
      <c r="AA350" s="8"/>
      <c r="AB350" s="8"/>
      <c r="AC350" s="8"/>
      <c r="AD350" s="8" t="s">
        <v>5298</v>
      </c>
      <c r="AE350" s="8" t="s">
        <v>2619</v>
      </c>
      <c r="AF350" s="8"/>
      <c r="AG350" s="8" t="s">
        <v>4735</v>
      </c>
      <c r="AH350" s="8"/>
      <c r="AI350" s="8"/>
      <c r="AJ350" s="8" t="s">
        <v>5299</v>
      </c>
      <c r="AK350" s="8"/>
      <c r="AL350" s="8" t="s">
        <v>5301</v>
      </c>
      <c r="AM350" s="8"/>
      <c r="AN350" s="8"/>
      <c r="AO350" s="8"/>
      <c r="AP350" s="8"/>
      <c r="AQ350" s="8"/>
      <c r="AR350" s="8"/>
      <c r="AS350" s="8"/>
      <c r="AT350" s="8"/>
      <c r="AU350" s="8"/>
      <c r="AV350" s="8"/>
      <c r="AW350" s="8"/>
      <c r="AX350" s="8"/>
      <c r="AY350" s="8"/>
      <c r="AZ350" s="8"/>
      <c r="BA350" s="8"/>
      <c r="BB350" s="8"/>
      <c r="BC350" s="8"/>
      <c r="BD350" s="8"/>
      <c r="BE350" s="8"/>
      <c r="BF350" s="8"/>
      <c r="BG350" s="8"/>
      <c r="BH350" s="8"/>
      <c r="BI350" s="8"/>
      <c r="BJ350" s="8"/>
      <c r="BK350" s="8"/>
      <c r="BL350" s="8"/>
      <c r="BM350" s="8"/>
      <c r="BN350" s="8"/>
      <c r="BO350" s="8"/>
      <c r="BP350" s="8"/>
      <c r="BQ350" s="8"/>
      <c r="BR350" s="8"/>
      <c r="BS350" s="8"/>
      <c r="BT350" s="8"/>
      <c r="BU350" s="8"/>
      <c r="BV350" s="8"/>
      <c r="BW350" s="8"/>
      <c r="BX350" s="8"/>
      <c r="BY350" s="8"/>
      <c r="BZ350" s="8"/>
    </row>
    <row r="351" spans="1:78" ht="13" customHeight="1" x14ac:dyDescent="0.15">
      <c r="A351" s="8" t="s">
        <v>6189</v>
      </c>
      <c r="B351" s="8" t="s">
        <v>4679</v>
      </c>
      <c r="C351" s="11">
        <v>2014</v>
      </c>
      <c r="D351" s="8" t="s">
        <v>2924</v>
      </c>
      <c r="E351" s="8"/>
      <c r="F351" s="8" t="s">
        <v>5302</v>
      </c>
      <c r="G351" s="8" t="str" cm="1">
        <f t="array" ref="G351">LOWER(CleanCode(F351))</f>
        <v>efficacyoftheorybasedhivbehavioralpreventionamongruraltourbanmigrantsinchinaarandomizedcontrolledtrial</v>
      </c>
      <c r="H351" s="8"/>
      <c r="I351" s="8"/>
      <c r="J351" s="8" t="s">
        <v>5307</v>
      </c>
      <c r="K351" s="8"/>
      <c r="L351" s="8"/>
      <c r="M351" s="8" t="s">
        <v>5303</v>
      </c>
      <c r="N351" s="8" t="str">
        <f t="shared" si="5"/>
        <v>Aids Education And Prevention</v>
      </c>
      <c r="O351" s="8" t="str">
        <f>"08999546"</f>
        <v>08999546</v>
      </c>
      <c r="P351" s="8"/>
      <c r="Q351" s="8"/>
      <c r="R351" s="8" t="str">
        <f>"20140801"</f>
        <v>20140801</v>
      </c>
      <c r="S351" s="8">
        <v>26</v>
      </c>
      <c r="T351" s="8">
        <v>4</v>
      </c>
      <c r="U351" s="8">
        <v>296</v>
      </c>
      <c r="V351" s="8"/>
      <c r="W351" s="8">
        <v>21</v>
      </c>
      <c r="X351" s="8"/>
      <c r="Y351" s="8"/>
      <c r="Z351" s="8"/>
      <c r="AA351" s="8"/>
      <c r="AB351" s="8"/>
      <c r="AC351" s="8"/>
      <c r="AD351" s="8" t="s">
        <v>5304</v>
      </c>
      <c r="AE351" s="8" t="s">
        <v>2941</v>
      </c>
      <c r="AF351" s="8"/>
      <c r="AG351" s="8" t="s">
        <v>5305</v>
      </c>
      <c r="AH351" s="8"/>
      <c r="AI351" s="8"/>
      <c r="AJ351" s="8" t="s">
        <v>5306</v>
      </c>
      <c r="AK351" s="8"/>
      <c r="AL351" s="8" t="s">
        <v>5308</v>
      </c>
      <c r="AM351" s="8"/>
      <c r="AN351" s="8"/>
      <c r="AO351" s="8"/>
      <c r="AP351" s="8"/>
      <c r="AQ351" s="8"/>
      <c r="AR351" s="8"/>
      <c r="AS351" s="8"/>
      <c r="AT351" s="8"/>
      <c r="AU351" s="8"/>
      <c r="AV351" s="8"/>
      <c r="AW351" s="8"/>
      <c r="AX351" s="8"/>
      <c r="AY351" s="8"/>
      <c r="AZ351" s="8"/>
      <c r="BA351" s="8"/>
      <c r="BB351" s="8"/>
      <c r="BC351" s="8"/>
      <c r="BD351" s="8"/>
      <c r="BE351" s="8"/>
      <c r="BF351" s="8"/>
      <c r="BG351" s="8"/>
      <c r="BH351" s="8"/>
      <c r="BI351" s="8"/>
      <c r="BJ351" s="8"/>
      <c r="BK351" s="8"/>
      <c r="BL351" s="8"/>
      <c r="BM351" s="8"/>
      <c r="BN351" s="8"/>
      <c r="BO351" s="8"/>
      <c r="BP351" s="8"/>
      <c r="BQ351" s="8"/>
      <c r="BR351" s="8"/>
      <c r="BS351" s="8"/>
      <c r="BT351" s="8"/>
      <c r="BU351" s="8"/>
      <c r="BV351" s="8"/>
      <c r="BW351" s="8"/>
      <c r="BX351" s="8"/>
      <c r="BY351" s="8"/>
      <c r="BZ351" s="8"/>
    </row>
    <row r="352" spans="1:78" ht="13" customHeight="1" x14ac:dyDescent="0.15">
      <c r="A352" s="8" t="s">
        <v>6189</v>
      </c>
      <c r="B352" s="8" t="s">
        <v>4679</v>
      </c>
      <c r="C352" s="11">
        <v>2017</v>
      </c>
      <c r="D352" s="8" t="s">
        <v>5310</v>
      </c>
      <c r="E352" s="8"/>
      <c r="F352" s="8" t="s">
        <v>5309</v>
      </c>
      <c r="G352" s="8" t="str" cm="1">
        <f t="array" ref="G352">LOWER(CleanCode(F352))</f>
        <v>eintheoretischesmodellzurintegrationvonarbeitsmigranteninorganisationen</v>
      </c>
      <c r="H352" s="8"/>
      <c r="I352" s="8"/>
      <c r="J352" s="8" t="s">
        <v>5314</v>
      </c>
      <c r="K352" s="8"/>
      <c r="L352" s="8"/>
      <c r="M352" s="8" t="s">
        <v>5311</v>
      </c>
      <c r="N352" s="8" t="str">
        <f t="shared" si="5"/>
        <v>Gruppe. Interaktion. Organisation. Zeitschrift Für Angewandte Organisationspsychologie (Gio)</v>
      </c>
      <c r="O352" s="8" t="str">
        <f>"23666145"</f>
        <v>23666145</v>
      </c>
      <c r="P352" s="8"/>
      <c r="Q352" s="8"/>
      <c r="R352" s="8" t="str">
        <f>"20170301"</f>
        <v>20170301</v>
      </c>
      <c r="S352" s="8">
        <v>48</v>
      </c>
      <c r="T352" s="8">
        <v>1</v>
      </c>
      <c r="U352" s="8">
        <v>61</v>
      </c>
      <c r="V352" s="8"/>
      <c r="W352" s="8">
        <v>8</v>
      </c>
      <c r="X352" s="8"/>
      <c r="Y352" s="8"/>
      <c r="Z352" s="8"/>
      <c r="AA352" s="8"/>
      <c r="AB352" s="8"/>
      <c r="AC352" s="8"/>
      <c r="AD352" s="8" t="s">
        <v>5312</v>
      </c>
      <c r="AE352" s="8" t="s">
        <v>2057</v>
      </c>
      <c r="AF352" s="8"/>
      <c r="AG352" s="8" t="s">
        <v>4696</v>
      </c>
      <c r="AH352" s="8"/>
      <c r="AI352" s="8"/>
      <c r="AJ352" s="8" t="s">
        <v>5313</v>
      </c>
      <c r="AK352" s="8"/>
      <c r="AL352" s="8" t="s">
        <v>5315</v>
      </c>
      <c r="AM352" s="8"/>
      <c r="AN352" s="8"/>
      <c r="AO352" s="8"/>
      <c r="AP352" s="8"/>
      <c r="AQ352" s="8"/>
      <c r="AR352" s="8"/>
      <c r="AS352" s="8"/>
      <c r="AT352" s="8"/>
      <c r="AU352" s="8"/>
      <c r="AV352" s="8"/>
      <c r="AW352" s="8"/>
      <c r="AX352" s="8"/>
      <c r="AY352" s="8"/>
      <c r="AZ352" s="8"/>
      <c r="BA352" s="8"/>
      <c r="BB352" s="8"/>
      <c r="BC352" s="8"/>
      <c r="BD352" s="8"/>
      <c r="BE352" s="8"/>
      <c r="BF352" s="8"/>
      <c r="BG352" s="8"/>
      <c r="BH352" s="8"/>
      <c r="BI352" s="8"/>
      <c r="BJ352" s="8"/>
      <c r="BK352" s="8"/>
      <c r="BL352" s="8"/>
      <c r="BM352" s="8"/>
      <c r="BN352" s="8"/>
      <c r="BO352" s="8"/>
      <c r="BP352" s="8"/>
      <c r="BQ352" s="8"/>
      <c r="BR352" s="8"/>
      <c r="BS352" s="8"/>
      <c r="BT352" s="8"/>
      <c r="BU352" s="8"/>
      <c r="BV352" s="8"/>
      <c r="BW352" s="8"/>
      <c r="BX352" s="8"/>
      <c r="BY352" s="8"/>
      <c r="BZ352" s="8"/>
    </row>
    <row r="353" spans="1:78" ht="13" customHeight="1" x14ac:dyDescent="0.15">
      <c r="A353" s="8" t="s">
        <v>6189</v>
      </c>
      <c r="B353" s="8" t="s">
        <v>4679</v>
      </c>
      <c r="C353" s="11">
        <v>2011</v>
      </c>
      <c r="D353" s="8" t="s">
        <v>5317</v>
      </c>
      <c r="E353" s="8"/>
      <c r="F353" s="8" t="s">
        <v>5316</v>
      </c>
      <c r="G353" s="8" t="str" cm="1">
        <f t="array" ref="G353">LOWER(CleanCode(F353))</f>
        <v>elestudiodelprocesodelcambiosegnelmodelodeasimilacinunaintroduccintericaymetodolgica</v>
      </c>
      <c r="H353" s="8"/>
      <c r="I353" s="8"/>
      <c r="J353" s="8" t="s">
        <v>5323</v>
      </c>
      <c r="K353" s="8"/>
      <c r="L353" s="8"/>
      <c r="M353" s="8" t="s">
        <v>5318</v>
      </c>
      <c r="N353" s="8" t="str">
        <f t="shared" si="5"/>
        <v>Clínica Y Salud</v>
      </c>
      <c r="O353" s="8" t="str">
        <f>"11305274"</f>
        <v>11305274</v>
      </c>
      <c r="P353" s="8"/>
      <c r="Q353" s="8"/>
      <c r="R353" s="8" t="str">
        <f>"20110101"</f>
        <v>20110101</v>
      </c>
      <c r="S353" s="8">
        <v>22</v>
      </c>
      <c r="T353" s="8">
        <v>3</v>
      </c>
      <c r="U353" s="8">
        <v>223</v>
      </c>
      <c r="V353" s="8"/>
      <c r="W353" s="8">
        <v>13</v>
      </c>
      <c r="X353" s="8"/>
      <c r="Y353" s="8"/>
      <c r="Z353" s="8"/>
      <c r="AA353" s="8"/>
      <c r="AB353" s="8"/>
      <c r="AC353" s="8"/>
      <c r="AD353" s="8" t="s">
        <v>5319</v>
      </c>
      <c r="AE353" s="8" t="s">
        <v>5320</v>
      </c>
      <c r="AF353" s="8"/>
      <c r="AG353" s="8" t="s">
        <v>5321</v>
      </c>
      <c r="AH353" s="8"/>
      <c r="AI353" s="8"/>
      <c r="AJ353" s="8" t="s">
        <v>5322</v>
      </c>
      <c r="AK353" s="8"/>
      <c r="AL353" s="8" t="s">
        <v>5324</v>
      </c>
      <c r="AM353" s="8"/>
      <c r="AN353" s="8"/>
      <c r="AO353" s="8"/>
      <c r="AP353" s="8"/>
      <c r="AQ353" s="8"/>
      <c r="AR353" s="8"/>
      <c r="AS353" s="8"/>
      <c r="AT353" s="8"/>
      <c r="AU353" s="8"/>
      <c r="AV353" s="8"/>
      <c r="AW353" s="8"/>
      <c r="AX353" s="8"/>
      <c r="AY353" s="8"/>
      <c r="AZ353" s="8"/>
      <c r="BA353" s="8"/>
      <c r="BB353" s="8"/>
      <c r="BC353" s="8"/>
      <c r="BD353" s="8"/>
      <c r="BE353" s="8"/>
      <c r="BF353" s="8"/>
      <c r="BG353" s="8"/>
      <c r="BH353" s="8"/>
      <c r="BI353" s="8"/>
      <c r="BJ353" s="8"/>
      <c r="BK353" s="8"/>
      <c r="BL353" s="8"/>
      <c r="BM353" s="8"/>
      <c r="BN353" s="8"/>
      <c r="BO353" s="8"/>
      <c r="BP353" s="8"/>
      <c r="BQ353" s="8"/>
      <c r="BR353" s="8"/>
      <c r="BS353" s="8"/>
      <c r="BT353" s="8"/>
      <c r="BU353" s="8"/>
      <c r="BV353" s="8"/>
      <c r="BW353" s="8"/>
      <c r="BX353" s="8"/>
      <c r="BY353" s="8"/>
      <c r="BZ353" s="8"/>
    </row>
    <row r="354" spans="1:78" ht="13" customHeight="1" x14ac:dyDescent="0.15">
      <c r="A354" s="8" t="s">
        <v>6189</v>
      </c>
      <c r="B354" s="8" t="s">
        <v>4679</v>
      </c>
      <c r="C354" s="11">
        <v>2009</v>
      </c>
      <c r="D354" s="8" t="s">
        <v>3715</v>
      </c>
      <c r="E354" s="8"/>
      <c r="F354" s="8" t="s">
        <v>5325</v>
      </c>
      <c r="G354" s="8" t="str" cm="1">
        <f t="array" ref="G354">LOWER(CleanCode(F354))</f>
        <v>enculturationnotacculturationconceptualisingandassessingidentityprocessesinmigrantcommunities</v>
      </c>
      <c r="H354" s="8"/>
      <c r="I354" s="8"/>
      <c r="J354" s="8" t="s">
        <v>5328</v>
      </c>
      <c r="K354" s="8"/>
      <c r="L354" s="8"/>
      <c r="M354" s="8" t="s">
        <v>4733</v>
      </c>
      <c r="N354" s="8" t="str">
        <f t="shared" si="5"/>
        <v>International Journal Of Intercultural Relations</v>
      </c>
      <c r="O354" s="8" t="str">
        <f>"01471767"</f>
        <v>01471767</v>
      </c>
      <c r="P354" s="8"/>
      <c r="Q354" s="8"/>
      <c r="R354" s="8" t="str">
        <f>"20090301"</f>
        <v>20090301</v>
      </c>
      <c r="S354" s="8">
        <v>33</v>
      </c>
      <c r="T354" s="8">
        <v>2</v>
      </c>
      <c r="U354" s="8">
        <v>124</v>
      </c>
      <c r="V354" s="8"/>
      <c r="W354" s="8">
        <v>16</v>
      </c>
      <c r="X354" s="8"/>
      <c r="Y354" s="8"/>
      <c r="Z354" s="8"/>
      <c r="AA354" s="8"/>
      <c r="AB354" s="8"/>
      <c r="AC354" s="8"/>
      <c r="AD354" s="8" t="s">
        <v>5326</v>
      </c>
      <c r="AE354" s="8" t="s">
        <v>3722</v>
      </c>
      <c r="AF354" s="8"/>
      <c r="AG354" s="8" t="s">
        <v>4735</v>
      </c>
      <c r="AH354" s="8"/>
      <c r="AI354" s="8"/>
      <c r="AJ354" s="8" t="s">
        <v>5327</v>
      </c>
      <c r="AK354" s="8"/>
      <c r="AL354" s="8" t="s">
        <v>5329</v>
      </c>
      <c r="AM354" s="8"/>
      <c r="AN354" s="8"/>
      <c r="AO354" s="8"/>
      <c r="AP354" s="8"/>
      <c r="AQ354" s="8"/>
      <c r="AR354" s="8"/>
      <c r="AS354" s="8"/>
      <c r="AT354" s="8"/>
      <c r="AU354" s="8"/>
      <c r="AV354" s="8"/>
      <c r="AW354" s="8"/>
      <c r="AX354" s="8"/>
      <c r="AY354" s="8"/>
      <c r="AZ354" s="8"/>
      <c r="BA354" s="8"/>
      <c r="BB354" s="8"/>
      <c r="BC354" s="8"/>
      <c r="BD354" s="8"/>
      <c r="BE354" s="8"/>
      <c r="BF354" s="8"/>
      <c r="BG354" s="8"/>
      <c r="BH354" s="8"/>
      <c r="BI354" s="8"/>
      <c r="BJ354" s="8"/>
      <c r="BK354" s="8"/>
      <c r="BL354" s="8"/>
      <c r="BM354" s="8"/>
      <c r="BN354" s="8"/>
      <c r="BO354" s="8"/>
      <c r="BP354" s="8"/>
      <c r="BQ354" s="8"/>
      <c r="BR354" s="8"/>
      <c r="BS354" s="8"/>
      <c r="BT354" s="8"/>
      <c r="BU354" s="8"/>
      <c r="BV354" s="8"/>
      <c r="BW354" s="8"/>
      <c r="BX354" s="8"/>
      <c r="BY354" s="8"/>
      <c r="BZ354" s="8"/>
    </row>
    <row r="355" spans="1:78" ht="13" customHeight="1" x14ac:dyDescent="0.15">
      <c r="A355" s="8" t="s">
        <v>6189</v>
      </c>
      <c r="B355" s="8" t="s">
        <v>4679</v>
      </c>
      <c r="C355" s="11">
        <v>2008</v>
      </c>
      <c r="D355" s="8" t="s">
        <v>3768</v>
      </c>
      <c r="E355" s="8"/>
      <c r="F355" s="8" t="s">
        <v>5330</v>
      </c>
      <c r="G355" s="8" t="str" cm="1">
        <f t="array" ref="G355">LOWER(CleanCode(F355))</f>
        <v>ethniccommunitiesandschoolperformanceamongthenewsecondgenerationintheunitedstatestestingthetheoryofsegmentedassimilation</v>
      </c>
      <c r="H355" s="8"/>
      <c r="I355" s="8"/>
      <c r="J355" s="8" t="s">
        <v>5334</v>
      </c>
      <c r="K355" s="8"/>
      <c r="L355" s="8"/>
      <c r="M355" s="8" t="s">
        <v>5331</v>
      </c>
      <c r="N355" s="8" t="str">
        <f t="shared" si="5"/>
        <v>Annals Of The American Academy Of Political And Social Science</v>
      </c>
      <c r="O355" s="8" t="str">
        <f>"00027162"</f>
        <v>00027162</v>
      </c>
      <c r="P355" s="8"/>
      <c r="Q355" s="8"/>
      <c r="R355" s="8" t="str">
        <f>"20081101"</f>
        <v>20081101</v>
      </c>
      <c r="S355" s="8">
        <v>620</v>
      </c>
      <c r="T355" s="8">
        <v>1</v>
      </c>
      <c r="U355" s="8">
        <v>138</v>
      </c>
      <c r="V355" s="8"/>
      <c r="W355" s="8">
        <v>23</v>
      </c>
      <c r="X355" s="8"/>
      <c r="Y355" s="8"/>
      <c r="Z355" s="8"/>
      <c r="AA355" s="8"/>
      <c r="AB355" s="8"/>
      <c r="AC355" s="8"/>
      <c r="AD355" s="8" t="s">
        <v>5332</v>
      </c>
      <c r="AE355" s="8" t="s">
        <v>3777</v>
      </c>
      <c r="AF355" s="8"/>
      <c r="AG355" s="8" t="s">
        <v>4678</v>
      </c>
      <c r="AH355" s="8"/>
      <c r="AI355" s="8"/>
      <c r="AJ355" s="8" t="s">
        <v>5333</v>
      </c>
      <c r="AK355" s="8"/>
      <c r="AL355" s="8" t="s">
        <v>5335</v>
      </c>
      <c r="AM355" s="8"/>
      <c r="AN355" s="8"/>
      <c r="AO355" s="8"/>
      <c r="AP355" s="8"/>
      <c r="AQ355" s="8"/>
      <c r="AR355" s="8"/>
      <c r="AS355" s="8"/>
      <c r="AT355" s="8"/>
      <c r="AU355" s="8"/>
      <c r="AV355" s="8"/>
      <c r="AW355" s="8"/>
      <c r="AX355" s="8"/>
      <c r="AY355" s="8"/>
      <c r="AZ355" s="8"/>
      <c r="BA355" s="8"/>
      <c r="BB355" s="8"/>
      <c r="BC355" s="8"/>
      <c r="BD355" s="8"/>
      <c r="BE355" s="8"/>
      <c r="BF355" s="8"/>
      <c r="BG355" s="8"/>
      <c r="BH355" s="8"/>
      <c r="BI355" s="8"/>
      <c r="BJ355" s="8"/>
      <c r="BK355" s="8"/>
      <c r="BL355" s="8"/>
      <c r="BM355" s="8"/>
      <c r="BN355" s="8"/>
      <c r="BO355" s="8"/>
      <c r="BP355" s="8"/>
      <c r="BQ355" s="8"/>
      <c r="BR355" s="8"/>
      <c r="BS355" s="8"/>
      <c r="BT355" s="8"/>
      <c r="BU355" s="8"/>
      <c r="BV355" s="8"/>
      <c r="BW355" s="8"/>
      <c r="BX355" s="8"/>
      <c r="BY355" s="8"/>
      <c r="BZ355" s="8"/>
    </row>
    <row r="356" spans="1:78" ht="13" customHeight="1" x14ac:dyDescent="0.15">
      <c r="A356" s="8" t="s">
        <v>6189</v>
      </c>
      <c r="B356" s="8" t="s">
        <v>4671</v>
      </c>
      <c r="C356" s="11">
        <v>2013</v>
      </c>
      <c r="D356" s="8" t="s">
        <v>5337</v>
      </c>
      <c r="E356" s="8"/>
      <c r="F356" s="8" t="s">
        <v>5336</v>
      </c>
      <c r="G356" s="8" t="str" cm="1">
        <f t="array" ref="G356">LOWER(CleanCode(F356))</f>
        <v>ethnicsocializationinthetransnationalcontextofmexicanimmigrantfamiliesanecologicalframework</v>
      </c>
      <c r="H356" s="8"/>
      <c r="I356" s="8"/>
      <c r="J356" s="8" t="s">
        <v>5341</v>
      </c>
      <c r="K356" s="8"/>
      <c r="L356" s="8"/>
      <c r="M356" s="8" t="s">
        <v>4667</v>
      </c>
      <c r="N356" s="8" t="str">
        <f t="shared" si="5"/>
        <v>Dissertation Abstracts International: Section B: The Sciences And Engineering</v>
      </c>
      <c r="O356" s="8" t="str">
        <f>"04194217"</f>
        <v>04194217</v>
      </c>
      <c r="P356" s="8"/>
      <c r="Q356" s="8" t="str">
        <f>"9781267867292"</f>
        <v>9781267867292</v>
      </c>
      <c r="R356" s="8" t="str">
        <f>"20130101"</f>
        <v>20130101</v>
      </c>
      <c r="S356" s="8">
        <v>74</v>
      </c>
      <c r="T356" s="8" t="s">
        <v>5338</v>
      </c>
      <c r="U356" s="8"/>
      <c r="V356" s="8"/>
      <c r="W356" s="8"/>
      <c r="X356" s="8"/>
      <c r="Y356" s="8"/>
      <c r="Z356" s="8"/>
      <c r="AA356" s="8"/>
      <c r="AB356" s="8"/>
      <c r="AC356" s="8"/>
      <c r="AD356" s="8" t="s">
        <v>5339</v>
      </c>
      <c r="AE356" s="8"/>
      <c r="AF356" s="8"/>
      <c r="AG356" s="8" t="s">
        <v>4670</v>
      </c>
      <c r="AH356" s="8"/>
      <c r="AI356" s="8"/>
      <c r="AJ356" s="8" t="s">
        <v>5340</v>
      </c>
      <c r="AK356" s="8"/>
      <c r="AL356" s="8" t="s">
        <v>5342</v>
      </c>
      <c r="AM356" s="8"/>
      <c r="AN356" s="8"/>
      <c r="AO356" s="8"/>
      <c r="AP356" s="8"/>
      <c r="AQ356" s="8"/>
      <c r="AR356" s="8"/>
      <c r="AS356" s="8"/>
      <c r="AT356" s="8"/>
      <c r="AU356" s="8"/>
      <c r="AV356" s="8"/>
      <c r="AW356" s="8"/>
      <c r="AX356" s="8"/>
      <c r="AY356" s="8"/>
      <c r="AZ356" s="8"/>
      <c r="BA356" s="8"/>
      <c r="BB356" s="8"/>
      <c r="BC356" s="8"/>
      <c r="BD356" s="8"/>
      <c r="BE356" s="8"/>
      <c r="BF356" s="8"/>
      <c r="BG356" s="8"/>
      <c r="BH356" s="8"/>
      <c r="BI356" s="8"/>
      <c r="BJ356" s="8"/>
      <c r="BK356" s="8"/>
      <c r="BL356" s="8"/>
      <c r="BM356" s="8"/>
      <c r="BN356" s="8"/>
      <c r="BO356" s="8"/>
      <c r="BP356" s="8"/>
      <c r="BQ356" s="8"/>
      <c r="BR356" s="8"/>
      <c r="BS356" s="8"/>
      <c r="BT356" s="8"/>
      <c r="BU356" s="8"/>
      <c r="BV356" s="8"/>
      <c r="BW356" s="8"/>
      <c r="BX356" s="8"/>
      <c r="BY356" s="8"/>
      <c r="BZ356" s="8"/>
    </row>
    <row r="357" spans="1:78" ht="13" customHeight="1" x14ac:dyDescent="0.15">
      <c r="A357" s="8" t="s">
        <v>6189</v>
      </c>
      <c r="B357" s="8" t="s">
        <v>4679</v>
      </c>
      <c r="C357" s="11">
        <v>2021</v>
      </c>
      <c r="D357" s="8" t="s">
        <v>5344</v>
      </c>
      <c r="E357" s="8"/>
      <c r="F357" s="8" t="s">
        <v>5343</v>
      </c>
      <c r="G357" s="8" t="str" cm="1">
        <f t="array" ref="G357">LOWER(CleanCode(F357))</f>
        <v>examinationofkoreanimmigrantmothersparentingpracticesbyusingtheframeworkofbilinearacculturation</v>
      </c>
      <c r="H357" s="8"/>
      <c r="I357" s="8"/>
      <c r="J357" s="8" t="s">
        <v>5349</v>
      </c>
      <c r="K357" s="8"/>
      <c r="L357" s="8"/>
      <c r="M357" s="8" t="s">
        <v>5345</v>
      </c>
      <c r="N357" s="8" t="str">
        <f t="shared" si="5"/>
        <v>Asian American Journal Of Psychology</v>
      </c>
      <c r="O357" s="8" t="str">
        <f>"19481985"</f>
        <v>19481985</v>
      </c>
      <c r="P357" s="8"/>
      <c r="Q357" s="8"/>
      <c r="R357" s="8" t="str">
        <f>"20210301"</f>
        <v>20210301</v>
      </c>
      <c r="S357" s="8">
        <v>12</v>
      </c>
      <c r="T357" s="8">
        <v>1</v>
      </c>
      <c r="U357" s="8">
        <v>52</v>
      </c>
      <c r="V357" s="8"/>
      <c r="W357" s="8">
        <v>13</v>
      </c>
      <c r="X357" s="8"/>
      <c r="Y357" s="8"/>
      <c r="Z357" s="8"/>
      <c r="AA357" s="8"/>
      <c r="AB357" s="8"/>
      <c r="AC357" s="8"/>
      <c r="AD357" s="8" t="s">
        <v>5346</v>
      </c>
      <c r="AE357" s="8" t="s">
        <v>5347</v>
      </c>
      <c r="AF357" s="8"/>
      <c r="AG357" s="8" t="s">
        <v>4711</v>
      </c>
      <c r="AH357" s="8"/>
      <c r="AI357" s="8"/>
      <c r="AJ357" s="8" t="s">
        <v>5348</v>
      </c>
      <c r="AK357" s="8"/>
      <c r="AL357" s="8" t="s">
        <v>5350</v>
      </c>
      <c r="AM357" s="8"/>
      <c r="AN357" s="8"/>
      <c r="AO357" s="8"/>
      <c r="AP357" s="8"/>
      <c r="AQ357" s="8"/>
      <c r="AR357" s="8"/>
      <c r="AS357" s="8"/>
      <c r="AT357" s="8"/>
      <c r="AU357" s="8"/>
      <c r="AV357" s="8"/>
      <c r="AW357" s="8"/>
      <c r="AX357" s="8"/>
      <c r="AY357" s="8"/>
      <c r="AZ357" s="8"/>
      <c r="BA357" s="8"/>
      <c r="BB357" s="8"/>
      <c r="BC357" s="8"/>
      <c r="BD357" s="8"/>
      <c r="BE357" s="8"/>
      <c r="BF357" s="8"/>
      <c r="BG357" s="8"/>
      <c r="BH357" s="8"/>
      <c r="BI357" s="8"/>
      <c r="BJ357" s="8"/>
      <c r="BK357" s="8"/>
      <c r="BL357" s="8"/>
      <c r="BM357" s="8"/>
      <c r="BN357" s="8"/>
      <c r="BO357" s="8"/>
      <c r="BP357" s="8"/>
      <c r="BQ357" s="8"/>
      <c r="BR357" s="8"/>
      <c r="BS357" s="8"/>
      <c r="BT357" s="8"/>
      <c r="BU357" s="8"/>
      <c r="BV357" s="8"/>
      <c r="BW357" s="8"/>
      <c r="BX357" s="8"/>
      <c r="BY357" s="8"/>
      <c r="BZ357" s="8"/>
    </row>
    <row r="358" spans="1:78" ht="13" customHeight="1" x14ac:dyDescent="0.15">
      <c r="A358" s="8" t="s">
        <v>6189</v>
      </c>
      <c r="B358" s="8" t="s">
        <v>4679</v>
      </c>
      <c r="C358" s="11">
        <v>2006</v>
      </c>
      <c r="D358" s="8" t="s">
        <v>5352</v>
      </c>
      <c r="E358" s="8"/>
      <c r="F358" s="8" t="s">
        <v>5351</v>
      </c>
      <c r="G358" s="8" t="str" cm="1">
        <f t="array" ref="G358">LOWER(CleanCode(F358))</f>
        <v>existentialmigrationconceptualisingoutoftheexperientialdepthsofchoosingtoleavehome</v>
      </c>
      <c r="H358" s="8"/>
      <c r="I358" s="8"/>
      <c r="J358" s="8" t="s">
        <v>5357</v>
      </c>
      <c r="K358" s="8"/>
      <c r="L358" s="8"/>
      <c r="M358" s="8" t="s">
        <v>5353</v>
      </c>
      <c r="N358" s="8" t="str">
        <f t="shared" si="5"/>
        <v>Existential Analysis</v>
      </c>
      <c r="O358" s="8" t="str">
        <f>"20440413"</f>
        <v>20440413</v>
      </c>
      <c r="P358" s="8"/>
      <c r="Q358" s="8"/>
      <c r="R358" s="8" t="str">
        <f>"20060701"</f>
        <v>20060701</v>
      </c>
      <c r="S358" s="8">
        <v>17</v>
      </c>
      <c r="T358" s="8">
        <v>2</v>
      </c>
      <c r="U358" s="8">
        <v>238</v>
      </c>
      <c r="V358" s="8"/>
      <c r="W358" s="8">
        <v>23</v>
      </c>
      <c r="X358" s="8"/>
      <c r="Y358" s="8"/>
      <c r="Z358" s="8"/>
      <c r="AA358" s="8"/>
      <c r="AB358" s="8"/>
      <c r="AC358" s="8"/>
      <c r="AD358" s="8" t="s">
        <v>5354</v>
      </c>
      <c r="AE358" s="8"/>
      <c r="AF358" s="8"/>
      <c r="AG358" s="8" t="s">
        <v>5355</v>
      </c>
      <c r="AH358" s="8"/>
      <c r="AI358" s="8"/>
      <c r="AJ358" s="8" t="s">
        <v>5356</v>
      </c>
      <c r="AK358" s="8"/>
      <c r="AL358" s="8" t="s">
        <v>5358</v>
      </c>
      <c r="AM358" s="8"/>
      <c r="AN358" s="8"/>
      <c r="AO358" s="8"/>
      <c r="AP358" s="8"/>
      <c r="AQ358" s="8"/>
      <c r="AR358" s="8"/>
      <c r="AS358" s="8"/>
      <c r="AT358" s="8"/>
      <c r="AU358" s="8"/>
      <c r="AV358" s="8"/>
      <c r="AW358" s="8"/>
      <c r="AX358" s="8"/>
      <c r="AY358" s="8"/>
      <c r="AZ358" s="8"/>
      <c r="BA358" s="8"/>
      <c r="BB358" s="8"/>
      <c r="BC358" s="8"/>
      <c r="BD358" s="8"/>
      <c r="BE358" s="8"/>
      <c r="BF358" s="8"/>
      <c r="BG358" s="8"/>
      <c r="BH358" s="8"/>
      <c r="BI358" s="8"/>
      <c r="BJ358" s="8"/>
      <c r="BK358" s="8"/>
      <c r="BL358" s="8"/>
      <c r="BM358" s="8"/>
      <c r="BN358" s="8"/>
      <c r="BO358" s="8"/>
      <c r="BP358" s="8"/>
      <c r="BQ358" s="8"/>
      <c r="BR358" s="8"/>
      <c r="BS358" s="8"/>
      <c r="BT358" s="8"/>
      <c r="BU358" s="8"/>
      <c r="BV358" s="8"/>
      <c r="BW358" s="8"/>
      <c r="BX358" s="8"/>
      <c r="BY358" s="8"/>
      <c r="BZ358" s="8"/>
    </row>
    <row r="359" spans="1:78" ht="13" customHeight="1" x14ac:dyDescent="0.15">
      <c r="A359" s="8" t="s">
        <v>6189</v>
      </c>
      <c r="B359" s="8" t="s">
        <v>4679</v>
      </c>
      <c r="C359" s="11">
        <v>2008</v>
      </c>
      <c r="D359" s="8" t="s">
        <v>3862</v>
      </c>
      <c r="E359" s="8"/>
      <c r="F359" s="8" t="s">
        <v>3863</v>
      </c>
      <c r="G359" s="8" t="str" cm="1">
        <f t="array" ref="G359">LOWER(CleanCode(F359))</f>
        <v>expandingacculturationtheoryareacculturationmodelsandtheadaptivenessofacculturationstrategiesgeneralizableinacolonialcontext</v>
      </c>
      <c r="H359" s="8"/>
      <c r="I359" s="8"/>
      <c r="J359" s="8" t="s">
        <v>5362</v>
      </c>
      <c r="K359" s="8"/>
      <c r="L359" s="8"/>
      <c r="M359" s="8" t="s">
        <v>5359</v>
      </c>
      <c r="N359" s="8" t="str">
        <f t="shared" si="5"/>
        <v>International Journal Of Behavioral Development</v>
      </c>
      <c r="O359" s="8" t="str">
        <f>"01650254"</f>
        <v>01650254</v>
      </c>
      <c r="P359" s="8"/>
      <c r="Q359" s="8"/>
      <c r="R359" s="8" t="str">
        <f>"20080101"</f>
        <v>20080101</v>
      </c>
      <c r="S359" s="8">
        <v>32</v>
      </c>
      <c r="T359" s="8">
        <v>1</v>
      </c>
      <c r="U359" s="8">
        <v>21</v>
      </c>
      <c r="V359" s="8"/>
      <c r="W359" s="8">
        <v>13</v>
      </c>
      <c r="X359" s="8"/>
      <c r="Y359" s="8"/>
      <c r="Z359" s="8"/>
      <c r="AA359" s="8"/>
      <c r="AB359" s="8"/>
      <c r="AC359" s="8"/>
      <c r="AD359" s="8" t="s">
        <v>5360</v>
      </c>
      <c r="AE359" s="8" t="s">
        <v>3876</v>
      </c>
      <c r="AF359" s="8"/>
      <c r="AG359" s="8" t="s">
        <v>4678</v>
      </c>
      <c r="AH359" s="8"/>
      <c r="AI359" s="8"/>
      <c r="AJ359" s="8" t="s">
        <v>5361</v>
      </c>
      <c r="AK359" s="8"/>
      <c r="AL359" s="8" t="s">
        <v>5363</v>
      </c>
      <c r="AM359" s="8"/>
      <c r="AN359" s="8"/>
      <c r="AO359" s="8"/>
      <c r="AP359" s="8"/>
      <c r="AQ359" s="8"/>
      <c r="AR359" s="8"/>
      <c r="AS359" s="8"/>
      <c r="AT359" s="8"/>
      <c r="AU359" s="8"/>
      <c r="AV359" s="8"/>
      <c r="AW359" s="8"/>
      <c r="AX359" s="8"/>
      <c r="AY359" s="8"/>
      <c r="AZ359" s="8"/>
      <c r="BA359" s="8"/>
      <c r="BB359" s="8"/>
      <c r="BC359" s="8"/>
      <c r="BD359" s="8"/>
      <c r="BE359" s="8"/>
      <c r="BF359" s="8"/>
      <c r="BG359" s="8"/>
      <c r="BH359" s="8"/>
      <c r="BI359" s="8"/>
      <c r="BJ359" s="8"/>
      <c r="BK359" s="8"/>
      <c r="BL359" s="8"/>
      <c r="BM359" s="8"/>
      <c r="BN359" s="8"/>
      <c r="BO359" s="8"/>
      <c r="BP359" s="8"/>
      <c r="BQ359" s="8"/>
      <c r="BR359" s="8"/>
      <c r="BS359" s="8"/>
      <c r="BT359" s="8"/>
      <c r="BU359" s="8"/>
      <c r="BV359" s="8"/>
      <c r="BW359" s="8"/>
      <c r="BX359" s="8"/>
      <c r="BY359" s="8"/>
      <c r="BZ359" s="8"/>
    </row>
    <row r="360" spans="1:78" ht="13" customHeight="1" x14ac:dyDescent="0.15">
      <c r="A360" s="8" t="s">
        <v>6189</v>
      </c>
      <c r="B360" s="8" t="s">
        <v>4679</v>
      </c>
      <c r="C360" s="11">
        <v>2013</v>
      </c>
      <c r="D360" s="8" t="s">
        <v>5365</v>
      </c>
      <c r="E360" s="8"/>
      <c r="F360" s="8" t="s">
        <v>5364</v>
      </c>
      <c r="G360" s="8" t="str" cm="1">
        <f t="array" ref="G360">LOWER(CleanCode(F360))</f>
        <v>expandingpolicybasedconceptualizationsofsuccessfulintegrationnegotiatingintegrationthroughoccupationfollowinginternationalmigration</v>
      </c>
      <c r="H360" s="8"/>
      <c r="I360" s="8"/>
      <c r="J360" s="8" t="s">
        <v>5370</v>
      </c>
      <c r="K360" s="8"/>
      <c r="L360" s="8"/>
      <c r="M360" s="8" t="s">
        <v>5366</v>
      </c>
      <c r="N360" s="8" t="str">
        <f t="shared" si="5"/>
        <v>Journal Of Occupational Science</v>
      </c>
      <c r="O360" s="8" t="str">
        <f>"14427591"</f>
        <v>14427591</v>
      </c>
      <c r="P360" s="8"/>
      <c r="Q360" s="8"/>
      <c r="R360" s="8" t="str">
        <f>"20130401"</f>
        <v>20130401</v>
      </c>
      <c r="S360" s="8">
        <v>20</v>
      </c>
      <c r="T360" s="8">
        <v>1</v>
      </c>
      <c r="U360" s="8">
        <v>6</v>
      </c>
      <c r="V360" s="8"/>
      <c r="W360" s="8">
        <v>17</v>
      </c>
      <c r="X360" s="8"/>
      <c r="Y360" s="8"/>
      <c r="Z360" s="8"/>
      <c r="AA360" s="8"/>
      <c r="AB360" s="8"/>
      <c r="AC360" s="8"/>
      <c r="AD360" s="8" t="s">
        <v>5367</v>
      </c>
      <c r="AE360" s="8" t="s">
        <v>5368</v>
      </c>
      <c r="AF360" s="8"/>
      <c r="AG360" s="8" t="s">
        <v>4728</v>
      </c>
      <c r="AH360" s="8"/>
      <c r="AI360" s="8"/>
      <c r="AJ360" s="8" t="s">
        <v>5369</v>
      </c>
      <c r="AK360" s="8"/>
      <c r="AL360" s="8" t="s">
        <v>5371</v>
      </c>
      <c r="AM360" s="8"/>
      <c r="AN360" s="8"/>
      <c r="AO360" s="8"/>
      <c r="AP360" s="8"/>
      <c r="AQ360" s="8"/>
      <c r="AR360" s="8"/>
      <c r="AS360" s="8"/>
      <c r="AT360" s="8"/>
      <c r="AU360" s="8"/>
      <c r="AV360" s="8"/>
      <c r="AW360" s="8"/>
      <c r="AX360" s="8"/>
      <c r="AY360" s="8"/>
      <c r="AZ360" s="8"/>
      <c r="BA360" s="8"/>
      <c r="BB360" s="8"/>
      <c r="BC360" s="8"/>
      <c r="BD360" s="8"/>
      <c r="BE360" s="8"/>
      <c r="BF360" s="8"/>
      <c r="BG360" s="8"/>
      <c r="BH360" s="8"/>
      <c r="BI360" s="8"/>
      <c r="BJ360" s="8"/>
      <c r="BK360" s="8"/>
      <c r="BL360" s="8"/>
      <c r="BM360" s="8"/>
      <c r="BN360" s="8"/>
      <c r="BO360" s="8"/>
      <c r="BP360" s="8"/>
      <c r="BQ360" s="8"/>
      <c r="BR360" s="8"/>
      <c r="BS360" s="8"/>
      <c r="BT360" s="8"/>
      <c r="BU360" s="8"/>
      <c r="BV360" s="8"/>
      <c r="BW360" s="8"/>
      <c r="BX360" s="8"/>
      <c r="BY360" s="8"/>
      <c r="BZ360" s="8"/>
    </row>
    <row r="361" spans="1:78" ht="13" customHeight="1" x14ac:dyDescent="0.15">
      <c r="A361" s="8" t="s">
        <v>6189</v>
      </c>
      <c r="B361" s="8" t="s">
        <v>4679</v>
      </c>
      <c r="C361" s="11">
        <v>2014</v>
      </c>
      <c r="D361" s="8" t="s">
        <v>2991</v>
      </c>
      <c r="E361" s="8"/>
      <c r="F361" s="8" t="s">
        <v>5372</v>
      </c>
      <c r="G361" s="8" t="str" cm="1">
        <f t="array" ref="G361">LOWER(CleanCode(F361))</f>
        <v>explainingtheimmigrationadvantageandthebiculturalismparadoxanapplicationofthetheoryofdemoralization</v>
      </c>
      <c r="H361" s="8"/>
      <c r="I361" s="8"/>
      <c r="J361" s="8" t="s">
        <v>5375</v>
      </c>
      <c r="K361" s="8"/>
      <c r="L361" s="8"/>
      <c r="M361" s="8" t="s">
        <v>4701</v>
      </c>
      <c r="N361" s="8" t="str">
        <f t="shared" si="5"/>
        <v>International Journal Of Social Psychiatry</v>
      </c>
      <c r="O361" s="8" t="str">
        <f>"00207640"</f>
        <v>00207640</v>
      </c>
      <c r="P361" s="8"/>
      <c r="Q361" s="8"/>
      <c r="R361" s="8" t="str">
        <f>"20140301"</f>
        <v>20140301</v>
      </c>
      <c r="S361" s="8">
        <v>60</v>
      </c>
      <c r="T361" s="8">
        <v>2</v>
      </c>
      <c r="U361" s="8">
        <v>175</v>
      </c>
      <c r="V361" s="8"/>
      <c r="W361" s="8">
        <v>3</v>
      </c>
      <c r="X361" s="8"/>
      <c r="Y361" s="8"/>
      <c r="Z361" s="8"/>
      <c r="AA361" s="8"/>
      <c r="AB361" s="8"/>
      <c r="AC361" s="8"/>
      <c r="AD361" s="8" t="s">
        <v>5373</v>
      </c>
      <c r="AE361" s="8" t="s">
        <v>3005</v>
      </c>
      <c r="AF361" s="8"/>
      <c r="AG361" s="8" t="s">
        <v>4678</v>
      </c>
      <c r="AH361" s="8"/>
      <c r="AI361" s="8"/>
      <c r="AJ361" s="8" t="s">
        <v>5374</v>
      </c>
      <c r="AK361" s="8"/>
      <c r="AL361" s="8" t="s">
        <v>5376</v>
      </c>
      <c r="AM361" s="8"/>
      <c r="AN361" s="8"/>
      <c r="AO361" s="8"/>
      <c r="AP361" s="8"/>
      <c r="AQ361" s="8"/>
      <c r="AR361" s="8"/>
      <c r="AS361" s="8"/>
      <c r="AT361" s="8"/>
      <c r="AU361" s="8"/>
      <c r="AV361" s="8"/>
      <c r="AW361" s="8"/>
      <c r="AX361" s="8"/>
      <c r="AY361" s="8"/>
      <c r="AZ361" s="8"/>
      <c r="BA361" s="8"/>
      <c r="BB361" s="8"/>
      <c r="BC361" s="8"/>
      <c r="BD361" s="8"/>
      <c r="BE361" s="8"/>
      <c r="BF361" s="8"/>
      <c r="BG361" s="8"/>
      <c r="BH361" s="8"/>
      <c r="BI361" s="8"/>
      <c r="BJ361" s="8"/>
      <c r="BK361" s="8"/>
      <c r="BL361" s="8"/>
      <c r="BM361" s="8"/>
      <c r="BN361" s="8"/>
      <c r="BO361" s="8"/>
      <c r="BP361" s="8"/>
      <c r="BQ361" s="8"/>
      <c r="BR361" s="8"/>
      <c r="BS361" s="8"/>
      <c r="BT361" s="8"/>
      <c r="BU361" s="8"/>
      <c r="BV361" s="8"/>
      <c r="BW361" s="8"/>
      <c r="BX361" s="8"/>
      <c r="BY361" s="8"/>
      <c r="BZ361" s="8"/>
    </row>
    <row r="362" spans="1:78" ht="13" customHeight="1" x14ac:dyDescent="0.15">
      <c r="A362" s="8" t="s">
        <v>6189</v>
      </c>
      <c r="B362" s="8" t="s">
        <v>4679</v>
      </c>
      <c r="C362" s="11">
        <v>2020</v>
      </c>
      <c r="D362" s="8" t="s">
        <v>498</v>
      </c>
      <c r="E362" s="8"/>
      <c r="F362" s="8" t="s">
        <v>5377</v>
      </c>
      <c r="G362" s="8" t="str" cm="1">
        <f t="array" ref="G362">LOWER(CleanCode(F362))</f>
        <v>explainingtheculturalretentiondelinquencyrelationshipusingdifferentialsupportandcoerciontheoryastudyofnativebornandimmigrantlatinoyouth</v>
      </c>
      <c r="H362" s="8"/>
      <c r="I362" s="8"/>
      <c r="J362" s="8" t="s">
        <v>5381</v>
      </c>
      <c r="K362" s="8"/>
      <c r="L362" s="8"/>
      <c r="M362" s="8" t="s">
        <v>5378</v>
      </c>
      <c r="N362" s="8" t="str">
        <f t="shared" si="5"/>
        <v>Social Science Quarterly</v>
      </c>
      <c r="O362" s="8" t="str">
        <f>"00384941"</f>
        <v>00384941</v>
      </c>
      <c r="P362" s="8"/>
      <c r="Q362" s="8"/>
      <c r="R362" s="8" t="str">
        <f>"20200301"</f>
        <v>20200301</v>
      </c>
      <c r="S362" s="8">
        <v>101</v>
      </c>
      <c r="T362" s="8">
        <v>2</v>
      </c>
      <c r="U362" s="8">
        <v>623</v>
      </c>
      <c r="V362" s="8"/>
      <c r="W362" s="8">
        <v>18</v>
      </c>
      <c r="X362" s="8"/>
      <c r="Y362" s="8"/>
      <c r="Z362" s="8"/>
      <c r="AA362" s="8"/>
      <c r="AB362" s="8"/>
      <c r="AC362" s="8"/>
      <c r="AD362" s="8" t="s">
        <v>5379</v>
      </c>
      <c r="AE362" s="8" t="s">
        <v>512</v>
      </c>
      <c r="AF362" s="8"/>
      <c r="AG362" s="8" t="s">
        <v>4883</v>
      </c>
      <c r="AH362" s="8"/>
      <c r="AI362" s="8"/>
      <c r="AJ362" s="8" t="s">
        <v>5380</v>
      </c>
      <c r="AK362" s="8"/>
      <c r="AL362" s="8" t="s">
        <v>5382</v>
      </c>
      <c r="AM362" s="8"/>
      <c r="AN362" s="8"/>
      <c r="AO362" s="8"/>
      <c r="AP362" s="8"/>
      <c r="AQ362" s="8"/>
      <c r="AR362" s="8"/>
      <c r="AS362" s="8"/>
      <c r="AT362" s="8"/>
      <c r="AU362" s="8"/>
      <c r="AV362" s="8"/>
      <c r="AW362" s="8"/>
      <c r="AX362" s="8"/>
      <c r="AY362" s="8"/>
      <c r="AZ362" s="8"/>
      <c r="BA362" s="8"/>
      <c r="BB362" s="8"/>
      <c r="BC362" s="8"/>
      <c r="BD362" s="8"/>
      <c r="BE362" s="8"/>
      <c r="BF362" s="8"/>
      <c r="BG362" s="8"/>
      <c r="BH362" s="8"/>
      <c r="BI362" s="8"/>
      <c r="BJ362" s="8"/>
      <c r="BK362" s="8"/>
      <c r="BL362" s="8"/>
      <c r="BM362" s="8"/>
      <c r="BN362" s="8"/>
      <c r="BO362" s="8"/>
      <c r="BP362" s="8"/>
      <c r="BQ362" s="8"/>
      <c r="BR362" s="8"/>
      <c r="BS362" s="8"/>
      <c r="BT362" s="8"/>
      <c r="BU362" s="8"/>
      <c r="BV362" s="8"/>
      <c r="BW362" s="8"/>
      <c r="BX362" s="8"/>
      <c r="BY362" s="8"/>
      <c r="BZ362" s="8"/>
    </row>
    <row r="363" spans="1:78" ht="13" customHeight="1" x14ac:dyDescent="0.15">
      <c r="A363" s="8" t="s">
        <v>6189</v>
      </c>
      <c r="B363" s="8" t="s">
        <v>4773</v>
      </c>
      <c r="C363" s="11">
        <v>2010</v>
      </c>
      <c r="D363" s="8" t="s">
        <v>5384</v>
      </c>
      <c r="E363" s="8"/>
      <c r="F363" s="8" t="s">
        <v>5383</v>
      </c>
      <c r="G363" s="8" t="str" cm="1">
        <f t="array" ref="G363">LOWER(CleanCode(F363))</f>
        <v>exploringtheimmigrantexperiencethroughselfsilencingtheoryandthefullframeapproachthecaseofcaribbeanimmigrantwomenincanadaandtheunitedstates</v>
      </c>
      <c r="H363" s="8"/>
      <c r="I363" s="8"/>
      <c r="J363" s="8" t="s">
        <v>5389</v>
      </c>
      <c r="K363" s="8"/>
      <c r="L363" s="8"/>
      <c r="M363" s="8" t="s">
        <v>5385</v>
      </c>
      <c r="N363" s="8" t="str">
        <f t="shared" si="5"/>
        <v>Silencing The Self Across Cultures: Depression And Gender In The Social World.</v>
      </c>
      <c r="O363" s="8"/>
      <c r="P363" s="8"/>
      <c r="Q363" s="8" t="str">
        <f>"0195398092; 9780195398090"</f>
        <v>0195398092; 9780195398090</v>
      </c>
      <c r="R363" s="8" t="str">
        <f>"20100101"</f>
        <v>20100101</v>
      </c>
      <c r="S363" s="8"/>
      <c r="T363" s="8"/>
      <c r="U363" s="8">
        <v>227</v>
      </c>
      <c r="V363" s="8"/>
      <c r="W363" s="8">
        <v>14</v>
      </c>
      <c r="X363" s="8"/>
      <c r="Y363" s="8"/>
      <c r="Z363" s="8"/>
      <c r="AA363" s="8"/>
      <c r="AB363" s="8"/>
      <c r="AC363" s="8"/>
      <c r="AD363" s="8" t="s">
        <v>5386</v>
      </c>
      <c r="AE363" s="8" t="s">
        <v>5387</v>
      </c>
      <c r="AF363" s="8"/>
      <c r="AG363" s="8" t="s">
        <v>4813</v>
      </c>
      <c r="AH363" s="8"/>
      <c r="AI363" s="8"/>
      <c r="AJ363" s="8" t="s">
        <v>5388</v>
      </c>
      <c r="AK363" s="8"/>
      <c r="AL363" s="8" t="s">
        <v>5390</v>
      </c>
      <c r="AM363" s="8"/>
      <c r="AN363" s="8"/>
      <c r="AO363" s="8"/>
      <c r="AP363" s="8"/>
      <c r="AQ363" s="8"/>
      <c r="AR363" s="8"/>
      <c r="AS363" s="8"/>
      <c r="AT363" s="8"/>
      <c r="AU363" s="8"/>
      <c r="AV363" s="8"/>
      <c r="AW363" s="8"/>
      <c r="AX363" s="8"/>
      <c r="AY363" s="8"/>
      <c r="AZ363" s="8"/>
      <c r="BA363" s="8"/>
      <c r="BB363" s="8"/>
      <c r="BC363" s="8"/>
      <c r="BD363" s="8"/>
      <c r="BE363" s="8"/>
      <c r="BF363" s="8"/>
      <c r="BG363" s="8"/>
      <c r="BH363" s="8"/>
      <c r="BI363" s="8"/>
      <c r="BJ363" s="8"/>
      <c r="BK363" s="8"/>
      <c r="BL363" s="8"/>
      <c r="BM363" s="8"/>
      <c r="BN363" s="8"/>
      <c r="BO363" s="8"/>
      <c r="BP363" s="8"/>
      <c r="BQ363" s="8"/>
      <c r="BR363" s="8"/>
      <c r="BS363" s="8"/>
      <c r="BT363" s="8"/>
      <c r="BU363" s="8"/>
      <c r="BV363" s="8"/>
      <c r="BW363" s="8"/>
      <c r="BX363" s="8"/>
      <c r="BY363" s="8"/>
      <c r="BZ363" s="8"/>
    </row>
    <row r="364" spans="1:78" ht="13" customHeight="1" x14ac:dyDescent="0.15">
      <c r="A364" s="8" t="s">
        <v>6189</v>
      </c>
      <c r="B364" s="8" t="s">
        <v>4671</v>
      </c>
      <c r="C364" s="11">
        <v>2021</v>
      </c>
      <c r="D364" s="8" t="s">
        <v>5392</v>
      </c>
      <c r="E364" s="8"/>
      <c r="F364" s="8" t="s">
        <v>5391</v>
      </c>
      <c r="G364" s="8" t="str" cm="1">
        <f t="array" ref="G364">LOWER(CleanCode(F364))</f>
        <v>exploringtheperspectivesofwestafricanimmigrantfamiliesonactivelivingamongadolescentchildrenagroundedtheoryofstudy</v>
      </c>
      <c r="H364" s="8"/>
      <c r="I364" s="8"/>
      <c r="J364" s="8" t="s">
        <v>5395</v>
      </c>
      <c r="K364" s="8"/>
      <c r="L364" s="8"/>
      <c r="M364" s="8" t="s">
        <v>4667</v>
      </c>
      <c r="N364" s="8" t="str">
        <f t="shared" si="5"/>
        <v>Dissertation Abstracts International: Section B: The Sciences And Engineering</v>
      </c>
      <c r="O364" s="8" t="str">
        <f>"04194217"</f>
        <v>04194217</v>
      </c>
      <c r="P364" s="8"/>
      <c r="Q364" s="8" t="str">
        <f>"9798684603259"</f>
        <v>9798684603259</v>
      </c>
      <c r="R364" s="8" t="str">
        <f>"20210101"</f>
        <v>20210101</v>
      </c>
      <c r="S364" s="8">
        <v>82</v>
      </c>
      <c r="T364" s="8" t="s">
        <v>4740</v>
      </c>
      <c r="U364" s="8"/>
      <c r="V364" s="8"/>
      <c r="W364" s="8"/>
      <c r="X364" s="8"/>
      <c r="Y364" s="8"/>
      <c r="Z364" s="8"/>
      <c r="AA364" s="8"/>
      <c r="AB364" s="8"/>
      <c r="AC364" s="8"/>
      <c r="AD364" s="8" t="s">
        <v>5393</v>
      </c>
      <c r="AE364" s="8"/>
      <c r="AF364" s="8"/>
      <c r="AG364" s="8" t="s">
        <v>4670</v>
      </c>
      <c r="AH364" s="8"/>
      <c r="AI364" s="8"/>
      <c r="AJ364" s="8" t="s">
        <v>5394</v>
      </c>
      <c r="AK364" s="8"/>
      <c r="AL364" s="8" t="s">
        <v>5396</v>
      </c>
      <c r="AM364" s="8"/>
      <c r="AN364" s="8"/>
      <c r="AO364" s="8"/>
      <c r="AP364" s="8"/>
      <c r="AQ364" s="8"/>
      <c r="AR364" s="8"/>
      <c r="AS364" s="8"/>
      <c r="AT364" s="8"/>
      <c r="AU364" s="8"/>
      <c r="AV364" s="8"/>
      <c r="AW364" s="8"/>
      <c r="AX364" s="8"/>
      <c r="AY364" s="8"/>
      <c r="AZ364" s="8"/>
      <c r="BA364" s="8"/>
      <c r="BB364" s="8"/>
      <c r="BC364" s="8"/>
      <c r="BD364" s="8"/>
      <c r="BE364" s="8"/>
      <c r="BF364" s="8"/>
      <c r="BG364" s="8"/>
      <c r="BH364" s="8"/>
      <c r="BI364" s="8"/>
      <c r="BJ364" s="8"/>
      <c r="BK364" s="8"/>
      <c r="BL364" s="8"/>
      <c r="BM364" s="8"/>
      <c r="BN364" s="8"/>
      <c r="BO364" s="8"/>
      <c r="BP364" s="8"/>
      <c r="BQ364" s="8"/>
      <c r="BR364" s="8"/>
      <c r="BS364" s="8"/>
      <c r="BT364" s="8"/>
      <c r="BU364" s="8"/>
      <c r="BV364" s="8"/>
      <c r="BW364" s="8"/>
      <c r="BX364" s="8"/>
      <c r="BY364" s="8"/>
      <c r="BZ364" s="8"/>
    </row>
    <row r="365" spans="1:78" ht="13" customHeight="1" x14ac:dyDescent="0.15">
      <c r="A365" s="8" t="s">
        <v>6189</v>
      </c>
      <c r="B365" s="8" t="s">
        <v>4671</v>
      </c>
      <c r="C365" s="11">
        <v>2014</v>
      </c>
      <c r="D365" s="8" t="s">
        <v>5398</v>
      </c>
      <c r="E365" s="8"/>
      <c r="F365" s="8" t="s">
        <v>5397</v>
      </c>
      <c r="G365" s="8" t="str" cm="1">
        <f t="array" ref="G365">LOWER(CleanCode(F365))</f>
        <v>exploringusimperialistinfluencesonbiculturalkoreansidentitynegotiationacriticaltheorystudy</v>
      </c>
      <c r="H365" s="8"/>
      <c r="I365" s="8"/>
      <c r="J365" s="8" t="s">
        <v>5402</v>
      </c>
      <c r="K365" s="8"/>
      <c r="L365" s="8"/>
      <c r="M365" s="8" t="s">
        <v>4667</v>
      </c>
      <c r="N365" s="8" t="str">
        <f t="shared" si="5"/>
        <v>Dissertation Abstracts International: Section B: The Sciences And Engineering</v>
      </c>
      <c r="O365" s="8" t="str">
        <f>"04194217"</f>
        <v>04194217</v>
      </c>
      <c r="P365" s="8"/>
      <c r="Q365" s="8" t="str">
        <f>"9781303323119"</f>
        <v>9781303323119</v>
      </c>
      <c r="R365" s="8" t="str">
        <f>"20140101"</f>
        <v>20140101</v>
      </c>
      <c r="S365" s="8">
        <v>74</v>
      </c>
      <c r="T365" s="8" t="s">
        <v>5399</v>
      </c>
      <c r="U365" s="8"/>
      <c r="V365" s="8"/>
      <c r="W365" s="8"/>
      <c r="X365" s="8"/>
      <c r="Y365" s="8"/>
      <c r="Z365" s="8"/>
      <c r="AA365" s="8"/>
      <c r="AB365" s="8"/>
      <c r="AC365" s="8"/>
      <c r="AD365" s="8" t="s">
        <v>5400</v>
      </c>
      <c r="AE365" s="8"/>
      <c r="AF365" s="8"/>
      <c r="AG365" s="8" t="s">
        <v>4670</v>
      </c>
      <c r="AH365" s="8"/>
      <c r="AI365" s="8"/>
      <c r="AJ365" s="8" t="s">
        <v>5401</v>
      </c>
      <c r="AK365" s="8"/>
      <c r="AL365" s="8" t="s">
        <v>5403</v>
      </c>
      <c r="AM365" s="8"/>
      <c r="AN365" s="8"/>
      <c r="AO365" s="8"/>
      <c r="AP365" s="8"/>
      <c r="AQ365" s="8"/>
      <c r="AR365" s="8"/>
      <c r="AS365" s="8"/>
      <c r="AT365" s="8"/>
      <c r="AU365" s="8"/>
      <c r="AV365" s="8"/>
      <c r="AW365" s="8"/>
      <c r="AX365" s="8"/>
      <c r="AY365" s="8"/>
      <c r="AZ365" s="8"/>
      <c r="BA365" s="8"/>
      <c r="BB365" s="8"/>
      <c r="BC365" s="8"/>
      <c r="BD365" s="8"/>
      <c r="BE365" s="8"/>
      <c r="BF365" s="8"/>
      <c r="BG365" s="8"/>
      <c r="BH365" s="8"/>
      <c r="BI365" s="8"/>
      <c r="BJ365" s="8"/>
      <c r="BK365" s="8"/>
      <c r="BL365" s="8"/>
      <c r="BM365" s="8"/>
      <c r="BN365" s="8"/>
      <c r="BO365" s="8"/>
      <c r="BP365" s="8"/>
      <c r="BQ365" s="8"/>
      <c r="BR365" s="8"/>
      <c r="BS365" s="8"/>
      <c r="BT365" s="8"/>
      <c r="BU365" s="8"/>
      <c r="BV365" s="8"/>
      <c r="BW365" s="8"/>
      <c r="BX365" s="8"/>
      <c r="BY365" s="8"/>
      <c r="BZ365" s="8"/>
    </row>
    <row r="366" spans="1:78" ht="13" customHeight="1" x14ac:dyDescent="0.15">
      <c r="A366" s="8" t="s">
        <v>6189</v>
      </c>
      <c r="B366" s="8" t="s">
        <v>4679</v>
      </c>
      <c r="C366" s="11">
        <v>2012</v>
      </c>
      <c r="D366" s="8" t="s">
        <v>3259</v>
      </c>
      <c r="E366" s="8"/>
      <c r="F366" s="8" t="s">
        <v>5404</v>
      </c>
      <c r="G366" s="8" t="str" cm="1">
        <f t="array" ref="G366">LOWER(CleanCode(F366))</f>
        <v>factorsaffectingimmigrantsacculturationintentionsatheoreticalmodelanditsassessmentamongadolescentimmigrantsfromrussiaandukraineinisrael</v>
      </c>
      <c r="H366" s="8"/>
      <c r="I366" s="8"/>
      <c r="J366" s="8" t="s">
        <v>5407</v>
      </c>
      <c r="K366" s="8"/>
      <c r="L366" s="8"/>
      <c r="M366" s="8" t="s">
        <v>4733</v>
      </c>
      <c r="N366" s="8" t="str">
        <f t="shared" si="5"/>
        <v>International Journal Of Intercultural Relations</v>
      </c>
      <c r="O366" s="8" t="str">
        <f>"01471767"</f>
        <v>01471767</v>
      </c>
      <c r="P366" s="8"/>
      <c r="Q366" s="8"/>
      <c r="R366" s="8" t="str">
        <f>"20120101"</f>
        <v>20120101</v>
      </c>
      <c r="S366" s="8">
        <v>36</v>
      </c>
      <c r="T366" s="8">
        <v>1</v>
      </c>
      <c r="U366" s="8">
        <v>83</v>
      </c>
      <c r="V366" s="8"/>
      <c r="W366" s="8">
        <v>17</v>
      </c>
      <c r="X366" s="8"/>
      <c r="Y366" s="8"/>
      <c r="Z366" s="8"/>
      <c r="AA366" s="8"/>
      <c r="AB366" s="8"/>
      <c r="AC366" s="8"/>
      <c r="AD366" s="8" t="s">
        <v>5405</v>
      </c>
      <c r="AE366" s="8" t="s">
        <v>3267</v>
      </c>
      <c r="AF366" s="8"/>
      <c r="AG366" s="8" t="s">
        <v>4735</v>
      </c>
      <c r="AH366" s="8"/>
      <c r="AI366" s="8"/>
      <c r="AJ366" s="8" t="s">
        <v>5406</v>
      </c>
      <c r="AK366" s="8"/>
      <c r="AL366" s="8" t="s">
        <v>5408</v>
      </c>
      <c r="AM366" s="8"/>
      <c r="AN366" s="8"/>
      <c r="AO366" s="8"/>
      <c r="AP366" s="8"/>
      <c r="AQ366" s="8"/>
      <c r="AR366" s="8"/>
      <c r="AS366" s="8"/>
      <c r="AT366" s="8"/>
      <c r="AU366" s="8"/>
      <c r="AV366" s="8"/>
      <c r="AW366" s="8"/>
      <c r="AX366" s="8"/>
      <c r="AY366" s="8"/>
      <c r="AZ366" s="8"/>
      <c r="BA366" s="8"/>
      <c r="BB366" s="8"/>
      <c r="BC366" s="8"/>
      <c r="BD366" s="8"/>
      <c r="BE366" s="8"/>
      <c r="BF366" s="8"/>
      <c r="BG366" s="8"/>
      <c r="BH366" s="8"/>
      <c r="BI366" s="8"/>
      <c r="BJ366" s="8"/>
      <c r="BK366" s="8"/>
      <c r="BL366" s="8"/>
      <c r="BM366" s="8"/>
      <c r="BN366" s="8"/>
      <c r="BO366" s="8"/>
      <c r="BP366" s="8"/>
      <c r="BQ366" s="8"/>
      <c r="BR366" s="8"/>
      <c r="BS366" s="8"/>
      <c r="BT366" s="8"/>
      <c r="BU366" s="8"/>
      <c r="BV366" s="8"/>
      <c r="BW366" s="8"/>
      <c r="BX366" s="8"/>
      <c r="BY366" s="8"/>
      <c r="BZ366" s="8"/>
    </row>
    <row r="367" spans="1:78" ht="13" customHeight="1" x14ac:dyDescent="0.15">
      <c r="A367" s="8" t="s">
        <v>6189</v>
      </c>
      <c r="B367" s="8" t="s">
        <v>4671</v>
      </c>
      <c r="C367" s="11">
        <v>2012</v>
      </c>
      <c r="D367" s="8" t="s">
        <v>5410</v>
      </c>
      <c r="E367" s="8"/>
      <c r="F367" s="8" t="s">
        <v>5409</v>
      </c>
      <c r="G367" s="8" t="str" cm="1">
        <f t="array" ref="G367">LOWER(CleanCode(F367))</f>
        <v>familyseparationandmentalhealthoutcomesamongmexicanimmigrantsanacculturativestressframework</v>
      </c>
      <c r="H367" s="8"/>
      <c r="I367" s="8"/>
      <c r="J367" s="8" t="s">
        <v>5414</v>
      </c>
      <c r="K367" s="8"/>
      <c r="L367" s="8"/>
      <c r="M367" s="8" t="s">
        <v>4667</v>
      </c>
      <c r="N367" s="8" t="str">
        <f t="shared" si="5"/>
        <v>Dissertation Abstracts International: Section B: The Sciences And Engineering</v>
      </c>
      <c r="O367" s="8" t="str">
        <f>"04194217"</f>
        <v>04194217</v>
      </c>
      <c r="P367" s="8"/>
      <c r="Q367" s="8" t="str">
        <f>"9781124864389"</f>
        <v>9781124864389</v>
      </c>
      <c r="R367" s="8" t="str">
        <f>"20120101"</f>
        <v>20120101</v>
      </c>
      <c r="S367" s="8">
        <v>72</v>
      </c>
      <c r="T367" s="8" t="s">
        <v>5411</v>
      </c>
      <c r="U367" s="8">
        <v>7087</v>
      </c>
      <c r="V367" s="8"/>
      <c r="W367" s="8">
        <v>1</v>
      </c>
      <c r="X367" s="8"/>
      <c r="Y367" s="8"/>
      <c r="Z367" s="8"/>
      <c r="AA367" s="8"/>
      <c r="AB367" s="8"/>
      <c r="AC367" s="8"/>
      <c r="AD367" s="8" t="s">
        <v>5412</v>
      </c>
      <c r="AE367" s="8"/>
      <c r="AF367" s="8"/>
      <c r="AG367" s="8" t="s">
        <v>4670</v>
      </c>
      <c r="AH367" s="8"/>
      <c r="AI367" s="8"/>
      <c r="AJ367" s="8" t="s">
        <v>5413</v>
      </c>
      <c r="AK367" s="8"/>
      <c r="AL367" s="8" t="s">
        <v>5415</v>
      </c>
      <c r="AM367" s="8"/>
      <c r="AN367" s="8"/>
      <c r="AO367" s="8"/>
      <c r="AP367" s="8"/>
      <c r="AQ367" s="8"/>
      <c r="AR367" s="8"/>
      <c r="AS367" s="8"/>
      <c r="AT367" s="8"/>
      <c r="AU367" s="8"/>
      <c r="AV367" s="8"/>
      <c r="AW367" s="8"/>
      <c r="AX367" s="8"/>
      <c r="AY367" s="8"/>
      <c r="AZ367" s="8"/>
      <c r="BA367" s="8"/>
      <c r="BB367" s="8"/>
      <c r="BC367" s="8"/>
      <c r="BD367" s="8"/>
      <c r="BE367" s="8"/>
      <c r="BF367" s="8"/>
      <c r="BG367" s="8"/>
      <c r="BH367" s="8"/>
      <c r="BI367" s="8"/>
      <c r="BJ367" s="8"/>
      <c r="BK367" s="8"/>
      <c r="BL367" s="8"/>
      <c r="BM367" s="8"/>
      <c r="BN367" s="8"/>
      <c r="BO367" s="8"/>
      <c r="BP367" s="8"/>
      <c r="BQ367" s="8"/>
      <c r="BR367" s="8"/>
      <c r="BS367" s="8"/>
      <c r="BT367" s="8"/>
      <c r="BU367" s="8"/>
      <c r="BV367" s="8"/>
      <c r="BW367" s="8"/>
      <c r="BX367" s="8"/>
      <c r="BY367" s="8"/>
      <c r="BZ367" s="8"/>
    </row>
    <row r="368" spans="1:78" ht="13" customHeight="1" x14ac:dyDescent="0.15">
      <c r="A368" s="8" t="s">
        <v>6189</v>
      </c>
      <c r="B368" s="8" t="s">
        <v>4679</v>
      </c>
      <c r="C368" s="11">
        <v>2018</v>
      </c>
      <c r="D368" s="8" t="s">
        <v>1491</v>
      </c>
      <c r="E368" s="8"/>
      <c r="F368" s="8" t="s">
        <v>5416</v>
      </c>
      <c r="G368" s="8" t="str" cm="1">
        <f t="array" ref="G368">LOWER(CleanCode(F368))</f>
        <v>fosteringinsightsastrengthsbasedtheoryofparentaltransformation</v>
      </c>
      <c r="H368" s="8"/>
      <c r="I368" s="8"/>
      <c r="J368" s="8" t="s">
        <v>5420</v>
      </c>
      <c r="K368" s="8"/>
      <c r="L368" s="8"/>
      <c r="M368" s="8" t="s">
        <v>5417</v>
      </c>
      <c r="N368" s="8" t="str">
        <f t="shared" si="5"/>
        <v>Journal Of Child And Family Studies</v>
      </c>
      <c r="O368" s="8" t="str">
        <f>"10621024"</f>
        <v>10621024</v>
      </c>
      <c r="P368" s="8"/>
      <c r="Q368" s="8"/>
      <c r="R368" s="8" t="str">
        <f>"20180401"</f>
        <v>20180401</v>
      </c>
      <c r="S368" s="8">
        <v>27</v>
      </c>
      <c r="T368" s="8">
        <v>4</v>
      </c>
      <c r="U368" s="8">
        <v>1275</v>
      </c>
      <c r="V368" s="8"/>
      <c r="W368" s="8">
        <v>12</v>
      </c>
      <c r="X368" s="8"/>
      <c r="Y368" s="8"/>
      <c r="Z368" s="8"/>
      <c r="AA368" s="8"/>
      <c r="AB368" s="8"/>
      <c r="AC368" s="8"/>
      <c r="AD368" s="8" t="s">
        <v>5418</v>
      </c>
      <c r="AE368" s="8" t="s">
        <v>1504</v>
      </c>
      <c r="AF368" s="8"/>
      <c r="AG368" s="8" t="s">
        <v>4696</v>
      </c>
      <c r="AH368" s="8"/>
      <c r="AI368" s="8"/>
      <c r="AJ368" s="8" t="s">
        <v>5419</v>
      </c>
      <c r="AK368" s="8"/>
      <c r="AL368" s="8" t="s">
        <v>5421</v>
      </c>
      <c r="AM368" s="8"/>
      <c r="AN368" s="8"/>
      <c r="AO368" s="8"/>
      <c r="AP368" s="8"/>
      <c r="AQ368" s="8"/>
      <c r="AR368" s="8"/>
      <c r="AS368" s="8"/>
      <c r="AT368" s="8"/>
      <c r="AU368" s="8"/>
      <c r="AV368" s="8"/>
      <c r="AW368" s="8"/>
      <c r="AX368" s="8"/>
      <c r="AY368" s="8"/>
      <c r="AZ368" s="8"/>
      <c r="BA368" s="8"/>
      <c r="BB368" s="8"/>
      <c r="BC368" s="8"/>
      <c r="BD368" s="8"/>
      <c r="BE368" s="8"/>
      <c r="BF368" s="8"/>
      <c r="BG368" s="8"/>
      <c r="BH368" s="8"/>
      <c r="BI368" s="8"/>
      <c r="BJ368" s="8"/>
      <c r="BK368" s="8"/>
      <c r="BL368" s="8"/>
      <c r="BM368" s="8"/>
      <c r="BN368" s="8"/>
      <c r="BO368" s="8"/>
      <c r="BP368" s="8"/>
      <c r="BQ368" s="8"/>
      <c r="BR368" s="8"/>
      <c r="BS368" s="8"/>
      <c r="BT368" s="8"/>
      <c r="BU368" s="8"/>
      <c r="BV368" s="8"/>
      <c r="BW368" s="8"/>
      <c r="BX368" s="8"/>
      <c r="BY368" s="8"/>
      <c r="BZ368" s="8"/>
    </row>
    <row r="369" spans="1:78" ht="13" customHeight="1" x14ac:dyDescent="0.15">
      <c r="A369" s="8" t="s">
        <v>6189</v>
      </c>
      <c r="B369" s="8" t="s">
        <v>4671</v>
      </c>
      <c r="C369" s="11">
        <v>2015</v>
      </c>
      <c r="D369" s="8" t="s">
        <v>5423</v>
      </c>
      <c r="E369" s="8"/>
      <c r="F369" s="8" t="s">
        <v>5422</v>
      </c>
      <c r="G369" s="8" t="str" cm="1">
        <f t="array" ref="G369">LOWER(CleanCode(F369))</f>
        <v>foundintranslationareviewoftheclinicalandconceptuallinksbetweenimmigrationandpsychosis</v>
      </c>
      <c r="H369" s="8"/>
      <c r="I369" s="8"/>
      <c r="J369" s="8" t="s">
        <v>5427</v>
      </c>
      <c r="K369" s="8"/>
      <c r="L369" s="8"/>
      <c r="M369" s="8" t="s">
        <v>4667</v>
      </c>
      <c r="N369" s="8" t="str">
        <f t="shared" si="5"/>
        <v>Dissertation Abstracts International: Section B: The Sciences And Engineering</v>
      </c>
      <c r="O369" s="8" t="str">
        <f>"04194217"</f>
        <v>04194217</v>
      </c>
      <c r="P369" s="8"/>
      <c r="Q369" s="8" t="str">
        <f>"9781303918216"</f>
        <v>9781303918216</v>
      </c>
      <c r="R369" s="8" t="str">
        <f>"20150101"</f>
        <v>20150101</v>
      </c>
      <c r="S369" s="8">
        <v>75</v>
      </c>
      <c r="T369" s="8" t="s">
        <v>5424</v>
      </c>
      <c r="U369" s="8"/>
      <c r="V369" s="8"/>
      <c r="W369" s="8"/>
      <c r="X369" s="8"/>
      <c r="Y369" s="8"/>
      <c r="Z369" s="8"/>
      <c r="AA369" s="8"/>
      <c r="AB369" s="8"/>
      <c r="AC369" s="8"/>
      <c r="AD369" s="8" t="s">
        <v>5425</v>
      </c>
      <c r="AE369" s="8"/>
      <c r="AF369" s="8"/>
      <c r="AG369" s="8" t="s">
        <v>4670</v>
      </c>
      <c r="AH369" s="8"/>
      <c r="AI369" s="8"/>
      <c r="AJ369" s="8" t="s">
        <v>5426</v>
      </c>
      <c r="AK369" s="8"/>
      <c r="AL369" s="8" t="s">
        <v>5428</v>
      </c>
      <c r="AM369" s="8"/>
      <c r="AN369" s="8"/>
      <c r="AO369" s="8"/>
      <c r="AP369" s="8"/>
      <c r="AQ369" s="8"/>
      <c r="AR369" s="8"/>
      <c r="AS369" s="8"/>
      <c r="AT369" s="8"/>
      <c r="AU369" s="8"/>
      <c r="AV369" s="8"/>
      <c r="AW369" s="8"/>
      <c r="AX369" s="8"/>
      <c r="AY369" s="8"/>
      <c r="AZ369" s="8"/>
      <c r="BA369" s="8"/>
      <c r="BB369" s="8"/>
      <c r="BC369" s="8"/>
      <c r="BD369" s="8"/>
      <c r="BE369" s="8"/>
      <c r="BF369" s="8"/>
      <c r="BG369" s="8"/>
      <c r="BH369" s="8"/>
      <c r="BI369" s="8"/>
      <c r="BJ369" s="8"/>
      <c r="BK369" s="8"/>
      <c r="BL369" s="8"/>
      <c r="BM369" s="8"/>
      <c r="BN369" s="8"/>
      <c r="BO369" s="8"/>
      <c r="BP369" s="8"/>
      <c r="BQ369" s="8"/>
      <c r="BR369" s="8"/>
      <c r="BS369" s="8"/>
      <c r="BT369" s="8"/>
      <c r="BU369" s="8"/>
      <c r="BV369" s="8"/>
      <c r="BW369" s="8"/>
      <c r="BX369" s="8"/>
      <c r="BY369" s="8"/>
      <c r="BZ369" s="8"/>
    </row>
    <row r="370" spans="1:78" ht="13" customHeight="1" x14ac:dyDescent="0.15">
      <c r="A370" s="8" t="s">
        <v>6189</v>
      </c>
      <c r="B370" s="8" t="s">
        <v>4828</v>
      </c>
      <c r="C370" s="11">
        <v>2016</v>
      </c>
      <c r="D370" s="8" t="s">
        <v>2387</v>
      </c>
      <c r="E370" s="8"/>
      <c r="F370" s="8" t="s">
        <v>5429</v>
      </c>
      <c r="G370" s="8" t="str" cm="1">
        <f t="array" ref="G370">LOWER(CleanCode(F370))</f>
        <v>furtherdevelopmentofintegratedthreattheoryandintergroupcontactareplytoaberson2015</v>
      </c>
      <c r="H370" s="8"/>
      <c r="I370" s="8"/>
      <c r="J370" s="8" t="s">
        <v>5433</v>
      </c>
      <c r="K370" s="8"/>
      <c r="L370" s="8"/>
      <c r="M370" s="8" t="s">
        <v>5430</v>
      </c>
      <c r="N370" s="8" t="str">
        <f t="shared" si="5"/>
        <v>Communication Monographs</v>
      </c>
      <c r="O370" s="8" t="str">
        <f>"03637751"</f>
        <v>03637751</v>
      </c>
      <c r="P370" s="8"/>
      <c r="Q370" s="8"/>
      <c r="R370" s="8" t="str">
        <f>"20160401"</f>
        <v>20160401</v>
      </c>
      <c r="S370" s="8">
        <v>83</v>
      </c>
      <c r="T370" s="8">
        <v>2</v>
      </c>
      <c r="U370" s="8">
        <v>269</v>
      </c>
      <c r="V370" s="8"/>
      <c r="W370" s="8">
        <v>7</v>
      </c>
      <c r="X370" s="8"/>
      <c r="Y370" s="8"/>
      <c r="Z370" s="8"/>
      <c r="AA370" s="8"/>
      <c r="AB370" s="8"/>
      <c r="AC370" s="8"/>
      <c r="AD370" s="8" t="s">
        <v>5431</v>
      </c>
      <c r="AE370" s="8" t="s">
        <v>2393</v>
      </c>
      <c r="AF370" s="8"/>
      <c r="AG370" s="8" t="s">
        <v>4728</v>
      </c>
      <c r="AH370" s="8"/>
      <c r="AI370" s="8"/>
      <c r="AJ370" s="8" t="s">
        <v>5432</v>
      </c>
      <c r="AK370" s="8"/>
      <c r="AL370" s="8" t="s">
        <v>5434</v>
      </c>
      <c r="AM370" s="8"/>
      <c r="AN370" s="8"/>
      <c r="AO370" s="8"/>
      <c r="AP370" s="8"/>
      <c r="AQ370" s="8"/>
      <c r="AR370" s="8"/>
      <c r="AS370" s="8"/>
      <c r="AT370" s="8"/>
      <c r="AU370" s="8"/>
      <c r="AV370" s="8"/>
      <c r="AW370" s="8"/>
      <c r="AX370" s="8"/>
      <c r="AY370" s="8"/>
      <c r="AZ370" s="8"/>
      <c r="BA370" s="8"/>
      <c r="BB370" s="8"/>
      <c r="BC370" s="8"/>
      <c r="BD370" s="8"/>
      <c r="BE370" s="8"/>
      <c r="BF370" s="8"/>
      <c r="BG370" s="8"/>
      <c r="BH370" s="8"/>
      <c r="BI370" s="8"/>
      <c r="BJ370" s="8"/>
      <c r="BK370" s="8"/>
      <c r="BL370" s="8"/>
      <c r="BM370" s="8"/>
      <c r="BN370" s="8"/>
      <c r="BO370" s="8"/>
      <c r="BP370" s="8"/>
      <c r="BQ370" s="8"/>
      <c r="BR370" s="8"/>
      <c r="BS370" s="8"/>
      <c r="BT370" s="8"/>
      <c r="BU370" s="8"/>
      <c r="BV370" s="8"/>
      <c r="BW370" s="8"/>
      <c r="BX370" s="8"/>
      <c r="BY370" s="8"/>
      <c r="BZ370" s="8"/>
    </row>
    <row r="371" spans="1:78" ht="13" customHeight="1" x14ac:dyDescent="0.15">
      <c r="A371" s="8" t="s">
        <v>6189</v>
      </c>
      <c r="B371" s="8" t="s">
        <v>4773</v>
      </c>
      <c r="C371" s="11">
        <v>2018</v>
      </c>
      <c r="D371" s="8" t="s">
        <v>5436</v>
      </c>
      <c r="E371" s="8"/>
      <c r="F371" s="8" t="s">
        <v>5435</v>
      </c>
      <c r="G371" s="8" t="str" cm="1">
        <f t="array" ref="G371">LOWER(CleanCode(F371))</f>
        <v>genderandsexualityinmigrationprocessestheoreticalandmethodologicalissues</v>
      </c>
      <c r="H371" s="8"/>
      <c r="I371" s="8"/>
      <c r="J371" s="8" t="s">
        <v>5441</v>
      </c>
      <c r="K371" s="8"/>
      <c r="L371" s="8"/>
      <c r="M371" s="8" t="s">
        <v>5437</v>
      </c>
      <c r="N371" s="8" t="str">
        <f t="shared" si="5"/>
        <v>Gender And Sexuality In The Migration Trajectories: Studies Between The Northern And Southern Mediterranean Shores.</v>
      </c>
      <c r="O371" s="8"/>
      <c r="P371" s="8"/>
      <c r="Q371" s="8" t="str">
        <f>"9781641131285; 9781641131292; 9781641131308"</f>
        <v>9781641131285; 9781641131292; 9781641131308</v>
      </c>
      <c r="R371" s="8" t="str">
        <f>"20180101"</f>
        <v>20180101</v>
      </c>
      <c r="S371" s="8"/>
      <c r="T371" s="8"/>
      <c r="U371" s="8">
        <v>3</v>
      </c>
      <c r="V371" s="8"/>
      <c r="W371" s="8">
        <v>11</v>
      </c>
      <c r="X371" s="8"/>
      <c r="Y371" s="8"/>
      <c r="Z371" s="8"/>
      <c r="AA371" s="8"/>
      <c r="AB371" s="8"/>
      <c r="AC371" s="8"/>
      <c r="AD371" s="8" t="s">
        <v>5438</v>
      </c>
      <c r="AE371" s="8"/>
      <c r="AF371" s="8"/>
      <c r="AG371" s="8" t="s">
        <v>5439</v>
      </c>
      <c r="AH371" s="8"/>
      <c r="AI371" s="8"/>
      <c r="AJ371" s="8" t="s">
        <v>5440</v>
      </c>
      <c r="AK371" s="8"/>
      <c r="AL371" s="8" t="s">
        <v>5442</v>
      </c>
      <c r="AM371" s="8"/>
      <c r="AN371" s="8"/>
      <c r="AO371" s="8"/>
      <c r="AP371" s="8"/>
      <c r="AQ371" s="8"/>
      <c r="AR371" s="8"/>
      <c r="AS371" s="8"/>
      <c r="AT371" s="8"/>
      <c r="AU371" s="8"/>
      <c r="AV371" s="8"/>
      <c r="AW371" s="8"/>
      <c r="AX371" s="8"/>
      <c r="AY371" s="8"/>
      <c r="AZ371" s="8"/>
      <c r="BA371" s="8"/>
      <c r="BB371" s="8"/>
      <c r="BC371" s="8"/>
      <c r="BD371" s="8"/>
      <c r="BE371" s="8"/>
      <c r="BF371" s="8"/>
      <c r="BG371" s="8"/>
      <c r="BH371" s="8"/>
      <c r="BI371" s="8"/>
      <c r="BJ371" s="8"/>
      <c r="BK371" s="8"/>
      <c r="BL371" s="8"/>
      <c r="BM371" s="8"/>
      <c r="BN371" s="8"/>
      <c r="BO371" s="8"/>
      <c r="BP371" s="8"/>
      <c r="BQ371" s="8"/>
      <c r="BR371" s="8"/>
      <c r="BS371" s="8"/>
      <c r="BT371" s="8"/>
      <c r="BU371" s="8"/>
      <c r="BV371" s="8"/>
      <c r="BW371" s="8"/>
      <c r="BX371" s="8"/>
      <c r="BY371" s="8"/>
      <c r="BZ371" s="8"/>
    </row>
    <row r="372" spans="1:78" ht="13" customHeight="1" x14ac:dyDescent="0.15">
      <c r="A372" s="8" t="s">
        <v>6189</v>
      </c>
      <c r="B372" s="8" t="s">
        <v>4679</v>
      </c>
      <c r="C372" s="11">
        <v>2009</v>
      </c>
      <c r="D372" s="8" t="s">
        <v>3682</v>
      </c>
      <c r="E372" s="8"/>
      <c r="F372" s="8" t="s">
        <v>5443</v>
      </c>
      <c r="G372" s="8" t="str" cm="1">
        <f t="array" ref="G372">LOWER(CleanCode(F372))</f>
        <v>generationalstatusandacademicachievementamonglatinohighschoolstudentsevaluatingthesegmentedassimilationtheory</v>
      </c>
      <c r="H372" s="8"/>
      <c r="I372" s="8"/>
      <c r="J372" s="8" t="s">
        <v>5448</v>
      </c>
      <c r="K372" s="8"/>
      <c r="L372" s="8"/>
      <c r="M372" s="8" t="s">
        <v>5444</v>
      </c>
      <c r="N372" s="8" t="str">
        <f t="shared" si="5"/>
        <v>Sociological Perspectives</v>
      </c>
      <c r="O372" s="8" t="str">
        <f>"07311214"</f>
        <v>07311214</v>
      </c>
      <c r="P372" s="8"/>
      <c r="Q372" s="8"/>
      <c r="R372" s="8" t="str">
        <f>"20090601"</f>
        <v>20090601</v>
      </c>
      <c r="S372" s="8">
        <v>52</v>
      </c>
      <c r="T372" s="8">
        <v>2</v>
      </c>
      <c r="U372" s="8">
        <v>159</v>
      </c>
      <c r="V372" s="8"/>
      <c r="W372" s="8">
        <v>25</v>
      </c>
      <c r="X372" s="8"/>
      <c r="Y372" s="8"/>
      <c r="Z372" s="8"/>
      <c r="AA372" s="8"/>
      <c r="AB372" s="8"/>
      <c r="AC372" s="8"/>
      <c r="AD372" s="8" t="s">
        <v>5445</v>
      </c>
      <c r="AE372" s="8" t="s">
        <v>3695</v>
      </c>
      <c r="AF372" s="8"/>
      <c r="AG372" s="8" t="s">
        <v>5446</v>
      </c>
      <c r="AH372" s="8"/>
      <c r="AI372" s="8"/>
      <c r="AJ372" s="8" t="s">
        <v>5447</v>
      </c>
      <c r="AK372" s="8"/>
      <c r="AL372" s="8" t="s">
        <v>5449</v>
      </c>
      <c r="AM372" s="8"/>
      <c r="AN372" s="8"/>
      <c r="AO372" s="8"/>
      <c r="AP372" s="8"/>
      <c r="AQ372" s="8"/>
      <c r="AR372" s="8"/>
      <c r="AS372" s="8"/>
      <c r="AT372" s="8"/>
      <c r="AU372" s="8"/>
      <c r="AV372" s="8"/>
      <c r="AW372" s="8"/>
      <c r="AX372" s="8"/>
      <c r="AY372" s="8"/>
      <c r="AZ372" s="8"/>
      <c r="BA372" s="8"/>
      <c r="BB372" s="8"/>
      <c r="BC372" s="8"/>
      <c r="BD372" s="8"/>
      <c r="BE372" s="8"/>
      <c r="BF372" s="8"/>
      <c r="BG372" s="8"/>
      <c r="BH372" s="8"/>
      <c r="BI372" s="8"/>
      <c r="BJ372" s="8"/>
      <c r="BK372" s="8"/>
      <c r="BL372" s="8"/>
      <c r="BM372" s="8"/>
      <c r="BN372" s="8"/>
      <c r="BO372" s="8"/>
      <c r="BP372" s="8"/>
      <c r="BQ372" s="8"/>
      <c r="BR372" s="8"/>
      <c r="BS372" s="8"/>
      <c r="BT372" s="8"/>
      <c r="BU372" s="8"/>
      <c r="BV372" s="8"/>
      <c r="BW372" s="8"/>
      <c r="BX372" s="8"/>
      <c r="BY372" s="8"/>
      <c r="BZ372" s="8"/>
    </row>
    <row r="373" spans="1:78" ht="13" customHeight="1" x14ac:dyDescent="0.15">
      <c r="A373" s="8" t="s">
        <v>6189</v>
      </c>
      <c r="B373" s="8" t="s">
        <v>4679</v>
      </c>
      <c r="C373" s="11">
        <v>2012</v>
      </c>
      <c r="D373" s="8" t="s">
        <v>3195</v>
      </c>
      <c r="E373" s="8"/>
      <c r="F373" s="8" t="s">
        <v>5450</v>
      </c>
      <c r="G373" s="8" t="str" cm="1">
        <f t="array" ref="G373">LOWER(CleanCode(F373))</f>
        <v>hostcultureadoptionorinterculturalcontactcomparingdifferentacculturationconceptualizationsandtheireffectsonhostmembersattitudestowardsimmigrants</v>
      </c>
      <c r="H373" s="8"/>
      <c r="I373" s="8"/>
      <c r="J373" s="8" t="s">
        <v>5453</v>
      </c>
      <c r="K373" s="8"/>
      <c r="L373" s="8"/>
      <c r="M373" s="8" t="s">
        <v>4733</v>
      </c>
      <c r="N373" s="8" t="str">
        <f t="shared" si="5"/>
        <v>International Journal Of Intercultural Relations</v>
      </c>
      <c r="O373" s="8" t="str">
        <f>"01471767"</f>
        <v>01471767</v>
      </c>
      <c r="P373" s="8"/>
      <c r="Q373" s="8"/>
      <c r="R373" s="8" t="str">
        <f>"20120701"</f>
        <v>20120701</v>
      </c>
      <c r="S373" s="8">
        <v>36</v>
      </c>
      <c r="T373" s="8">
        <v>4</v>
      </c>
      <c r="U373" s="8">
        <v>459</v>
      </c>
      <c r="V373" s="8"/>
      <c r="W373" s="8">
        <v>13</v>
      </c>
      <c r="X373" s="8"/>
      <c r="Y373" s="8"/>
      <c r="Z373" s="8"/>
      <c r="AA373" s="8"/>
      <c r="AB373" s="8"/>
      <c r="AC373" s="8"/>
      <c r="AD373" s="8" t="s">
        <v>5451</v>
      </c>
      <c r="AE373" s="8" t="s">
        <v>3205</v>
      </c>
      <c r="AF373" s="8"/>
      <c r="AG373" s="8" t="s">
        <v>4735</v>
      </c>
      <c r="AH373" s="8"/>
      <c r="AI373" s="8"/>
      <c r="AJ373" s="8" t="s">
        <v>5452</v>
      </c>
      <c r="AK373" s="8"/>
      <c r="AL373" s="8" t="s">
        <v>5454</v>
      </c>
      <c r="AM373" s="8"/>
      <c r="AN373" s="8"/>
      <c r="AO373" s="8"/>
      <c r="AP373" s="8"/>
      <c r="AQ373" s="8"/>
      <c r="AR373" s="8"/>
      <c r="AS373" s="8"/>
      <c r="AT373" s="8"/>
      <c r="AU373" s="8"/>
      <c r="AV373" s="8"/>
      <c r="AW373" s="8"/>
      <c r="AX373" s="8"/>
      <c r="AY373" s="8"/>
      <c r="AZ373" s="8"/>
      <c r="BA373" s="8"/>
      <c r="BB373" s="8"/>
      <c r="BC373" s="8"/>
      <c r="BD373" s="8"/>
      <c r="BE373" s="8"/>
      <c r="BF373" s="8"/>
      <c r="BG373" s="8"/>
      <c r="BH373" s="8"/>
      <c r="BI373" s="8"/>
      <c r="BJ373" s="8"/>
      <c r="BK373" s="8"/>
      <c r="BL373" s="8"/>
      <c r="BM373" s="8"/>
      <c r="BN373" s="8"/>
      <c r="BO373" s="8"/>
      <c r="BP373" s="8"/>
      <c r="BQ373" s="8"/>
      <c r="BR373" s="8"/>
      <c r="BS373" s="8"/>
      <c r="BT373" s="8"/>
      <c r="BU373" s="8"/>
      <c r="BV373" s="8"/>
      <c r="BW373" s="8"/>
      <c r="BX373" s="8"/>
      <c r="BY373" s="8"/>
      <c r="BZ373" s="8"/>
    </row>
    <row r="374" spans="1:78" ht="13" customHeight="1" x14ac:dyDescent="0.15">
      <c r="A374" s="8" t="s">
        <v>6189</v>
      </c>
      <c r="B374" s="8" t="s">
        <v>4679</v>
      </c>
      <c r="C374" s="11">
        <v>2010</v>
      </c>
      <c r="D374" s="8" t="s">
        <v>5456</v>
      </c>
      <c r="E374" s="8"/>
      <c r="F374" s="8" t="s">
        <v>5455</v>
      </c>
      <c r="G374" s="8" t="str" cm="1">
        <f t="array" ref="G374">LOWER(CleanCode(F374))</f>
        <v>howlatinosaretransformingtheunitedstatesresearchtheoryandpolicy</v>
      </c>
      <c r="H374" s="8"/>
      <c r="I374" s="8"/>
      <c r="J374" s="8" t="s">
        <v>5460</v>
      </c>
      <c r="K374" s="8"/>
      <c r="L374" s="8"/>
      <c r="M374" s="8" t="s">
        <v>5082</v>
      </c>
      <c r="N374" s="8" t="str">
        <f t="shared" si="5"/>
        <v>Journal Of Social Issues</v>
      </c>
      <c r="O374" s="8" t="str">
        <f>"00224537"</f>
        <v>00224537</v>
      </c>
      <c r="P374" s="8"/>
      <c r="Q374" s="8"/>
      <c r="R374" s="8" t="str">
        <f>"20100301"</f>
        <v>20100301</v>
      </c>
      <c r="S374" s="8">
        <v>66</v>
      </c>
      <c r="T374" s="8">
        <v>1</v>
      </c>
      <c r="U374" s="8">
        <v>1</v>
      </c>
      <c r="V374" s="8"/>
      <c r="W374" s="8">
        <v>10</v>
      </c>
      <c r="X374" s="8"/>
      <c r="Y374" s="8"/>
      <c r="Z374" s="8"/>
      <c r="AA374" s="8"/>
      <c r="AB374" s="8"/>
      <c r="AC374" s="8"/>
      <c r="AD374" s="8" t="s">
        <v>5457</v>
      </c>
      <c r="AE374" s="8" t="s">
        <v>5458</v>
      </c>
      <c r="AF374" s="8"/>
      <c r="AG374" s="8" t="s">
        <v>4883</v>
      </c>
      <c r="AH374" s="8"/>
      <c r="AI374" s="8"/>
      <c r="AJ374" s="8" t="s">
        <v>5459</v>
      </c>
      <c r="AK374" s="8"/>
      <c r="AL374" s="8" t="s">
        <v>5461</v>
      </c>
      <c r="AM374" s="8"/>
      <c r="AN374" s="8"/>
      <c r="AO374" s="8"/>
      <c r="AP374" s="8"/>
      <c r="AQ374" s="8"/>
      <c r="AR374" s="8"/>
      <c r="AS374" s="8"/>
      <c r="AT374" s="8"/>
      <c r="AU374" s="8"/>
      <c r="AV374" s="8"/>
      <c r="AW374" s="8"/>
      <c r="AX374" s="8"/>
      <c r="AY374" s="8"/>
      <c r="AZ374" s="8"/>
      <c r="BA374" s="8"/>
      <c r="BB374" s="8"/>
      <c r="BC374" s="8"/>
      <c r="BD374" s="8"/>
      <c r="BE374" s="8"/>
      <c r="BF374" s="8"/>
      <c r="BG374" s="8"/>
      <c r="BH374" s="8"/>
      <c r="BI374" s="8"/>
      <c r="BJ374" s="8"/>
      <c r="BK374" s="8"/>
      <c r="BL374" s="8"/>
      <c r="BM374" s="8"/>
      <c r="BN374" s="8"/>
      <c r="BO374" s="8"/>
      <c r="BP374" s="8"/>
      <c r="BQ374" s="8"/>
      <c r="BR374" s="8"/>
      <c r="BS374" s="8"/>
      <c r="BT374" s="8"/>
      <c r="BU374" s="8"/>
      <c r="BV374" s="8"/>
      <c r="BW374" s="8"/>
      <c r="BX374" s="8"/>
      <c r="BY374" s="8"/>
      <c r="BZ374" s="8"/>
    </row>
    <row r="375" spans="1:78" ht="13" customHeight="1" x14ac:dyDescent="0.15">
      <c r="A375" s="8" t="s">
        <v>6189</v>
      </c>
      <c r="B375" s="8" t="s">
        <v>4773</v>
      </c>
      <c r="C375" s="11">
        <v>2012</v>
      </c>
      <c r="D375" s="8" t="s">
        <v>5463</v>
      </c>
      <c r="E375" s="8"/>
      <c r="F375" s="8" t="s">
        <v>5462</v>
      </c>
      <c r="G375" s="8" t="str" cm="1">
        <f t="array" ref="G375">LOWER(CleanCode(F375))</f>
        <v>identitywoundsmultipleidentitiesandintersectionaltheoryinthecontextofmulticulturalism</v>
      </c>
      <c r="H375" s="8"/>
      <c r="I375" s="8"/>
      <c r="J375" s="8" t="s">
        <v>5468</v>
      </c>
      <c r="K375" s="8"/>
      <c r="L375" s="8"/>
      <c r="M375" s="8" t="s">
        <v>5464</v>
      </c>
      <c r="N375" s="8" t="str">
        <f t="shared" si="5"/>
        <v>Navigating Multiple Identities: Race, Gender, Culture, Nationality, And Roles.</v>
      </c>
      <c r="O375" s="8"/>
      <c r="P375" s="8"/>
      <c r="Q375" s="8" t="str">
        <f>"9780199732074"</f>
        <v>9780199732074</v>
      </c>
      <c r="R375" s="8" t="str">
        <f>"20120101"</f>
        <v>20120101</v>
      </c>
      <c r="S375" s="8"/>
      <c r="T375" s="8"/>
      <c r="U375" s="8">
        <v>187</v>
      </c>
      <c r="V375" s="8"/>
      <c r="W375" s="8">
        <v>20</v>
      </c>
      <c r="X375" s="8"/>
      <c r="Y375" s="8"/>
      <c r="Z375" s="8"/>
      <c r="AA375" s="8"/>
      <c r="AB375" s="8"/>
      <c r="AC375" s="8"/>
      <c r="AD375" s="8" t="s">
        <v>5465</v>
      </c>
      <c r="AE375" s="8" t="s">
        <v>5466</v>
      </c>
      <c r="AF375" s="8"/>
      <c r="AG375" s="8" t="s">
        <v>4813</v>
      </c>
      <c r="AH375" s="8"/>
      <c r="AI375" s="8"/>
      <c r="AJ375" s="8" t="s">
        <v>5467</v>
      </c>
      <c r="AK375" s="8"/>
      <c r="AL375" s="8" t="s">
        <v>5469</v>
      </c>
      <c r="AM375" s="8"/>
      <c r="AN375" s="8"/>
      <c r="AO375" s="8"/>
      <c r="AP375" s="8"/>
      <c r="AQ375" s="8"/>
      <c r="AR375" s="8"/>
      <c r="AS375" s="8"/>
      <c r="AT375" s="8"/>
      <c r="AU375" s="8"/>
      <c r="AV375" s="8"/>
      <c r="AW375" s="8"/>
      <c r="AX375" s="8"/>
      <c r="AY375" s="8"/>
      <c r="AZ375" s="8"/>
      <c r="BA375" s="8"/>
      <c r="BB375" s="8"/>
      <c r="BC375" s="8"/>
      <c r="BD375" s="8"/>
      <c r="BE375" s="8"/>
      <c r="BF375" s="8"/>
      <c r="BG375" s="8"/>
      <c r="BH375" s="8"/>
      <c r="BI375" s="8"/>
      <c r="BJ375" s="8"/>
      <c r="BK375" s="8"/>
      <c r="BL375" s="8"/>
      <c r="BM375" s="8"/>
      <c r="BN375" s="8"/>
      <c r="BO375" s="8"/>
      <c r="BP375" s="8"/>
      <c r="BQ375" s="8"/>
      <c r="BR375" s="8"/>
      <c r="BS375" s="8"/>
      <c r="BT375" s="8"/>
      <c r="BU375" s="8"/>
      <c r="BV375" s="8"/>
      <c r="BW375" s="8"/>
      <c r="BX375" s="8"/>
      <c r="BY375" s="8"/>
      <c r="BZ375" s="8"/>
    </row>
    <row r="376" spans="1:78" ht="13" customHeight="1" x14ac:dyDescent="0.15">
      <c r="A376" s="8" t="s">
        <v>6189</v>
      </c>
      <c r="B376" s="8" t="s">
        <v>4773</v>
      </c>
      <c r="C376" s="11">
        <v>2012</v>
      </c>
      <c r="D376" s="8" t="s">
        <v>5471</v>
      </c>
      <c r="E376" s="8"/>
      <c r="F376" s="8" t="s">
        <v>5470</v>
      </c>
      <c r="G376" s="8" t="str" cm="1">
        <f t="array" ref="G376">LOWER(CleanCode(F376))</f>
        <v>immigrantfamilyprocessesamultidimensionalframework</v>
      </c>
      <c r="H376" s="8"/>
      <c r="I376" s="8"/>
      <c r="J376" s="8" t="s">
        <v>5476</v>
      </c>
      <c r="K376" s="8"/>
      <c r="L376" s="8"/>
      <c r="M376" s="8" t="s">
        <v>5472</v>
      </c>
      <c r="N376" s="8" t="str">
        <f t="shared" si="5"/>
        <v>Normal Family Processes: Growing Diversity And Complexity., 4Th Ed.</v>
      </c>
      <c r="O376" s="8"/>
      <c r="P376" s="8"/>
      <c r="Q376" s="8" t="str">
        <f>"9781462502554"</f>
        <v>9781462502554</v>
      </c>
      <c r="R376" s="8" t="str">
        <f>"20120101"</f>
        <v>20120101</v>
      </c>
      <c r="S376" s="8"/>
      <c r="T376" s="8"/>
      <c r="U376" s="8">
        <v>297</v>
      </c>
      <c r="V376" s="8"/>
      <c r="W376" s="8">
        <v>27</v>
      </c>
      <c r="X376" s="8"/>
      <c r="Y376" s="8"/>
      <c r="Z376" s="8"/>
      <c r="AA376" s="8"/>
      <c r="AB376" s="8"/>
      <c r="AC376" s="8"/>
      <c r="AD376" s="8" t="s">
        <v>5473</v>
      </c>
      <c r="AE376" s="8"/>
      <c r="AF376" s="8"/>
      <c r="AG376" s="8" t="s">
        <v>5474</v>
      </c>
      <c r="AH376" s="8"/>
      <c r="AI376" s="8"/>
      <c r="AJ376" s="8" t="s">
        <v>5475</v>
      </c>
      <c r="AK376" s="8"/>
      <c r="AL376" s="8" t="s">
        <v>5477</v>
      </c>
      <c r="AM376" s="8"/>
      <c r="AN376" s="8"/>
      <c r="AO376" s="8"/>
      <c r="AP376" s="8"/>
      <c r="AQ376" s="8"/>
      <c r="AR376" s="8"/>
      <c r="AS376" s="8"/>
      <c r="AT376" s="8"/>
      <c r="AU376" s="8"/>
      <c r="AV376" s="8"/>
      <c r="AW376" s="8"/>
      <c r="AX376" s="8"/>
      <c r="AY376" s="8"/>
      <c r="AZ376" s="8"/>
      <c r="BA376" s="8"/>
      <c r="BB376" s="8"/>
      <c r="BC376" s="8"/>
      <c r="BD376" s="8"/>
      <c r="BE376" s="8"/>
      <c r="BF376" s="8"/>
      <c r="BG376" s="8"/>
      <c r="BH376" s="8"/>
      <c r="BI376" s="8"/>
      <c r="BJ376" s="8"/>
      <c r="BK376" s="8"/>
      <c r="BL376" s="8"/>
      <c r="BM376" s="8"/>
      <c r="BN376" s="8"/>
      <c r="BO376" s="8"/>
      <c r="BP376" s="8"/>
      <c r="BQ376" s="8"/>
      <c r="BR376" s="8"/>
      <c r="BS376" s="8"/>
      <c r="BT376" s="8"/>
      <c r="BU376" s="8"/>
      <c r="BV376" s="8"/>
      <c r="BW376" s="8"/>
      <c r="BX376" s="8"/>
      <c r="BY376" s="8"/>
      <c r="BZ376" s="8"/>
    </row>
    <row r="377" spans="1:78" ht="13" customHeight="1" x14ac:dyDescent="0.15">
      <c r="A377" s="8" t="s">
        <v>6189</v>
      </c>
      <c r="B377" s="8" t="s">
        <v>4671</v>
      </c>
      <c r="C377" s="11">
        <v>2010</v>
      </c>
      <c r="D377" s="8" t="s">
        <v>5479</v>
      </c>
      <c r="E377" s="8"/>
      <c r="F377" s="8" t="s">
        <v>5478</v>
      </c>
      <c r="G377" s="8" t="str" cm="1">
        <f t="array" ref="G377">LOWER(CleanCode(F377))</f>
        <v>immigrantspoliticalsuitcasesatheoryofimportedsocialization</v>
      </c>
      <c r="H377" s="8"/>
      <c r="I377" s="8"/>
      <c r="J377" s="8" t="s">
        <v>5483</v>
      </c>
      <c r="K377" s="8"/>
      <c r="L377" s="8"/>
      <c r="M377" s="8" t="s">
        <v>4762</v>
      </c>
      <c r="N377" s="8" t="str">
        <f t="shared" si="5"/>
        <v>Dissertation Abstracts International Section A: Humanities And Social Sciences</v>
      </c>
      <c r="O377" s="8" t="str">
        <f>"04194209"</f>
        <v>04194209</v>
      </c>
      <c r="P377" s="8"/>
      <c r="Q377" s="8" t="str">
        <f>"9781109740738"</f>
        <v>9781109740738</v>
      </c>
      <c r="R377" s="8" t="str">
        <f>"20100101"</f>
        <v>20100101</v>
      </c>
      <c r="S377" s="8">
        <v>71</v>
      </c>
      <c r="T377" s="8" t="s">
        <v>5480</v>
      </c>
      <c r="U377" s="8">
        <v>1784</v>
      </c>
      <c r="V377" s="8"/>
      <c r="W377" s="8">
        <v>1</v>
      </c>
      <c r="X377" s="8"/>
      <c r="Y377" s="8"/>
      <c r="Z377" s="8"/>
      <c r="AA377" s="8"/>
      <c r="AB377" s="8"/>
      <c r="AC377" s="8"/>
      <c r="AD377" s="8" t="s">
        <v>5481</v>
      </c>
      <c r="AE377" s="8"/>
      <c r="AF377" s="8"/>
      <c r="AG377" s="8" t="s">
        <v>4670</v>
      </c>
      <c r="AH377" s="8"/>
      <c r="AI377" s="8"/>
      <c r="AJ377" s="8" t="s">
        <v>5482</v>
      </c>
      <c r="AK377" s="8"/>
      <c r="AL377" s="8" t="s">
        <v>5484</v>
      </c>
      <c r="AM377" s="8"/>
      <c r="AN377" s="8"/>
      <c r="AO377" s="8"/>
      <c r="AP377" s="8"/>
      <c r="AQ377" s="8"/>
      <c r="AR377" s="8"/>
      <c r="AS377" s="8"/>
      <c r="AT377" s="8"/>
      <c r="AU377" s="8"/>
      <c r="AV377" s="8"/>
      <c r="AW377" s="8"/>
      <c r="AX377" s="8"/>
      <c r="AY377" s="8"/>
      <c r="AZ377" s="8"/>
      <c r="BA377" s="8"/>
      <c r="BB377" s="8"/>
      <c r="BC377" s="8"/>
      <c r="BD377" s="8"/>
      <c r="BE377" s="8"/>
      <c r="BF377" s="8"/>
      <c r="BG377" s="8"/>
      <c r="BH377" s="8"/>
      <c r="BI377" s="8"/>
      <c r="BJ377" s="8"/>
      <c r="BK377" s="8"/>
      <c r="BL377" s="8"/>
      <c r="BM377" s="8"/>
      <c r="BN377" s="8"/>
      <c r="BO377" s="8"/>
      <c r="BP377" s="8"/>
      <c r="BQ377" s="8"/>
      <c r="BR377" s="8"/>
      <c r="BS377" s="8"/>
      <c r="BT377" s="8"/>
      <c r="BU377" s="8"/>
      <c r="BV377" s="8"/>
      <c r="BW377" s="8"/>
      <c r="BX377" s="8"/>
      <c r="BY377" s="8"/>
      <c r="BZ377" s="8"/>
    </row>
    <row r="378" spans="1:78" ht="13" customHeight="1" x14ac:dyDescent="0.15">
      <c r="A378" s="8" t="s">
        <v>6189</v>
      </c>
      <c r="B378" s="8" t="s">
        <v>4679</v>
      </c>
      <c r="C378" s="11">
        <v>2008</v>
      </c>
      <c r="D378" s="8" t="s">
        <v>5486</v>
      </c>
      <c r="E378" s="8"/>
      <c r="F378" s="8" t="s">
        <v>5485</v>
      </c>
      <c r="G378" s="8" t="str" cm="1">
        <f t="array" ref="G378">LOWER(CleanCode(F378))</f>
        <v>immigrationandfamiliestreatingacculturativestressfromasystemicframework</v>
      </c>
      <c r="H378" s="8"/>
      <c r="I378" s="8"/>
      <c r="J378" s="8" t="s">
        <v>5491</v>
      </c>
      <c r="K378" s="8"/>
      <c r="L378" s="8"/>
      <c r="M378" s="8" t="s">
        <v>5487</v>
      </c>
      <c r="N378" s="8" t="str">
        <f t="shared" si="5"/>
        <v>Family Therapy</v>
      </c>
      <c r="O378" s="8" t="str">
        <f>"00916544"</f>
        <v>00916544</v>
      </c>
      <c r="P378" s="8"/>
      <c r="Q378" s="8"/>
      <c r="R378" s="8" t="str">
        <f>"20080101"</f>
        <v>20080101</v>
      </c>
      <c r="S378" s="8">
        <v>35</v>
      </c>
      <c r="T378" s="8">
        <v>2</v>
      </c>
      <c r="U378" s="8">
        <v>63</v>
      </c>
      <c r="V378" s="8"/>
      <c r="W378" s="8">
        <v>19</v>
      </c>
      <c r="X378" s="8"/>
      <c r="Y378" s="8"/>
      <c r="Z378" s="8"/>
      <c r="AA378" s="8"/>
      <c r="AB378" s="8"/>
      <c r="AC378" s="8"/>
      <c r="AD378" s="8" t="s">
        <v>5488</v>
      </c>
      <c r="AE378" s="8"/>
      <c r="AF378" s="8"/>
      <c r="AG378" s="8" t="s">
        <v>5489</v>
      </c>
      <c r="AH378" s="8"/>
      <c r="AI378" s="8"/>
      <c r="AJ378" s="8" t="s">
        <v>5490</v>
      </c>
      <c r="AK378" s="8"/>
      <c r="AL378" s="8" t="s">
        <v>5492</v>
      </c>
      <c r="AM378" s="8"/>
      <c r="AN378" s="8"/>
      <c r="AO378" s="8"/>
      <c r="AP378" s="8"/>
      <c r="AQ378" s="8"/>
      <c r="AR378" s="8"/>
      <c r="AS378" s="8"/>
      <c r="AT378" s="8"/>
      <c r="AU378" s="8"/>
      <c r="AV378" s="8"/>
      <c r="AW378" s="8"/>
      <c r="AX378" s="8"/>
      <c r="AY378" s="8"/>
      <c r="AZ378" s="8"/>
      <c r="BA378" s="8"/>
      <c r="BB378" s="8"/>
      <c r="BC378" s="8"/>
      <c r="BD378" s="8"/>
      <c r="BE378" s="8"/>
      <c r="BF378" s="8"/>
      <c r="BG378" s="8"/>
      <c r="BH378" s="8"/>
      <c r="BI378" s="8"/>
      <c r="BJ378" s="8"/>
      <c r="BK378" s="8"/>
      <c r="BL378" s="8"/>
      <c r="BM378" s="8"/>
      <c r="BN378" s="8"/>
      <c r="BO378" s="8"/>
      <c r="BP378" s="8"/>
      <c r="BQ378" s="8"/>
      <c r="BR378" s="8"/>
      <c r="BS378" s="8"/>
      <c r="BT378" s="8"/>
      <c r="BU378" s="8"/>
      <c r="BV378" s="8"/>
      <c r="BW378" s="8"/>
      <c r="BX378" s="8"/>
      <c r="BY378" s="8"/>
      <c r="BZ378" s="8"/>
    </row>
    <row r="379" spans="1:78" ht="13" customHeight="1" x14ac:dyDescent="0.15">
      <c r="A379" s="8" t="s">
        <v>6189</v>
      </c>
      <c r="B379" s="8" t="s">
        <v>5497</v>
      </c>
      <c r="C379" s="11">
        <v>2015</v>
      </c>
      <c r="D379" s="8" t="s">
        <v>5494</v>
      </c>
      <c r="E379" s="8"/>
      <c r="F379" s="8" t="s">
        <v>5493</v>
      </c>
      <c r="G379" s="8" t="str" cm="1">
        <f t="array" ref="G379">LOWER(CleanCode(F379))</f>
        <v>immigrationandtheartsatheoreticalinquiry</v>
      </c>
      <c r="H379" s="8"/>
      <c r="I379" s="8"/>
      <c r="J379" s="8" t="s">
        <v>5499</v>
      </c>
      <c r="K379" s="8"/>
      <c r="L379" s="8"/>
      <c r="M379" s="8" t="s">
        <v>5495</v>
      </c>
      <c r="N379" s="8" t="str">
        <f t="shared" si="5"/>
        <v>Ethnic And Racial Studies</v>
      </c>
      <c r="O379" s="8" t="str">
        <f>"01419870"</f>
        <v>01419870</v>
      </c>
      <c r="P379" s="8"/>
      <c r="Q379" s="8"/>
      <c r="R379" s="8" t="str">
        <f>"20150601"</f>
        <v>20150601</v>
      </c>
      <c r="S379" s="8">
        <v>38</v>
      </c>
      <c r="T379" s="8">
        <v>8</v>
      </c>
      <c r="U379" s="8">
        <v>1236</v>
      </c>
      <c r="V379" s="8"/>
      <c r="W379" s="8">
        <v>9</v>
      </c>
      <c r="X379" s="8"/>
      <c r="Y379" s="8"/>
      <c r="Z379" s="8"/>
      <c r="AA379" s="8"/>
      <c r="AB379" s="8"/>
      <c r="AC379" s="8"/>
      <c r="AD379" s="8" t="s">
        <v>5496</v>
      </c>
      <c r="AE379" s="8" t="s">
        <v>2708</v>
      </c>
      <c r="AF379" s="8"/>
      <c r="AG379" s="8" t="s">
        <v>4728</v>
      </c>
      <c r="AH379" s="8"/>
      <c r="AI379" s="8"/>
      <c r="AJ379" s="8" t="s">
        <v>5498</v>
      </c>
      <c r="AK379" s="8"/>
      <c r="AL379" s="8" t="s">
        <v>5500</v>
      </c>
      <c r="AM379" s="8"/>
      <c r="AN379" s="8"/>
      <c r="AO379" s="8"/>
      <c r="AP379" s="8"/>
      <c r="AQ379" s="8"/>
      <c r="AR379" s="8"/>
      <c r="AS379" s="8"/>
      <c r="AT379" s="8"/>
      <c r="AU379" s="8"/>
      <c r="AV379" s="8"/>
      <c r="AW379" s="8"/>
      <c r="AX379" s="8"/>
      <c r="AY379" s="8"/>
      <c r="AZ379" s="8"/>
      <c r="BA379" s="8"/>
      <c r="BB379" s="8"/>
      <c r="BC379" s="8"/>
      <c r="BD379" s="8"/>
      <c r="BE379" s="8"/>
      <c r="BF379" s="8"/>
      <c r="BG379" s="8"/>
      <c r="BH379" s="8"/>
      <c r="BI379" s="8"/>
      <c r="BJ379" s="8"/>
      <c r="BK379" s="8"/>
      <c r="BL379" s="8"/>
      <c r="BM379" s="8"/>
      <c r="BN379" s="8"/>
      <c r="BO379" s="8"/>
      <c r="BP379" s="8"/>
      <c r="BQ379" s="8"/>
      <c r="BR379" s="8"/>
      <c r="BS379" s="8"/>
      <c r="BT379" s="8"/>
      <c r="BU379" s="8"/>
      <c r="BV379" s="8"/>
      <c r="BW379" s="8"/>
      <c r="BX379" s="8"/>
      <c r="BY379" s="8"/>
      <c r="BZ379" s="8"/>
    </row>
    <row r="380" spans="1:78" ht="13" customHeight="1" x14ac:dyDescent="0.15">
      <c r="A380" s="8" t="s">
        <v>6189</v>
      </c>
      <c r="B380" s="8" t="s">
        <v>4679</v>
      </c>
      <c r="C380" s="11">
        <v>2015</v>
      </c>
      <c r="D380" s="8" t="s">
        <v>2808</v>
      </c>
      <c r="E380" s="8"/>
      <c r="F380" s="8" t="s">
        <v>5501</v>
      </c>
      <c r="G380" s="8" t="str" cm="1">
        <f t="array" ref="G380">LOWER(CleanCode(F380))</f>
        <v>incorporatingimmigrantsintegratingtheoreticalframeworksofadaptation</v>
      </c>
      <c r="H380" s="8"/>
      <c r="I380" s="8"/>
      <c r="J380" s="8" t="s">
        <v>5505</v>
      </c>
      <c r="K380" s="8"/>
      <c r="L380" s="8"/>
      <c r="M380" s="8" t="s">
        <v>5502</v>
      </c>
      <c r="N380" s="8" t="str">
        <f t="shared" si="5"/>
        <v>The Journals Of Gerontology: Series B: Psychological Sciences And Social Sciences</v>
      </c>
      <c r="O380" s="8" t="str">
        <f>"10795014"</f>
        <v>10795014</v>
      </c>
      <c r="P380" s="8"/>
      <c r="Q380" s="8"/>
      <c r="R380" s="8" t="str">
        <f>"20150301"</f>
        <v>20150301</v>
      </c>
      <c r="S380" s="8">
        <v>70</v>
      </c>
      <c r="T380" s="8">
        <v>2</v>
      </c>
      <c r="U380" s="8">
        <v>269</v>
      </c>
      <c r="V380" s="8"/>
      <c r="W380" s="8">
        <v>10</v>
      </c>
      <c r="X380" s="8"/>
      <c r="Y380" s="8"/>
      <c r="Z380" s="8"/>
      <c r="AA380" s="8"/>
      <c r="AB380" s="8"/>
      <c r="AC380" s="8"/>
      <c r="AD380" s="8" t="s">
        <v>5503</v>
      </c>
      <c r="AE380" s="8" t="s">
        <v>2821</v>
      </c>
      <c r="AF380" s="8"/>
      <c r="AG380" s="8" t="s">
        <v>4813</v>
      </c>
      <c r="AH380" s="8"/>
      <c r="AI380" s="8"/>
      <c r="AJ380" s="8" t="s">
        <v>5504</v>
      </c>
      <c r="AK380" s="8"/>
      <c r="AL380" s="8" t="s">
        <v>5506</v>
      </c>
      <c r="AM380" s="8"/>
      <c r="AN380" s="8"/>
      <c r="AO380" s="8"/>
      <c r="AP380" s="8"/>
      <c r="AQ380" s="8"/>
      <c r="AR380" s="8"/>
      <c r="AS380" s="8"/>
      <c r="AT380" s="8"/>
      <c r="AU380" s="8"/>
      <c r="AV380" s="8"/>
      <c r="AW380" s="8"/>
      <c r="AX380" s="8"/>
      <c r="AY380" s="8"/>
      <c r="AZ380" s="8"/>
      <c r="BA380" s="8"/>
      <c r="BB380" s="8"/>
      <c r="BC380" s="8"/>
      <c r="BD380" s="8"/>
      <c r="BE380" s="8"/>
      <c r="BF380" s="8"/>
      <c r="BG380" s="8"/>
      <c r="BH380" s="8"/>
      <c r="BI380" s="8"/>
      <c r="BJ380" s="8"/>
      <c r="BK380" s="8"/>
      <c r="BL380" s="8"/>
      <c r="BM380" s="8"/>
      <c r="BN380" s="8"/>
      <c r="BO380" s="8"/>
      <c r="BP380" s="8"/>
      <c r="BQ380" s="8"/>
      <c r="BR380" s="8"/>
      <c r="BS380" s="8"/>
      <c r="BT380" s="8"/>
      <c r="BU380" s="8"/>
      <c r="BV380" s="8"/>
      <c r="BW380" s="8"/>
      <c r="BX380" s="8"/>
      <c r="BY380" s="8"/>
      <c r="BZ380" s="8"/>
    </row>
    <row r="381" spans="1:78" ht="13" customHeight="1" x14ac:dyDescent="0.15">
      <c r="A381" s="8" t="s">
        <v>6189</v>
      </c>
      <c r="B381" s="8" t="s">
        <v>4828</v>
      </c>
      <c r="C381" s="11">
        <v>2017</v>
      </c>
      <c r="D381" s="8" t="s">
        <v>5508</v>
      </c>
      <c r="E381" s="8"/>
      <c r="F381" s="8" t="s">
        <v>5507</v>
      </c>
      <c r="G381" s="8" t="str" cm="1">
        <f t="array" ref="G381">LOWER(CleanCode(F381))</f>
        <v>inflectiveandreflectivewhitenessinthesociologyofraceandethnicityacommentonanintegrativeframeworkforthefield</v>
      </c>
      <c r="H381" s="8"/>
      <c r="I381" s="8"/>
      <c r="J381" s="8" t="s">
        <v>5512</v>
      </c>
      <c r="K381" s="8"/>
      <c r="L381" s="8"/>
      <c r="M381" s="8" t="s">
        <v>5495</v>
      </c>
      <c r="N381" s="8" t="str">
        <f t="shared" si="5"/>
        <v>Ethnic And Racial Studies</v>
      </c>
      <c r="O381" s="8" t="str">
        <f>"01419870"</f>
        <v>01419870</v>
      </c>
      <c r="P381" s="8"/>
      <c r="Q381" s="8"/>
      <c r="R381" s="8" t="str">
        <f>"20171001"</f>
        <v>20171001</v>
      </c>
      <c r="S381" s="8">
        <v>40</v>
      </c>
      <c r="T381" s="8">
        <v>13</v>
      </c>
      <c r="U381" s="8">
        <v>2226</v>
      </c>
      <c r="V381" s="8"/>
      <c r="W381" s="8">
        <v>6</v>
      </c>
      <c r="X381" s="8"/>
      <c r="Y381" s="8"/>
      <c r="Z381" s="8"/>
      <c r="AA381" s="8"/>
      <c r="AB381" s="8"/>
      <c r="AC381" s="8"/>
      <c r="AD381" s="8" t="s">
        <v>5509</v>
      </c>
      <c r="AE381" s="8" t="s">
        <v>5510</v>
      </c>
      <c r="AF381" s="8"/>
      <c r="AG381" s="8" t="s">
        <v>4728</v>
      </c>
      <c r="AH381" s="8"/>
      <c r="AI381" s="8"/>
      <c r="AJ381" s="8" t="s">
        <v>5511</v>
      </c>
      <c r="AK381" s="8"/>
      <c r="AL381" s="8" t="s">
        <v>5513</v>
      </c>
      <c r="AM381" s="8"/>
      <c r="AN381" s="8"/>
      <c r="AO381" s="8"/>
      <c r="AP381" s="8"/>
      <c r="AQ381" s="8"/>
      <c r="AR381" s="8"/>
      <c r="AS381" s="8"/>
      <c r="AT381" s="8"/>
      <c r="AU381" s="8"/>
      <c r="AV381" s="8"/>
      <c r="AW381" s="8"/>
      <c r="AX381" s="8"/>
      <c r="AY381" s="8"/>
      <c r="AZ381" s="8"/>
      <c r="BA381" s="8"/>
      <c r="BB381" s="8"/>
      <c r="BC381" s="8"/>
      <c r="BD381" s="8"/>
      <c r="BE381" s="8"/>
      <c r="BF381" s="8"/>
      <c r="BG381" s="8"/>
      <c r="BH381" s="8"/>
      <c r="BI381" s="8"/>
      <c r="BJ381" s="8"/>
      <c r="BK381" s="8"/>
      <c r="BL381" s="8"/>
      <c r="BM381" s="8"/>
      <c r="BN381" s="8"/>
      <c r="BO381" s="8"/>
      <c r="BP381" s="8"/>
      <c r="BQ381" s="8"/>
      <c r="BR381" s="8"/>
      <c r="BS381" s="8"/>
      <c r="BT381" s="8"/>
      <c r="BU381" s="8"/>
      <c r="BV381" s="8"/>
      <c r="BW381" s="8"/>
      <c r="BX381" s="8"/>
      <c r="BY381" s="8"/>
      <c r="BZ381" s="8"/>
    </row>
    <row r="382" spans="1:78" ht="13" customHeight="1" x14ac:dyDescent="0.15">
      <c r="A382" s="8" t="s">
        <v>6189</v>
      </c>
      <c r="B382" s="8" t="s">
        <v>4679</v>
      </c>
      <c r="C382" s="11">
        <v>2019</v>
      </c>
      <c r="D382" s="8" t="s">
        <v>5515</v>
      </c>
      <c r="E382" s="8"/>
      <c r="F382" s="8" t="s">
        <v>5514</v>
      </c>
      <c r="G382" s="8" t="str" cm="1">
        <f t="array" ref="G382">LOWER(CleanCode(F382))</f>
        <v>injectionrisknormsandpracticesamongmigrantpuertoricanpeoplewhoinjectdrugsinnewyorkcitythelimitsofacculturationtheory</v>
      </c>
      <c r="H382" s="8"/>
      <c r="I382" s="8"/>
      <c r="J382" s="8" t="s">
        <v>5519</v>
      </c>
      <c r="K382" s="8"/>
      <c r="L382" s="8"/>
      <c r="M382" s="8" t="s">
        <v>5516</v>
      </c>
      <c r="N382" s="8" t="str">
        <f t="shared" si="5"/>
        <v>International Journal Of Drug Policy</v>
      </c>
      <c r="O382" s="8" t="str">
        <f>"09553959"</f>
        <v>09553959</v>
      </c>
      <c r="P382" s="8"/>
      <c r="Q382" s="8"/>
      <c r="R382" s="8" t="str">
        <f>"20190701"</f>
        <v>20190701</v>
      </c>
      <c r="S382" s="8">
        <v>69</v>
      </c>
      <c r="T382" s="8"/>
      <c r="U382" s="8">
        <v>60</v>
      </c>
      <c r="V382" s="8"/>
      <c r="W382" s="8">
        <v>10</v>
      </c>
      <c r="X382" s="8"/>
      <c r="Y382" s="8"/>
      <c r="Z382" s="8"/>
      <c r="AA382" s="8"/>
      <c r="AB382" s="8"/>
      <c r="AC382" s="8"/>
      <c r="AD382" s="8" t="s">
        <v>5517</v>
      </c>
      <c r="AE382" s="8" t="s">
        <v>960</v>
      </c>
      <c r="AF382" s="8"/>
      <c r="AG382" s="8" t="s">
        <v>4735</v>
      </c>
      <c r="AH382" s="8"/>
      <c r="AI382" s="8"/>
      <c r="AJ382" s="8" t="s">
        <v>5518</v>
      </c>
      <c r="AK382" s="8"/>
      <c r="AL382" s="8" t="s">
        <v>5520</v>
      </c>
      <c r="AM382" s="8"/>
      <c r="AN382" s="8"/>
      <c r="AO382" s="8"/>
      <c r="AP382" s="8"/>
      <c r="AQ382" s="8"/>
      <c r="AR382" s="8"/>
      <c r="AS382" s="8"/>
      <c r="AT382" s="8"/>
      <c r="AU382" s="8"/>
      <c r="AV382" s="8"/>
      <c r="AW382" s="8"/>
      <c r="AX382" s="8"/>
      <c r="AY382" s="8"/>
      <c r="AZ382" s="8"/>
      <c r="BA382" s="8"/>
      <c r="BB382" s="8"/>
      <c r="BC382" s="8"/>
      <c r="BD382" s="8"/>
      <c r="BE382" s="8"/>
      <c r="BF382" s="8"/>
      <c r="BG382" s="8"/>
      <c r="BH382" s="8"/>
      <c r="BI382" s="8"/>
      <c r="BJ382" s="8"/>
      <c r="BK382" s="8"/>
      <c r="BL382" s="8"/>
      <c r="BM382" s="8"/>
      <c r="BN382" s="8"/>
      <c r="BO382" s="8"/>
      <c r="BP382" s="8"/>
      <c r="BQ382" s="8"/>
      <c r="BR382" s="8"/>
      <c r="BS382" s="8"/>
      <c r="BT382" s="8"/>
      <c r="BU382" s="8"/>
      <c r="BV382" s="8"/>
      <c r="BW382" s="8"/>
      <c r="BX382" s="8"/>
      <c r="BY382" s="8"/>
      <c r="BZ382" s="8"/>
    </row>
    <row r="383" spans="1:78" ht="13" customHeight="1" x14ac:dyDescent="0.15">
      <c r="A383" s="8" t="s">
        <v>6189</v>
      </c>
      <c r="B383" s="8" t="s">
        <v>4679</v>
      </c>
      <c r="C383" s="11">
        <v>2013</v>
      </c>
      <c r="D383" s="8" t="s">
        <v>2387</v>
      </c>
      <c r="E383" s="8"/>
      <c r="F383" s="8" t="s">
        <v>5521</v>
      </c>
      <c r="G383" s="8" t="str" cm="1">
        <f t="array" ref="G383">LOWER(CleanCode(F383))</f>
        <v>integratedthreattheoryandacceptanceofimmigrantassimilationananalysisofmuslimimmigrationinwesterneurope</v>
      </c>
      <c r="H383" s="8"/>
      <c r="I383" s="8"/>
      <c r="J383" s="8" t="s">
        <v>5524</v>
      </c>
      <c r="K383" s="8"/>
      <c r="L383" s="8"/>
      <c r="M383" s="8" t="s">
        <v>5430</v>
      </c>
      <c r="N383" s="8" t="str">
        <f t="shared" si="5"/>
        <v>Communication Monographs</v>
      </c>
      <c r="O383" s="8" t="str">
        <f>"03637751"</f>
        <v>03637751</v>
      </c>
      <c r="P383" s="8"/>
      <c r="Q383" s="8"/>
      <c r="R383" s="8" t="str">
        <f>"20130301"</f>
        <v>20130301</v>
      </c>
      <c r="S383" s="8">
        <v>80</v>
      </c>
      <c r="T383" s="8">
        <v>1</v>
      </c>
      <c r="U383" s="8">
        <v>46</v>
      </c>
      <c r="V383" s="8"/>
      <c r="W383" s="8">
        <v>17</v>
      </c>
      <c r="X383" s="8"/>
      <c r="Y383" s="8"/>
      <c r="Z383" s="8"/>
      <c r="AA383" s="8"/>
      <c r="AB383" s="8"/>
      <c r="AC383" s="8"/>
      <c r="AD383" s="8" t="s">
        <v>5522</v>
      </c>
      <c r="AE383" s="8" t="s">
        <v>3106</v>
      </c>
      <c r="AF383" s="8"/>
      <c r="AG383" s="8" t="s">
        <v>4728</v>
      </c>
      <c r="AH383" s="8"/>
      <c r="AI383" s="8"/>
      <c r="AJ383" s="8" t="s">
        <v>5523</v>
      </c>
      <c r="AK383" s="8"/>
      <c r="AL383" s="8" t="s">
        <v>5525</v>
      </c>
      <c r="AM383" s="8"/>
      <c r="AN383" s="8"/>
      <c r="AO383" s="8"/>
      <c r="AP383" s="8"/>
      <c r="AQ383" s="8"/>
      <c r="AR383" s="8"/>
      <c r="AS383" s="8"/>
      <c r="AT383" s="8"/>
      <c r="AU383" s="8"/>
      <c r="AV383" s="8"/>
      <c r="AW383" s="8"/>
      <c r="AX383" s="8"/>
      <c r="AY383" s="8"/>
      <c r="AZ383" s="8"/>
      <c r="BA383" s="8"/>
      <c r="BB383" s="8"/>
      <c r="BC383" s="8"/>
      <c r="BD383" s="8"/>
      <c r="BE383" s="8"/>
      <c r="BF383" s="8"/>
      <c r="BG383" s="8"/>
      <c r="BH383" s="8"/>
      <c r="BI383" s="8"/>
      <c r="BJ383" s="8"/>
      <c r="BK383" s="8"/>
      <c r="BL383" s="8"/>
      <c r="BM383" s="8"/>
      <c r="BN383" s="8"/>
      <c r="BO383" s="8"/>
      <c r="BP383" s="8"/>
      <c r="BQ383" s="8"/>
      <c r="BR383" s="8"/>
      <c r="BS383" s="8"/>
      <c r="BT383" s="8"/>
      <c r="BU383" s="8"/>
      <c r="BV383" s="8"/>
      <c r="BW383" s="8"/>
      <c r="BX383" s="8"/>
      <c r="BY383" s="8"/>
      <c r="BZ383" s="8"/>
    </row>
    <row r="384" spans="1:78" ht="13" customHeight="1" x14ac:dyDescent="0.15">
      <c r="A384" s="8" t="s">
        <v>6189</v>
      </c>
      <c r="B384" s="8" t="s">
        <v>4679</v>
      </c>
      <c r="C384" s="11">
        <v>2012</v>
      </c>
      <c r="D384" s="8" t="s">
        <v>3150</v>
      </c>
      <c r="E384" s="8"/>
      <c r="F384" s="8" t="s">
        <v>5526</v>
      </c>
      <c r="G384" s="8" t="str" cm="1">
        <f t="array" ref="G384">LOWER(CleanCode(F384))</f>
        <v>integratingsocialepidemiologyintoimmigranthealthresearchacrossnationalframework</v>
      </c>
      <c r="H384" s="8"/>
      <c r="I384" s="8"/>
      <c r="J384" s="8" t="s">
        <v>5529</v>
      </c>
      <c r="K384" s="8"/>
      <c r="L384" s="8"/>
      <c r="M384" s="8" t="s">
        <v>5297</v>
      </c>
      <c r="N384" s="8" t="str">
        <f t="shared" si="5"/>
        <v>Social Science &amp; Medicine</v>
      </c>
      <c r="O384" s="8" t="str">
        <f>"02779536"</f>
        <v>02779536</v>
      </c>
      <c r="P384" s="8"/>
      <c r="Q384" s="8"/>
      <c r="R384" s="8" t="str">
        <f>"20121201"</f>
        <v>20121201</v>
      </c>
      <c r="S384" s="8">
        <v>75</v>
      </c>
      <c r="T384" s="8">
        <v>12</v>
      </c>
      <c r="U384" s="8">
        <v>2060</v>
      </c>
      <c r="V384" s="8"/>
      <c r="W384" s="8">
        <v>9</v>
      </c>
      <c r="X384" s="8"/>
      <c r="Y384" s="8"/>
      <c r="Z384" s="8"/>
      <c r="AA384" s="8"/>
      <c r="AB384" s="8"/>
      <c r="AC384" s="8"/>
      <c r="AD384" s="8" t="s">
        <v>5527</v>
      </c>
      <c r="AE384" s="8" t="s">
        <v>3160</v>
      </c>
      <c r="AF384" s="8"/>
      <c r="AG384" s="8" t="s">
        <v>4735</v>
      </c>
      <c r="AH384" s="8"/>
      <c r="AI384" s="8"/>
      <c r="AJ384" s="8" t="s">
        <v>5528</v>
      </c>
      <c r="AK384" s="8"/>
      <c r="AL384" s="8" t="s">
        <v>5530</v>
      </c>
      <c r="AM384" s="8"/>
      <c r="AN384" s="8"/>
      <c r="AO384" s="8"/>
      <c r="AP384" s="8"/>
      <c r="AQ384" s="8"/>
      <c r="AR384" s="8"/>
      <c r="AS384" s="8"/>
      <c r="AT384" s="8"/>
      <c r="AU384" s="8"/>
      <c r="AV384" s="8"/>
      <c r="AW384" s="8"/>
      <c r="AX384" s="8"/>
      <c r="AY384" s="8"/>
      <c r="AZ384" s="8"/>
      <c r="BA384" s="8"/>
      <c r="BB384" s="8"/>
      <c r="BC384" s="8"/>
      <c r="BD384" s="8"/>
      <c r="BE384" s="8"/>
      <c r="BF384" s="8"/>
      <c r="BG384" s="8"/>
      <c r="BH384" s="8"/>
      <c r="BI384" s="8"/>
      <c r="BJ384" s="8"/>
      <c r="BK384" s="8"/>
      <c r="BL384" s="8"/>
      <c r="BM384" s="8"/>
      <c r="BN384" s="8"/>
      <c r="BO384" s="8"/>
      <c r="BP384" s="8"/>
      <c r="BQ384" s="8"/>
      <c r="BR384" s="8"/>
      <c r="BS384" s="8"/>
      <c r="BT384" s="8"/>
      <c r="BU384" s="8"/>
      <c r="BV384" s="8"/>
      <c r="BW384" s="8"/>
      <c r="BX384" s="8"/>
      <c r="BY384" s="8"/>
      <c r="BZ384" s="8"/>
    </row>
    <row r="385" spans="1:78" ht="13" customHeight="1" x14ac:dyDescent="0.15">
      <c r="A385" s="8" t="s">
        <v>6189</v>
      </c>
      <c r="B385" s="8" t="s">
        <v>4679</v>
      </c>
      <c r="C385" s="11">
        <v>1987</v>
      </c>
      <c r="D385" s="8" t="s">
        <v>5532</v>
      </c>
      <c r="E385" s="8"/>
      <c r="F385" s="8" t="s">
        <v>5531</v>
      </c>
      <c r="G385" s="8" t="str" cm="1">
        <f t="array" ref="G385">LOWER(CleanCode(F385))</f>
        <v>integratingsystemstheoryandattachmenttheorytheuseofradiocommunicationtomodifyattachmentsinapatientwithpsychogenicvomiting</v>
      </c>
      <c r="H385" s="8"/>
      <c r="I385" s="8"/>
      <c r="J385" s="8" t="s">
        <v>5537</v>
      </c>
      <c r="K385" s="8"/>
      <c r="L385" s="8"/>
      <c r="M385" s="8" t="s">
        <v>5533</v>
      </c>
      <c r="N385" s="8" t="str">
        <f t="shared" si="5"/>
        <v>The Canadian Journal Of Psychiatry / La Revue Canadienne De Psychiatrie</v>
      </c>
      <c r="O385" s="8" t="str">
        <f>"07067437"</f>
        <v>07067437</v>
      </c>
      <c r="P385" s="8"/>
      <c r="Q385" s="8"/>
      <c r="R385" s="8" t="str">
        <f>"19871001"</f>
        <v>19871001</v>
      </c>
      <c r="S385" s="8">
        <v>32</v>
      </c>
      <c r="T385" s="8">
        <v>7</v>
      </c>
      <c r="U385" s="8">
        <v>595</v>
      </c>
      <c r="V385" s="8"/>
      <c r="W385" s="8">
        <v>4</v>
      </c>
      <c r="X385" s="8"/>
      <c r="Y385" s="8"/>
      <c r="Z385" s="8"/>
      <c r="AA385" s="8"/>
      <c r="AB385" s="8"/>
      <c r="AC385" s="8"/>
      <c r="AD385" s="8" t="s">
        <v>5534</v>
      </c>
      <c r="AE385" s="8"/>
      <c r="AF385" s="8"/>
      <c r="AG385" s="8" t="s">
        <v>5535</v>
      </c>
      <c r="AH385" s="8"/>
      <c r="AI385" s="8"/>
      <c r="AJ385" s="8" t="s">
        <v>5536</v>
      </c>
      <c r="AK385" s="8"/>
      <c r="AL385" s="8" t="s">
        <v>5538</v>
      </c>
      <c r="AM385" s="8"/>
      <c r="AN385" s="8"/>
      <c r="AO385" s="8"/>
      <c r="AP385" s="8"/>
      <c r="AQ385" s="8"/>
      <c r="AR385" s="8"/>
      <c r="AS385" s="8"/>
      <c r="AT385" s="8"/>
      <c r="AU385" s="8"/>
      <c r="AV385" s="8"/>
      <c r="AW385" s="8"/>
      <c r="AX385" s="8"/>
      <c r="AY385" s="8"/>
      <c r="AZ385" s="8"/>
      <c r="BA385" s="8"/>
      <c r="BB385" s="8"/>
      <c r="BC385" s="8"/>
      <c r="BD385" s="8"/>
      <c r="BE385" s="8"/>
      <c r="BF385" s="8"/>
      <c r="BG385" s="8"/>
      <c r="BH385" s="8"/>
      <c r="BI385" s="8"/>
      <c r="BJ385" s="8"/>
      <c r="BK385" s="8"/>
      <c r="BL385" s="8"/>
      <c r="BM385" s="8"/>
      <c r="BN385" s="8"/>
      <c r="BO385" s="8"/>
      <c r="BP385" s="8"/>
      <c r="BQ385" s="8"/>
      <c r="BR385" s="8"/>
      <c r="BS385" s="8"/>
      <c r="BT385" s="8"/>
      <c r="BU385" s="8"/>
      <c r="BV385" s="8"/>
      <c r="BW385" s="8"/>
      <c r="BX385" s="8"/>
      <c r="BY385" s="8"/>
      <c r="BZ385" s="8"/>
    </row>
    <row r="386" spans="1:78" ht="13" customHeight="1" x14ac:dyDescent="0.15">
      <c r="A386" s="8" t="s">
        <v>6189</v>
      </c>
      <c r="B386" s="8" t="s">
        <v>4773</v>
      </c>
      <c r="C386" s="11">
        <v>2005</v>
      </c>
      <c r="D386" s="8" t="s">
        <v>5540</v>
      </c>
      <c r="E386" s="8"/>
      <c r="F386" s="8" t="s">
        <v>5539</v>
      </c>
      <c r="G386" s="8" t="str" cm="1">
        <f t="array" ref="G386">LOWER(CleanCode(F386))</f>
        <v>integratingtheoryandpracticearacialculturalcounselingmodel</v>
      </c>
      <c r="H386" s="8"/>
      <c r="I386" s="8"/>
      <c r="J386" s="8" t="s">
        <v>5545</v>
      </c>
      <c r="K386" s="8"/>
      <c r="L386" s="8"/>
      <c r="M386" s="8" t="s">
        <v>5541</v>
      </c>
      <c r="N386" s="8" t="str">
        <f t="shared" si="5"/>
        <v>Handbook Of Racial-Cultural Psychology And Counseling, Vol 2: Training And Practice.</v>
      </c>
      <c r="O386" s="8"/>
      <c r="P386" s="8"/>
      <c r="Q386" s="8" t="str">
        <f>"0471386294; 9780471386292"</f>
        <v>0471386294; 9780471386292</v>
      </c>
      <c r="R386" s="8" t="str">
        <f>"20050101"</f>
        <v>20050101</v>
      </c>
      <c r="S386" s="8"/>
      <c r="T386" s="8"/>
      <c r="U386" s="8">
        <v>235</v>
      </c>
      <c r="V386" s="8"/>
      <c r="W386" s="8">
        <v>14</v>
      </c>
      <c r="X386" s="8"/>
      <c r="Y386" s="8"/>
      <c r="Z386" s="8"/>
      <c r="AA386" s="8"/>
      <c r="AB386" s="8"/>
      <c r="AC386" s="8"/>
      <c r="AD386" s="8" t="s">
        <v>5542</v>
      </c>
      <c r="AE386" s="8"/>
      <c r="AF386" s="8"/>
      <c r="AG386" s="8" t="s">
        <v>5543</v>
      </c>
      <c r="AH386" s="8"/>
      <c r="AI386" s="8"/>
      <c r="AJ386" s="8" t="s">
        <v>5544</v>
      </c>
      <c r="AK386" s="8"/>
      <c r="AL386" s="8" t="s">
        <v>5546</v>
      </c>
      <c r="AM386" s="8"/>
      <c r="AN386" s="8"/>
      <c r="AO386" s="8"/>
      <c r="AP386" s="8"/>
      <c r="AQ386" s="8"/>
      <c r="AR386" s="8"/>
      <c r="AS386" s="8"/>
      <c r="AT386" s="8"/>
      <c r="AU386" s="8"/>
      <c r="AV386" s="8"/>
      <c r="AW386" s="8"/>
      <c r="AX386" s="8"/>
      <c r="AY386" s="8"/>
      <c r="AZ386" s="8"/>
      <c r="BA386" s="8"/>
      <c r="BB386" s="8"/>
      <c r="BC386" s="8"/>
      <c r="BD386" s="8"/>
      <c r="BE386" s="8"/>
      <c r="BF386" s="8"/>
      <c r="BG386" s="8"/>
      <c r="BH386" s="8"/>
      <c r="BI386" s="8"/>
      <c r="BJ386" s="8"/>
      <c r="BK386" s="8"/>
      <c r="BL386" s="8"/>
      <c r="BM386" s="8"/>
      <c r="BN386" s="8"/>
      <c r="BO386" s="8"/>
      <c r="BP386" s="8"/>
      <c r="BQ386" s="8"/>
      <c r="BR386" s="8"/>
      <c r="BS386" s="8"/>
      <c r="BT386" s="8"/>
      <c r="BU386" s="8"/>
      <c r="BV386" s="8"/>
      <c r="BW386" s="8"/>
      <c r="BX386" s="8"/>
      <c r="BY386" s="8"/>
      <c r="BZ386" s="8"/>
    </row>
    <row r="387" spans="1:78" ht="13" customHeight="1" x14ac:dyDescent="0.15">
      <c r="A387" s="8" t="s">
        <v>6189</v>
      </c>
      <c r="B387" s="8" t="s">
        <v>4671</v>
      </c>
      <c r="C387" s="11">
        <v>1990</v>
      </c>
      <c r="D387" s="8" t="s">
        <v>5548</v>
      </c>
      <c r="E387" s="8"/>
      <c r="F387" s="8" t="s">
        <v>5547</v>
      </c>
      <c r="G387" s="8" t="str" cm="1">
        <f t="array" ref="G387">LOWER(CleanCode(F387))</f>
        <v>integrativeaginginwidowedimmigrantfilipinasagroundedtheorystudy</v>
      </c>
      <c r="H387" s="8"/>
      <c r="I387" s="8"/>
      <c r="J387" s="8"/>
      <c r="K387" s="8"/>
      <c r="L387" s="8"/>
      <c r="M387" s="8" t="s">
        <v>5549</v>
      </c>
      <c r="N387" s="8" t="str">
        <f t="shared" ref="N387:N450" si="6">PROPER(M387)</f>
        <v>Dissertation Abstracts International</v>
      </c>
      <c r="O387" s="8" t="str">
        <f>"04194217"</f>
        <v>04194217</v>
      </c>
      <c r="P387" s="8"/>
      <c r="Q387" s="8"/>
      <c r="R387" s="8" t="str">
        <f>"19900101"</f>
        <v>19900101</v>
      </c>
      <c r="S387" s="8">
        <v>50</v>
      </c>
      <c r="T387" s="8" t="s">
        <v>4668</v>
      </c>
      <c r="U387" s="8">
        <v>2852</v>
      </c>
      <c r="V387" s="8"/>
      <c r="W387" s="8">
        <v>1</v>
      </c>
      <c r="X387" s="8"/>
      <c r="Y387" s="8"/>
      <c r="Z387" s="8"/>
      <c r="AA387" s="8"/>
      <c r="AB387" s="8"/>
      <c r="AC387" s="8"/>
      <c r="AD387" s="8" t="s">
        <v>5550</v>
      </c>
      <c r="AE387" s="8"/>
      <c r="AF387" s="8"/>
      <c r="AG387" s="8" t="s">
        <v>4670</v>
      </c>
      <c r="AH387" s="8"/>
      <c r="AI387" s="8"/>
      <c r="AJ387" s="8" t="s">
        <v>5551</v>
      </c>
      <c r="AK387" s="8"/>
      <c r="AL387" s="8" t="s">
        <v>5552</v>
      </c>
      <c r="AM387" s="8"/>
      <c r="AN387" s="8"/>
      <c r="AO387" s="8"/>
      <c r="AP387" s="8"/>
      <c r="AQ387" s="8"/>
      <c r="AR387" s="8"/>
      <c r="AS387" s="8"/>
      <c r="AT387" s="8"/>
      <c r="AU387" s="8"/>
      <c r="AV387" s="8"/>
      <c r="AW387" s="8"/>
      <c r="AX387" s="8"/>
      <c r="AY387" s="8"/>
      <c r="AZ387" s="8"/>
      <c r="BA387" s="8"/>
      <c r="BB387" s="8"/>
      <c r="BC387" s="8"/>
      <c r="BD387" s="8"/>
      <c r="BE387" s="8"/>
      <c r="BF387" s="8"/>
      <c r="BG387" s="8"/>
      <c r="BH387" s="8"/>
      <c r="BI387" s="8"/>
      <c r="BJ387" s="8"/>
      <c r="BK387" s="8"/>
      <c r="BL387" s="8"/>
      <c r="BM387" s="8"/>
      <c r="BN387" s="8"/>
      <c r="BO387" s="8"/>
      <c r="BP387" s="8"/>
      <c r="BQ387" s="8"/>
      <c r="BR387" s="8"/>
      <c r="BS387" s="8"/>
      <c r="BT387" s="8"/>
      <c r="BU387" s="8"/>
      <c r="BV387" s="8"/>
      <c r="BW387" s="8"/>
      <c r="BX387" s="8"/>
      <c r="BY387" s="8"/>
      <c r="BZ387" s="8"/>
    </row>
    <row r="388" spans="1:78" ht="13" customHeight="1" x14ac:dyDescent="0.15">
      <c r="A388" s="8" t="s">
        <v>6189</v>
      </c>
      <c r="B388" s="8" t="s">
        <v>4679</v>
      </c>
      <c r="C388" s="11">
        <v>2012</v>
      </c>
      <c r="D388" s="8" t="s">
        <v>5554</v>
      </c>
      <c r="E388" s="8"/>
      <c r="F388" s="8" t="s">
        <v>5553</v>
      </c>
      <c r="G388" s="8" t="str" cm="1">
        <f t="array" ref="G388">LOWER(CleanCode(F388))</f>
        <v>internationalmigrationofprofessionalsocialworkerstowardatheoreticalframeworkforunderstandingprofessionaladaptationprocesses</v>
      </c>
      <c r="H388" s="8"/>
      <c r="I388" s="8"/>
      <c r="J388" s="8" t="s">
        <v>5559</v>
      </c>
      <c r="K388" s="8"/>
      <c r="L388" s="8"/>
      <c r="M388" s="8" t="s">
        <v>5555</v>
      </c>
      <c r="N388" s="8" t="str">
        <f t="shared" si="6"/>
        <v>Social Development Issues: Alternative Approaches To Global Human Needs</v>
      </c>
      <c r="O388" s="8" t="str">
        <f>"01471473"</f>
        <v>01471473</v>
      </c>
      <c r="P388" s="8"/>
      <c r="Q388" s="8"/>
      <c r="R388" s="8" t="str">
        <f>"20120101"</f>
        <v>20120101</v>
      </c>
      <c r="S388" s="8">
        <v>34</v>
      </c>
      <c r="T388" s="8">
        <v>2</v>
      </c>
      <c r="U388" s="8">
        <v>37</v>
      </c>
      <c r="V388" s="8"/>
      <c r="W388" s="8">
        <v>14</v>
      </c>
      <c r="X388" s="8"/>
      <c r="Y388" s="8"/>
      <c r="Z388" s="8"/>
      <c r="AA388" s="8"/>
      <c r="AB388" s="8"/>
      <c r="AC388" s="8"/>
      <c r="AD388" s="8" t="s">
        <v>5556</v>
      </c>
      <c r="AE388" s="8"/>
      <c r="AF388" s="8"/>
      <c r="AG388" s="8" t="s">
        <v>5557</v>
      </c>
      <c r="AH388" s="8"/>
      <c r="AI388" s="8"/>
      <c r="AJ388" s="8" t="s">
        <v>5558</v>
      </c>
      <c r="AK388" s="8"/>
      <c r="AL388" s="8" t="s">
        <v>5560</v>
      </c>
      <c r="AM388" s="8"/>
      <c r="AN388" s="8"/>
      <c r="AO388" s="8"/>
      <c r="AP388" s="8"/>
      <c r="AQ388" s="8"/>
      <c r="AR388" s="8"/>
      <c r="AS388" s="8"/>
      <c r="AT388" s="8"/>
      <c r="AU388" s="8"/>
      <c r="AV388" s="8"/>
      <c r="AW388" s="8"/>
      <c r="AX388" s="8"/>
      <c r="AY388" s="8"/>
      <c r="AZ388" s="8"/>
      <c r="BA388" s="8"/>
      <c r="BB388" s="8"/>
      <c r="BC388" s="8"/>
      <c r="BD388" s="8"/>
      <c r="BE388" s="8"/>
      <c r="BF388" s="8"/>
      <c r="BG388" s="8"/>
      <c r="BH388" s="8"/>
      <c r="BI388" s="8"/>
      <c r="BJ388" s="8"/>
      <c r="BK388" s="8"/>
      <c r="BL388" s="8"/>
      <c r="BM388" s="8"/>
      <c r="BN388" s="8"/>
      <c r="BO388" s="8"/>
      <c r="BP388" s="8"/>
      <c r="BQ388" s="8"/>
      <c r="BR388" s="8"/>
      <c r="BS388" s="8"/>
      <c r="BT388" s="8"/>
      <c r="BU388" s="8"/>
      <c r="BV388" s="8"/>
      <c r="BW388" s="8"/>
      <c r="BX388" s="8"/>
      <c r="BY388" s="8"/>
      <c r="BZ388" s="8"/>
    </row>
    <row r="389" spans="1:78" ht="13" customHeight="1" x14ac:dyDescent="0.15">
      <c r="A389" s="8" t="s">
        <v>6189</v>
      </c>
      <c r="B389" s="8" t="s">
        <v>4679</v>
      </c>
      <c r="C389" s="11">
        <v>1994</v>
      </c>
      <c r="D389" s="8" t="s">
        <v>5562</v>
      </c>
      <c r="E389" s="8"/>
      <c r="F389" s="8" t="s">
        <v>5561</v>
      </c>
      <c r="G389" s="8" t="str" cm="1">
        <f t="array" ref="G389">LOWER(CleanCode(F389))</f>
        <v>internationalmigrationsaframeworkfordirectingresearch</v>
      </c>
      <c r="H389" s="8"/>
      <c r="I389" s="8"/>
      <c r="J389" s="8" t="s">
        <v>5567</v>
      </c>
      <c r="K389" s="8"/>
      <c r="L389" s="8"/>
      <c r="M389" s="8" t="s">
        <v>5563</v>
      </c>
      <c r="N389" s="8" t="str">
        <f t="shared" si="6"/>
        <v>American Psychologist</v>
      </c>
      <c r="O389" s="8" t="str">
        <f>"0003066X"</f>
        <v>0003066X</v>
      </c>
      <c r="P389" s="8"/>
      <c r="Q389" s="8"/>
      <c r="R389" s="8" t="str">
        <f>"19940801"</f>
        <v>19940801</v>
      </c>
      <c r="S389" s="8">
        <v>49</v>
      </c>
      <c r="T389" s="8">
        <v>8</v>
      </c>
      <c r="U389" s="8">
        <v>701</v>
      </c>
      <c r="V389" s="8"/>
      <c r="W389" s="8">
        <v>8</v>
      </c>
      <c r="X389" s="8"/>
      <c r="Y389" s="8"/>
      <c r="Z389" s="8"/>
      <c r="AA389" s="8"/>
      <c r="AB389" s="8"/>
      <c r="AC389" s="8"/>
      <c r="AD389" s="8" t="s">
        <v>5564</v>
      </c>
      <c r="AE389" s="8" t="s">
        <v>5565</v>
      </c>
      <c r="AF389" s="8"/>
      <c r="AG389" s="8" t="s">
        <v>4899</v>
      </c>
      <c r="AH389" s="8"/>
      <c r="AI389" s="8"/>
      <c r="AJ389" s="8" t="s">
        <v>5566</v>
      </c>
      <c r="AK389" s="8"/>
      <c r="AL389" s="8" t="s">
        <v>5568</v>
      </c>
      <c r="AM389" s="8"/>
      <c r="AN389" s="8"/>
      <c r="AO389" s="8"/>
      <c r="AP389" s="8"/>
      <c r="AQ389" s="8"/>
      <c r="AR389" s="8"/>
      <c r="AS389" s="8"/>
      <c r="AT389" s="8"/>
      <c r="AU389" s="8"/>
      <c r="AV389" s="8"/>
      <c r="AW389" s="8"/>
      <c r="AX389" s="8"/>
      <c r="AY389" s="8"/>
      <c r="AZ389" s="8"/>
      <c r="BA389" s="8"/>
      <c r="BB389" s="8"/>
      <c r="BC389" s="8"/>
      <c r="BD389" s="8"/>
      <c r="BE389" s="8"/>
      <c r="BF389" s="8"/>
      <c r="BG389" s="8"/>
      <c r="BH389" s="8"/>
      <c r="BI389" s="8"/>
      <c r="BJ389" s="8"/>
      <c r="BK389" s="8"/>
      <c r="BL389" s="8"/>
      <c r="BM389" s="8"/>
      <c r="BN389" s="8"/>
      <c r="BO389" s="8"/>
      <c r="BP389" s="8"/>
      <c r="BQ389" s="8"/>
      <c r="BR389" s="8"/>
      <c r="BS389" s="8"/>
      <c r="BT389" s="8"/>
      <c r="BU389" s="8"/>
      <c r="BV389" s="8"/>
      <c r="BW389" s="8"/>
      <c r="BX389" s="8"/>
      <c r="BY389" s="8"/>
      <c r="BZ389" s="8"/>
    </row>
    <row r="390" spans="1:78" ht="13" customHeight="1" x14ac:dyDescent="0.15">
      <c r="A390" s="8" t="s">
        <v>6189</v>
      </c>
      <c r="B390" s="8" t="s">
        <v>4773</v>
      </c>
      <c r="C390" s="11">
        <v>2006</v>
      </c>
      <c r="D390" s="8" t="s">
        <v>5570</v>
      </c>
      <c r="E390" s="8"/>
      <c r="F390" s="8" t="s">
        <v>5569</v>
      </c>
      <c r="G390" s="8" t="str" cm="1">
        <f t="array" ref="G390">LOWER(CleanCode(F390))</f>
        <v>introductiongoalsandresearchframeworkforstudyingimmigrantyouth</v>
      </c>
      <c r="H390" s="8"/>
      <c r="I390" s="8"/>
      <c r="J390" s="8" t="s">
        <v>5575</v>
      </c>
      <c r="K390" s="8"/>
      <c r="L390" s="8"/>
      <c r="M390" s="8" t="s">
        <v>5571</v>
      </c>
      <c r="N390" s="8" t="str">
        <f t="shared" si="6"/>
        <v>Immigrant Youth In Cultural Transition: Acculturation, Identity, And Adaptation Across National Contexts.</v>
      </c>
      <c r="O390" s="8"/>
      <c r="P390" s="8"/>
      <c r="Q390" s="8" t="str">
        <f>"0805851569; 9780805851564"</f>
        <v>0805851569; 9780805851564</v>
      </c>
      <c r="R390" s="8" t="str">
        <f>"20060101"</f>
        <v>20060101</v>
      </c>
      <c r="S390" s="8"/>
      <c r="T390" s="8"/>
      <c r="U390" s="8">
        <v>1</v>
      </c>
      <c r="V390" s="8"/>
      <c r="W390" s="8">
        <v>14</v>
      </c>
      <c r="X390" s="8"/>
      <c r="Y390" s="8"/>
      <c r="Z390" s="8"/>
      <c r="AA390" s="8"/>
      <c r="AB390" s="8"/>
      <c r="AC390" s="8"/>
      <c r="AD390" s="8" t="s">
        <v>5572</v>
      </c>
      <c r="AE390" s="8" t="s">
        <v>5573</v>
      </c>
      <c r="AF390" s="8"/>
      <c r="AG390" s="8" t="s">
        <v>5030</v>
      </c>
      <c r="AH390" s="8"/>
      <c r="AI390" s="8"/>
      <c r="AJ390" s="8" t="s">
        <v>5574</v>
      </c>
      <c r="AK390" s="8"/>
      <c r="AL390" s="8" t="s">
        <v>5576</v>
      </c>
      <c r="AM390" s="8"/>
      <c r="AN390" s="8"/>
      <c r="AO390" s="8"/>
      <c r="AP390" s="8"/>
      <c r="AQ390" s="8"/>
      <c r="AR390" s="8"/>
      <c r="AS390" s="8"/>
      <c r="AT390" s="8"/>
      <c r="AU390" s="8"/>
      <c r="AV390" s="8"/>
      <c r="AW390" s="8"/>
      <c r="AX390" s="8"/>
      <c r="AY390" s="8"/>
      <c r="AZ390" s="8"/>
      <c r="BA390" s="8"/>
      <c r="BB390" s="8"/>
      <c r="BC390" s="8"/>
      <c r="BD390" s="8"/>
      <c r="BE390" s="8"/>
      <c r="BF390" s="8"/>
      <c r="BG390" s="8"/>
      <c r="BH390" s="8"/>
      <c r="BI390" s="8"/>
      <c r="BJ390" s="8"/>
      <c r="BK390" s="8"/>
      <c r="BL390" s="8"/>
      <c r="BM390" s="8"/>
      <c r="BN390" s="8"/>
      <c r="BO390" s="8"/>
      <c r="BP390" s="8"/>
      <c r="BQ390" s="8"/>
      <c r="BR390" s="8"/>
      <c r="BS390" s="8"/>
      <c r="BT390" s="8"/>
      <c r="BU390" s="8"/>
      <c r="BV390" s="8"/>
      <c r="BW390" s="8"/>
      <c r="BX390" s="8"/>
      <c r="BY390" s="8"/>
      <c r="BZ390" s="8"/>
    </row>
    <row r="391" spans="1:78" ht="13" customHeight="1" x14ac:dyDescent="0.15">
      <c r="A391" s="8" t="s">
        <v>6189</v>
      </c>
      <c r="B391" s="8" t="s">
        <v>4679</v>
      </c>
      <c r="C391" s="11">
        <v>2008</v>
      </c>
      <c r="D391" s="8" t="s">
        <v>3849</v>
      </c>
      <c r="E391" s="8"/>
      <c r="F391" s="8" t="s">
        <v>5577</v>
      </c>
      <c r="G391" s="8" t="str" cm="1">
        <f t="array" ref="G391">LOWER(CleanCode(F391))</f>
        <v>isassimilationtheorydeadtheeffectofassimilationonadolescentwellbeing</v>
      </c>
      <c r="H391" s="8"/>
      <c r="I391" s="8"/>
      <c r="J391" s="8" t="s">
        <v>5581</v>
      </c>
      <c r="K391" s="8"/>
      <c r="L391" s="8"/>
      <c r="M391" s="8" t="s">
        <v>5578</v>
      </c>
      <c r="N391" s="8" t="str">
        <f t="shared" si="6"/>
        <v>Social Science Research</v>
      </c>
      <c r="O391" s="8" t="str">
        <f>"0049089X"</f>
        <v>0049089X</v>
      </c>
      <c r="P391" s="8"/>
      <c r="Q391" s="8"/>
      <c r="R391" s="8" t="str">
        <f>"20080301"</f>
        <v>20080301</v>
      </c>
      <c r="S391" s="8">
        <v>37</v>
      </c>
      <c r="T391" s="8">
        <v>1</v>
      </c>
      <c r="U391" s="8">
        <v>109</v>
      </c>
      <c r="V391" s="8"/>
      <c r="W391" s="8">
        <v>29</v>
      </c>
      <c r="X391" s="8"/>
      <c r="Y391" s="8"/>
      <c r="Z391" s="8"/>
      <c r="AA391" s="8"/>
      <c r="AB391" s="8"/>
      <c r="AC391" s="8"/>
      <c r="AD391" s="8" t="s">
        <v>5579</v>
      </c>
      <c r="AE391" s="8" t="s">
        <v>3858</v>
      </c>
      <c r="AF391" s="8"/>
      <c r="AG391" s="8" t="s">
        <v>4735</v>
      </c>
      <c r="AH391" s="8"/>
      <c r="AI391" s="8"/>
      <c r="AJ391" s="8" t="s">
        <v>5580</v>
      </c>
      <c r="AK391" s="8"/>
      <c r="AL391" s="8" t="s">
        <v>5582</v>
      </c>
      <c r="AM391" s="8"/>
      <c r="AN391" s="8"/>
      <c r="AO391" s="8"/>
      <c r="AP391" s="8"/>
      <c r="AQ391" s="8"/>
      <c r="AR391" s="8"/>
      <c r="AS391" s="8"/>
      <c r="AT391" s="8"/>
      <c r="AU391" s="8"/>
      <c r="AV391" s="8"/>
      <c r="AW391" s="8"/>
      <c r="AX391" s="8"/>
      <c r="AY391" s="8"/>
      <c r="AZ391" s="8"/>
      <c r="BA391" s="8"/>
      <c r="BB391" s="8"/>
      <c r="BC391" s="8"/>
      <c r="BD391" s="8"/>
      <c r="BE391" s="8"/>
      <c r="BF391" s="8"/>
      <c r="BG391" s="8"/>
      <c r="BH391" s="8"/>
      <c r="BI391" s="8"/>
      <c r="BJ391" s="8"/>
      <c r="BK391" s="8"/>
      <c r="BL391" s="8"/>
      <c r="BM391" s="8"/>
      <c r="BN391" s="8"/>
      <c r="BO391" s="8"/>
      <c r="BP391" s="8"/>
      <c r="BQ391" s="8"/>
      <c r="BR391" s="8"/>
      <c r="BS391" s="8"/>
      <c r="BT391" s="8"/>
      <c r="BU391" s="8"/>
      <c r="BV391" s="8"/>
      <c r="BW391" s="8"/>
      <c r="BX391" s="8"/>
      <c r="BY391" s="8"/>
      <c r="BZ391" s="8"/>
    </row>
    <row r="392" spans="1:78" ht="13" customHeight="1" x14ac:dyDescent="0.15">
      <c r="A392" s="8" t="s">
        <v>6189</v>
      </c>
      <c r="B392" s="8" t="s">
        <v>4773</v>
      </c>
      <c r="C392" s="11">
        <v>2006</v>
      </c>
      <c r="D392" s="8" t="s">
        <v>5584</v>
      </c>
      <c r="E392" s="8"/>
      <c r="F392" s="8" t="s">
        <v>5583</v>
      </c>
      <c r="G392" s="8" t="str" cm="1">
        <f t="array" ref="G392">LOWER(CleanCode(F392))</f>
        <v>issuesintheconceptualizationandassessmentofacculturation</v>
      </c>
      <c r="H392" s="8"/>
      <c r="I392" s="8"/>
      <c r="J392" s="8" t="s">
        <v>5588</v>
      </c>
      <c r="K392" s="8"/>
      <c r="L392" s="8"/>
      <c r="M392" s="8" t="s">
        <v>5585</v>
      </c>
      <c r="N392" s="8" t="str">
        <f t="shared" si="6"/>
        <v>Acculturation And Parent-Child Relationships: Measurement And Development.</v>
      </c>
      <c r="O392" s="8"/>
      <c r="P392" s="8"/>
      <c r="Q392" s="8" t="str">
        <f>"0805858725"</f>
        <v>0805858725</v>
      </c>
      <c r="R392" s="8" t="str">
        <f>"20060101"</f>
        <v>20060101</v>
      </c>
      <c r="S392" s="8"/>
      <c r="T392" s="8"/>
      <c r="U392" s="8">
        <v>33</v>
      </c>
      <c r="V392" s="8"/>
      <c r="W392" s="8">
        <v>30</v>
      </c>
      <c r="X392" s="8"/>
      <c r="Y392" s="8"/>
      <c r="Z392" s="8"/>
      <c r="AA392" s="8"/>
      <c r="AB392" s="8"/>
      <c r="AC392" s="8"/>
      <c r="AD392" s="8" t="s">
        <v>5586</v>
      </c>
      <c r="AE392" s="8"/>
      <c r="AF392" s="8"/>
      <c r="AG392" s="8" t="s">
        <v>5030</v>
      </c>
      <c r="AH392" s="8"/>
      <c r="AI392" s="8"/>
      <c r="AJ392" s="8" t="s">
        <v>5587</v>
      </c>
      <c r="AK392" s="8"/>
      <c r="AL392" s="8" t="s">
        <v>5589</v>
      </c>
      <c r="AM392" s="8"/>
      <c r="AN392" s="8"/>
      <c r="AO392" s="8"/>
      <c r="AP392" s="8"/>
      <c r="AQ392" s="8"/>
      <c r="AR392" s="8"/>
      <c r="AS392" s="8"/>
      <c r="AT392" s="8"/>
      <c r="AU392" s="8"/>
      <c r="AV392" s="8"/>
      <c r="AW392" s="8"/>
      <c r="AX392" s="8"/>
      <c r="AY392" s="8"/>
      <c r="AZ392" s="8"/>
      <c r="BA392" s="8"/>
      <c r="BB392" s="8"/>
      <c r="BC392" s="8"/>
      <c r="BD392" s="8"/>
      <c r="BE392" s="8"/>
      <c r="BF392" s="8"/>
      <c r="BG392" s="8"/>
      <c r="BH392" s="8"/>
      <c r="BI392" s="8"/>
      <c r="BJ392" s="8"/>
      <c r="BK392" s="8"/>
      <c r="BL392" s="8"/>
      <c r="BM392" s="8"/>
      <c r="BN392" s="8"/>
      <c r="BO392" s="8"/>
      <c r="BP392" s="8"/>
      <c r="BQ392" s="8"/>
      <c r="BR392" s="8"/>
      <c r="BS392" s="8"/>
      <c r="BT392" s="8"/>
      <c r="BU392" s="8"/>
      <c r="BV392" s="8"/>
      <c r="BW392" s="8"/>
      <c r="BX392" s="8"/>
      <c r="BY392" s="8"/>
      <c r="BZ392" s="8"/>
    </row>
    <row r="393" spans="1:78" ht="13" customHeight="1" x14ac:dyDescent="0.15">
      <c r="A393" s="8" t="s">
        <v>6189</v>
      </c>
      <c r="B393" s="8" t="s">
        <v>4671</v>
      </c>
      <c r="C393" s="11">
        <v>2012</v>
      </c>
      <c r="D393" s="8" t="s">
        <v>5591</v>
      </c>
      <c r="E393" s="8"/>
      <c r="F393" s="8" t="s">
        <v>5590</v>
      </c>
      <c r="G393" s="8" t="str" cm="1">
        <f t="array" ref="G393">LOWER(CleanCode(F393))</f>
        <v>jamaicanimmigrantunionformationpatternsatestofassimilationtheories</v>
      </c>
      <c r="H393" s="8"/>
      <c r="I393" s="8"/>
      <c r="J393" s="8" t="s">
        <v>5595</v>
      </c>
      <c r="K393" s="8"/>
      <c r="L393" s="8"/>
      <c r="M393" s="8" t="s">
        <v>4762</v>
      </c>
      <c r="N393" s="8" t="str">
        <f t="shared" si="6"/>
        <v>Dissertation Abstracts International Section A: Humanities And Social Sciences</v>
      </c>
      <c r="O393" s="8" t="str">
        <f>"04194209"</f>
        <v>04194209</v>
      </c>
      <c r="P393" s="8"/>
      <c r="Q393" s="8" t="str">
        <f>"9781124772837"</f>
        <v>9781124772837</v>
      </c>
      <c r="R393" s="8" t="str">
        <f>"20120101"</f>
        <v>20120101</v>
      </c>
      <c r="S393" s="8">
        <v>72</v>
      </c>
      <c r="T393" s="8" t="s">
        <v>5592</v>
      </c>
      <c r="U393" s="8">
        <v>3905</v>
      </c>
      <c r="V393" s="8"/>
      <c r="W393" s="8">
        <v>1</v>
      </c>
      <c r="X393" s="8"/>
      <c r="Y393" s="8"/>
      <c r="Z393" s="8"/>
      <c r="AA393" s="8"/>
      <c r="AB393" s="8"/>
      <c r="AC393" s="8"/>
      <c r="AD393" s="8" t="s">
        <v>5593</v>
      </c>
      <c r="AE393" s="8"/>
      <c r="AF393" s="8"/>
      <c r="AG393" s="8" t="s">
        <v>4670</v>
      </c>
      <c r="AH393" s="8"/>
      <c r="AI393" s="8"/>
      <c r="AJ393" s="8" t="s">
        <v>5594</v>
      </c>
      <c r="AK393" s="8"/>
      <c r="AL393" s="8" t="s">
        <v>5596</v>
      </c>
      <c r="AM393" s="8"/>
      <c r="AN393" s="8"/>
      <c r="AO393" s="8"/>
      <c r="AP393" s="8"/>
      <c r="AQ393" s="8"/>
      <c r="AR393" s="8"/>
      <c r="AS393" s="8"/>
      <c r="AT393" s="8"/>
      <c r="AU393" s="8"/>
      <c r="AV393" s="8"/>
      <c r="AW393" s="8"/>
      <c r="AX393" s="8"/>
      <c r="AY393" s="8"/>
      <c r="AZ393" s="8"/>
      <c r="BA393" s="8"/>
      <c r="BB393" s="8"/>
      <c r="BC393" s="8"/>
      <c r="BD393" s="8"/>
      <c r="BE393" s="8"/>
      <c r="BF393" s="8"/>
      <c r="BG393" s="8"/>
      <c r="BH393" s="8"/>
      <c r="BI393" s="8"/>
      <c r="BJ393" s="8"/>
      <c r="BK393" s="8"/>
      <c r="BL393" s="8"/>
      <c r="BM393" s="8"/>
      <c r="BN393" s="8"/>
      <c r="BO393" s="8"/>
      <c r="BP393" s="8"/>
      <c r="BQ393" s="8"/>
      <c r="BR393" s="8"/>
      <c r="BS393" s="8"/>
      <c r="BT393" s="8"/>
      <c r="BU393" s="8"/>
      <c r="BV393" s="8"/>
      <c r="BW393" s="8"/>
      <c r="BX393" s="8"/>
      <c r="BY393" s="8"/>
      <c r="BZ393" s="8"/>
    </row>
    <row r="394" spans="1:78" ht="13" customHeight="1" x14ac:dyDescent="0.15">
      <c r="A394" s="8" t="s">
        <v>6189</v>
      </c>
      <c r="B394" s="8" t="s">
        <v>4671</v>
      </c>
      <c r="C394" s="11">
        <v>2007</v>
      </c>
      <c r="D394" s="8" t="s">
        <v>5598</v>
      </c>
      <c r="E394" s="8"/>
      <c r="F394" s="8" t="s">
        <v>5597</v>
      </c>
      <c r="G394" s="8" t="str" cm="1">
        <f t="array" ref="G394">LOWER(CleanCode(F394))</f>
        <v>jamaicanmigrationtheoryshiftinfamilydynamicsinjamaicanfamiliesthatmigratefromjamaicatotheunitedstates</v>
      </c>
      <c r="H394" s="8"/>
      <c r="I394" s="8"/>
      <c r="J394" s="8" t="s">
        <v>5601</v>
      </c>
      <c r="K394" s="8"/>
      <c r="L394" s="8"/>
      <c r="M394" s="8" t="s">
        <v>4667</v>
      </c>
      <c r="N394" s="8" t="str">
        <f t="shared" si="6"/>
        <v>Dissertation Abstracts International: Section B: The Sciences And Engineering</v>
      </c>
      <c r="O394" s="8" t="str">
        <f>"04194217"</f>
        <v>04194217</v>
      </c>
      <c r="P394" s="8"/>
      <c r="Q394" s="8"/>
      <c r="R394" s="8" t="str">
        <f>"20070101"</f>
        <v>20070101</v>
      </c>
      <c r="S394" s="8">
        <v>67</v>
      </c>
      <c r="T394" s="8" t="s">
        <v>4668</v>
      </c>
      <c r="U394" s="8">
        <v>4157</v>
      </c>
      <c r="V394" s="8"/>
      <c r="W394" s="8">
        <v>1</v>
      </c>
      <c r="X394" s="8"/>
      <c r="Y394" s="8"/>
      <c r="Z394" s="8"/>
      <c r="AA394" s="8"/>
      <c r="AB394" s="8"/>
      <c r="AC394" s="8"/>
      <c r="AD394" s="8" t="s">
        <v>5599</v>
      </c>
      <c r="AE394" s="8"/>
      <c r="AF394" s="8"/>
      <c r="AG394" s="8" t="s">
        <v>4670</v>
      </c>
      <c r="AH394" s="8"/>
      <c r="AI394" s="8"/>
      <c r="AJ394" s="8" t="s">
        <v>5600</v>
      </c>
      <c r="AK394" s="8"/>
      <c r="AL394" s="8" t="s">
        <v>5602</v>
      </c>
      <c r="AM394" s="8"/>
      <c r="AN394" s="8"/>
      <c r="AO394" s="8"/>
      <c r="AP394" s="8"/>
      <c r="AQ394" s="8"/>
      <c r="AR394" s="8"/>
      <c r="AS394" s="8"/>
      <c r="AT394" s="8"/>
      <c r="AU394" s="8"/>
      <c r="AV394" s="8"/>
      <c r="AW394" s="8"/>
      <c r="AX394" s="8"/>
      <c r="AY394" s="8"/>
      <c r="AZ394" s="8"/>
      <c r="BA394" s="8"/>
      <c r="BB394" s="8"/>
      <c r="BC394" s="8"/>
      <c r="BD394" s="8"/>
      <c r="BE394" s="8"/>
      <c r="BF394" s="8"/>
      <c r="BG394" s="8"/>
      <c r="BH394" s="8"/>
      <c r="BI394" s="8"/>
      <c r="BJ394" s="8"/>
      <c r="BK394" s="8"/>
      <c r="BL394" s="8"/>
      <c r="BM394" s="8"/>
      <c r="BN394" s="8"/>
      <c r="BO394" s="8"/>
      <c r="BP394" s="8"/>
      <c r="BQ394" s="8"/>
      <c r="BR394" s="8"/>
      <c r="BS394" s="8"/>
      <c r="BT394" s="8"/>
      <c r="BU394" s="8"/>
      <c r="BV394" s="8"/>
      <c r="BW394" s="8"/>
      <c r="BX394" s="8"/>
      <c r="BY394" s="8"/>
      <c r="BZ394" s="8"/>
    </row>
    <row r="395" spans="1:78" ht="13" customHeight="1" x14ac:dyDescent="0.15">
      <c r="A395" s="8" t="s">
        <v>6189</v>
      </c>
      <c r="B395" s="8"/>
      <c r="C395" s="11">
        <v>2017</v>
      </c>
      <c r="D395" s="8" t="s">
        <v>5604</v>
      </c>
      <c r="E395" s="8"/>
      <c r="F395" s="8" t="s">
        <v>5603</v>
      </c>
      <c r="G395" s="8" t="str" cm="1">
        <f t="array" ref="G395">LOWER(CleanCode(F395))</f>
        <v>languagebrokeringinimmigrantfamiliestheoriesandcontexts</v>
      </c>
      <c r="H395" s="8"/>
      <c r="I395" s="8"/>
      <c r="J395" s="8" t="s">
        <v>5608</v>
      </c>
      <c r="K395" s="8"/>
      <c r="L395" s="8"/>
      <c r="M395" s="8"/>
      <c r="N395" s="8" t="str">
        <f t="shared" si="6"/>
        <v/>
      </c>
      <c r="O395" s="8"/>
      <c r="P395" s="8"/>
      <c r="Q395" s="8" t="str">
        <f>"9781138185111; 9781138185142; 9781315644714"</f>
        <v>9781138185111; 9781138185142; 9781315644714</v>
      </c>
      <c r="R395" s="8" t="str">
        <f>"20170101"</f>
        <v>20170101</v>
      </c>
      <c r="S395" s="8"/>
      <c r="T395" s="8"/>
      <c r="U395" s="8"/>
      <c r="V395" s="8"/>
      <c r="W395" s="8">
        <v>312</v>
      </c>
      <c r="X395" s="8"/>
      <c r="Y395" s="8"/>
      <c r="Z395" s="8"/>
      <c r="AA395" s="8"/>
      <c r="AB395" s="8"/>
      <c r="AC395" s="8"/>
      <c r="AD395" s="8" t="s">
        <v>5605</v>
      </c>
      <c r="AE395" s="8" t="s">
        <v>5606</v>
      </c>
      <c r="AF395" s="8"/>
      <c r="AG395" s="8" t="s">
        <v>5194</v>
      </c>
      <c r="AH395" s="8"/>
      <c r="AI395" s="8"/>
      <c r="AJ395" s="8" t="s">
        <v>5607</v>
      </c>
      <c r="AK395" s="8"/>
      <c r="AL395" s="8" t="s">
        <v>5609</v>
      </c>
      <c r="AM395" s="8"/>
      <c r="AN395" s="8"/>
      <c r="AO395" s="8"/>
      <c r="AP395" s="8"/>
      <c r="AQ395" s="8"/>
      <c r="AR395" s="8"/>
      <c r="AS395" s="8"/>
      <c r="AT395" s="8"/>
      <c r="AU395" s="8"/>
      <c r="AV395" s="8"/>
      <c r="AW395" s="8"/>
      <c r="AX395" s="8"/>
      <c r="AY395" s="8"/>
      <c r="AZ395" s="8"/>
      <c r="BA395" s="8"/>
      <c r="BB395" s="8"/>
      <c r="BC395" s="8"/>
      <c r="BD395" s="8"/>
      <c r="BE395" s="8"/>
      <c r="BF395" s="8"/>
      <c r="BG395" s="8"/>
      <c r="BH395" s="8"/>
      <c r="BI395" s="8"/>
      <c r="BJ395" s="8"/>
      <c r="BK395" s="8"/>
      <c r="BL395" s="8"/>
      <c r="BM395" s="8"/>
      <c r="BN395" s="8"/>
      <c r="BO395" s="8"/>
      <c r="BP395" s="8"/>
      <c r="BQ395" s="8"/>
      <c r="BR395" s="8"/>
      <c r="BS395" s="8"/>
      <c r="BT395" s="8"/>
      <c r="BU395" s="8"/>
      <c r="BV395" s="8"/>
      <c r="BW395" s="8"/>
      <c r="BX395" s="8"/>
      <c r="BY395" s="8"/>
      <c r="BZ395" s="8"/>
    </row>
    <row r="396" spans="1:78" ht="13" customHeight="1" x14ac:dyDescent="0.15">
      <c r="A396" s="8" t="s">
        <v>6189</v>
      </c>
      <c r="B396" s="8" t="s">
        <v>4679</v>
      </c>
      <c r="C396" s="11">
        <v>2015</v>
      </c>
      <c r="D396" s="8" t="s">
        <v>2849</v>
      </c>
      <c r="E396" s="8"/>
      <c r="F396" s="8" t="s">
        <v>5610</v>
      </c>
      <c r="G396" s="8" t="str" cm="1">
        <f t="array" ref="G396">LOWER(CleanCode(F396))</f>
        <v>liminalityinculturaltransitionapplyingideatoadvanceaconceptintotheorybasedpractice</v>
      </c>
      <c r="H396" s="8"/>
      <c r="I396" s="8"/>
      <c r="J396" s="8" t="s">
        <v>5615</v>
      </c>
      <c r="K396" s="8"/>
      <c r="L396" s="8"/>
      <c r="M396" s="8" t="s">
        <v>5611</v>
      </c>
      <c r="N396" s="8" t="str">
        <f t="shared" si="6"/>
        <v>Research And Theory For Nursing Practice: An International Journal</v>
      </c>
      <c r="O396" s="8" t="str">
        <f>"15416577"</f>
        <v>15416577</v>
      </c>
      <c r="P396" s="8"/>
      <c r="Q396" s="8"/>
      <c r="R396" s="8" t="str">
        <f>"20150101"</f>
        <v>20150101</v>
      </c>
      <c r="S396" s="8">
        <v>29</v>
      </c>
      <c r="T396" s="8">
        <v>1</v>
      </c>
      <c r="U396" s="8">
        <v>25</v>
      </c>
      <c r="V396" s="8"/>
      <c r="W396" s="8">
        <v>13</v>
      </c>
      <c r="X396" s="8"/>
      <c r="Y396" s="8"/>
      <c r="Z396" s="8"/>
      <c r="AA396" s="8"/>
      <c r="AB396" s="8"/>
      <c r="AC396" s="8"/>
      <c r="AD396" s="8" t="s">
        <v>5612</v>
      </c>
      <c r="AE396" s="8" t="s">
        <v>2857</v>
      </c>
      <c r="AF396" s="8"/>
      <c r="AG396" s="8" t="s">
        <v>5613</v>
      </c>
      <c r="AH396" s="8"/>
      <c r="AI396" s="8"/>
      <c r="AJ396" s="8" t="s">
        <v>5614</v>
      </c>
      <c r="AK396" s="8"/>
      <c r="AL396" s="8" t="s">
        <v>5616</v>
      </c>
      <c r="AM396" s="8"/>
      <c r="AN396" s="8"/>
      <c r="AO396" s="8"/>
      <c r="AP396" s="8"/>
      <c r="AQ396" s="8"/>
      <c r="AR396" s="8"/>
      <c r="AS396" s="8"/>
      <c r="AT396" s="8"/>
      <c r="AU396" s="8"/>
      <c r="AV396" s="8"/>
      <c r="AW396" s="8"/>
      <c r="AX396" s="8"/>
      <c r="AY396" s="8"/>
      <c r="AZ396" s="8"/>
      <c r="BA396" s="8"/>
      <c r="BB396" s="8"/>
      <c r="BC396" s="8"/>
      <c r="BD396" s="8"/>
      <c r="BE396" s="8"/>
      <c r="BF396" s="8"/>
      <c r="BG396" s="8"/>
      <c r="BH396" s="8"/>
      <c r="BI396" s="8"/>
      <c r="BJ396" s="8"/>
      <c r="BK396" s="8"/>
      <c r="BL396" s="8"/>
      <c r="BM396" s="8"/>
      <c r="BN396" s="8"/>
      <c r="BO396" s="8"/>
      <c r="BP396" s="8"/>
      <c r="BQ396" s="8"/>
      <c r="BR396" s="8"/>
      <c r="BS396" s="8"/>
      <c r="BT396" s="8"/>
      <c r="BU396" s="8"/>
      <c r="BV396" s="8"/>
      <c r="BW396" s="8"/>
      <c r="BX396" s="8"/>
      <c r="BY396" s="8"/>
      <c r="BZ396" s="8"/>
    </row>
    <row r="397" spans="1:78" ht="13" customHeight="1" x14ac:dyDescent="0.15">
      <c r="A397" s="8" t="s">
        <v>6189</v>
      </c>
      <c r="B397" s="8" t="s">
        <v>4679</v>
      </c>
      <c r="C397" s="11">
        <v>2017</v>
      </c>
      <c r="D397" s="8" t="s">
        <v>5618</v>
      </c>
      <c r="E397" s="8"/>
      <c r="F397" s="8" t="s">
        <v>5617</v>
      </c>
      <c r="G397" s="8" t="str" cm="1">
        <f t="array" ref="G397">LOWER(CleanCode(F397))</f>
        <v>livingwiththechoiceagroundedtheoryofiraqirefugeeresettlementtotheus</v>
      </c>
      <c r="H397" s="8"/>
      <c r="I397" s="8"/>
      <c r="J397" s="8" t="s">
        <v>5623</v>
      </c>
      <c r="K397" s="8"/>
      <c r="L397" s="8"/>
      <c r="M397" s="8" t="s">
        <v>5619</v>
      </c>
      <c r="N397" s="8" t="str">
        <f t="shared" si="6"/>
        <v>Issues In Mental Health Nursing</v>
      </c>
      <c r="O397" s="8" t="str">
        <f>"01612840"</f>
        <v>01612840</v>
      </c>
      <c r="P397" s="8"/>
      <c r="Q397" s="8"/>
      <c r="R397" s="8" t="str">
        <f>"20170401"</f>
        <v>20170401</v>
      </c>
      <c r="S397" s="8">
        <v>38</v>
      </c>
      <c r="T397" s="8">
        <v>4</v>
      </c>
      <c r="U397" s="8">
        <v>352</v>
      </c>
      <c r="V397" s="8"/>
      <c r="W397" s="8">
        <v>9</v>
      </c>
      <c r="X397" s="8"/>
      <c r="Y397" s="8"/>
      <c r="Z397" s="8"/>
      <c r="AA397" s="8"/>
      <c r="AB397" s="8"/>
      <c r="AC397" s="8"/>
      <c r="AD397" s="8" t="s">
        <v>5620</v>
      </c>
      <c r="AE397" s="8" t="s">
        <v>5621</v>
      </c>
      <c r="AF397" s="8"/>
      <c r="AG397" s="8" t="s">
        <v>4728</v>
      </c>
      <c r="AH397" s="8"/>
      <c r="AI397" s="8"/>
      <c r="AJ397" s="8" t="s">
        <v>5622</v>
      </c>
      <c r="AK397" s="8"/>
      <c r="AL397" s="8" t="s">
        <v>5624</v>
      </c>
      <c r="AM397" s="8"/>
      <c r="AN397" s="8"/>
      <c r="AO397" s="8"/>
      <c r="AP397" s="8"/>
      <c r="AQ397" s="8"/>
      <c r="AR397" s="8"/>
      <c r="AS397" s="8"/>
      <c r="AT397" s="8"/>
      <c r="AU397" s="8"/>
      <c r="AV397" s="8"/>
      <c r="AW397" s="8"/>
      <c r="AX397" s="8"/>
      <c r="AY397" s="8"/>
      <c r="AZ397" s="8"/>
      <c r="BA397" s="8"/>
      <c r="BB397" s="8"/>
      <c r="BC397" s="8"/>
      <c r="BD397" s="8"/>
      <c r="BE397" s="8"/>
      <c r="BF397" s="8"/>
      <c r="BG397" s="8"/>
      <c r="BH397" s="8"/>
      <c r="BI397" s="8"/>
      <c r="BJ397" s="8"/>
      <c r="BK397" s="8"/>
      <c r="BL397" s="8"/>
      <c r="BM397" s="8"/>
      <c r="BN397" s="8"/>
      <c r="BO397" s="8"/>
      <c r="BP397" s="8"/>
      <c r="BQ397" s="8"/>
      <c r="BR397" s="8"/>
      <c r="BS397" s="8"/>
      <c r="BT397" s="8"/>
      <c r="BU397" s="8"/>
      <c r="BV397" s="8"/>
      <c r="BW397" s="8"/>
      <c r="BX397" s="8"/>
      <c r="BY397" s="8"/>
      <c r="BZ397" s="8"/>
    </row>
    <row r="398" spans="1:78" ht="13" customHeight="1" x14ac:dyDescent="0.15">
      <c r="A398" s="8" t="s">
        <v>6189</v>
      </c>
      <c r="B398" s="8" t="s">
        <v>4679</v>
      </c>
      <c r="C398" s="11">
        <v>1986</v>
      </c>
      <c r="D398" s="8" t="s">
        <v>5626</v>
      </c>
      <c r="E398" s="8"/>
      <c r="F398" s="8" t="s">
        <v>5625</v>
      </c>
      <c r="G398" s="8" t="str" cm="1">
        <f t="array" ref="G398">LOWER(CleanCode(F398))</f>
        <v>migratieencognitieveontwikkelingeenbenaderingaandehandvanpiagetiaanscrosscultureelonderzoek</v>
      </c>
      <c r="H398" s="8"/>
      <c r="I398" s="8"/>
      <c r="J398" s="8" t="s">
        <v>5631</v>
      </c>
      <c r="K398" s="8"/>
      <c r="L398" s="8"/>
      <c r="M398" s="8" t="s">
        <v>5627</v>
      </c>
      <c r="N398" s="8" t="str">
        <f t="shared" si="6"/>
        <v>Psycholoog</v>
      </c>
      <c r="O398" s="8" t="str">
        <f>"00333115"</f>
        <v>00333115</v>
      </c>
      <c r="P398" s="8"/>
      <c r="Q398" s="8"/>
      <c r="R398" s="8" t="str">
        <f>"19860201"</f>
        <v>19860201</v>
      </c>
      <c r="S398" s="8">
        <v>21</v>
      </c>
      <c r="T398" s="8">
        <v>2</v>
      </c>
      <c r="U398" s="8">
        <v>53</v>
      </c>
      <c r="V398" s="8"/>
      <c r="W398" s="8">
        <v>5</v>
      </c>
      <c r="X398" s="8"/>
      <c r="Y398" s="8"/>
      <c r="Z398" s="8"/>
      <c r="AA398" s="8"/>
      <c r="AB398" s="8"/>
      <c r="AC398" s="8"/>
      <c r="AD398" s="8" t="s">
        <v>5628</v>
      </c>
      <c r="AE398" s="8"/>
      <c r="AF398" s="8"/>
      <c r="AG398" s="8" t="s">
        <v>5629</v>
      </c>
      <c r="AH398" s="8"/>
      <c r="AI398" s="8"/>
      <c r="AJ398" s="8" t="s">
        <v>5630</v>
      </c>
      <c r="AK398" s="8"/>
      <c r="AL398" s="8" t="s">
        <v>5632</v>
      </c>
      <c r="AM398" s="8"/>
      <c r="AN398" s="8"/>
      <c r="AO398" s="8"/>
      <c r="AP398" s="8"/>
      <c r="AQ398" s="8"/>
      <c r="AR398" s="8"/>
      <c r="AS398" s="8"/>
      <c r="AT398" s="8"/>
      <c r="AU398" s="8"/>
      <c r="AV398" s="8"/>
      <c r="AW398" s="8"/>
      <c r="AX398" s="8"/>
      <c r="AY398" s="8"/>
      <c r="AZ398" s="8"/>
      <c r="BA398" s="8"/>
      <c r="BB398" s="8"/>
      <c r="BC398" s="8"/>
      <c r="BD398" s="8"/>
      <c r="BE398" s="8"/>
      <c r="BF398" s="8"/>
      <c r="BG398" s="8"/>
      <c r="BH398" s="8"/>
      <c r="BI398" s="8"/>
      <c r="BJ398" s="8"/>
      <c r="BK398" s="8"/>
      <c r="BL398" s="8"/>
      <c r="BM398" s="8"/>
      <c r="BN398" s="8"/>
      <c r="BO398" s="8"/>
      <c r="BP398" s="8"/>
      <c r="BQ398" s="8"/>
      <c r="BR398" s="8"/>
      <c r="BS398" s="8"/>
      <c r="BT398" s="8"/>
      <c r="BU398" s="8"/>
      <c r="BV398" s="8"/>
      <c r="BW398" s="8"/>
      <c r="BX398" s="8"/>
      <c r="BY398" s="8"/>
      <c r="BZ398" s="8"/>
    </row>
    <row r="399" spans="1:78" ht="13" customHeight="1" x14ac:dyDescent="0.15">
      <c r="A399" s="8" t="s">
        <v>6189</v>
      </c>
      <c r="B399" s="8" t="s">
        <v>4679</v>
      </c>
      <c r="C399" s="11">
        <v>2001</v>
      </c>
      <c r="D399" s="8" t="s">
        <v>5634</v>
      </c>
      <c r="E399" s="8"/>
      <c r="F399" s="8" t="s">
        <v>5633</v>
      </c>
      <c r="G399" s="8" t="str" cm="1">
        <f t="array" ref="G399">LOWER(CleanCode(F399))</f>
        <v>migrationandculturalorientationanempiricaltestofthepsychoanalytictheoryinchineseamericans</v>
      </c>
      <c r="H399" s="8"/>
      <c r="I399" s="8"/>
      <c r="J399" s="8" t="s">
        <v>5640</v>
      </c>
      <c r="K399" s="8"/>
      <c r="L399" s="8"/>
      <c r="M399" s="8" t="s">
        <v>5635</v>
      </c>
      <c r="N399" s="8" t="str">
        <f t="shared" si="6"/>
        <v>Journal Of Applied Psychoanalytic Studies</v>
      </c>
      <c r="O399" s="8" t="str">
        <f>"15211401"</f>
        <v>15211401</v>
      </c>
      <c r="P399" s="8"/>
      <c r="Q399" s="8"/>
      <c r="R399" s="8" t="str">
        <f>"20011001"</f>
        <v>20011001</v>
      </c>
      <c r="S399" s="8">
        <v>3</v>
      </c>
      <c r="T399" s="8">
        <v>4</v>
      </c>
      <c r="U399" s="8">
        <v>409</v>
      </c>
      <c r="V399" s="8"/>
      <c r="W399" s="8">
        <v>22</v>
      </c>
      <c r="X399" s="8"/>
      <c r="Y399" s="8"/>
      <c r="Z399" s="8"/>
      <c r="AA399" s="8"/>
      <c r="AB399" s="8"/>
      <c r="AC399" s="8"/>
      <c r="AD399" s="8" t="s">
        <v>5636</v>
      </c>
      <c r="AE399" s="8" t="s">
        <v>5637</v>
      </c>
      <c r="AF399" s="8"/>
      <c r="AG399" s="8" t="s">
        <v>5638</v>
      </c>
      <c r="AH399" s="8"/>
      <c r="AI399" s="8"/>
      <c r="AJ399" s="8" t="s">
        <v>5639</v>
      </c>
      <c r="AK399" s="8"/>
      <c r="AL399" s="8" t="s">
        <v>5641</v>
      </c>
      <c r="AM399" s="8"/>
      <c r="AN399" s="8"/>
      <c r="AO399" s="8"/>
      <c r="AP399" s="8"/>
      <c r="AQ399" s="8"/>
      <c r="AR399" s="8"/>
      <c r="AS399" s="8"/>
      <c r="AT399" s="8"/>
      <c r="AU399" s="8"/>
      <c r="AV399" s="8"/>
      <c r="AW399" s="8"/>
      <c r="AX399" s="8"/>
      <c r="AY399" s="8"/>
      <c r="AZ399" s="8"/>
      <c r="BA399" s="8"/>
      <c r="BB399" s="8"/>
      <c r="BC399" s="8"/>
      <c r="BD399" s="8"/>
      <c r="BE399" s="8"/>
      <c r="BF399" s="8"/>
      <c r="BG399" s="8"/>
      <c r="BH399" s="8"/>
      <c r="BI399" s="8"/>
      <c r="BJ399" s="8"/>
      <c r="BK399" s="8"/>
      <c r="BL399" s="8"/>
      <c r="BM399" s="8"/>
      <c r="BN399" s="8"/>
      <c r="BO399" s="8"/>
      <c r="BP399" s="8"/>
      <c r="BQ399" s="8"/>
      <c r="BR399" s="8"/>
      <c r="BS399" s="8"/>
      <c r="BT399" s="8"/>
      <c r="BU399" s="8"/>
      <c r="BV399" s="8"/>
      <c r="BW399" s="8"/>
      <c r="BX399" s="8"/>
      <c r="BY399" s="8"/>
      <c r="BZ399" s="8"/>
    </row>
    <row r="400" spans="1:78" ht="13" customHeight="1" x14ac:dyDescent="0.15">
      <c r="A400" s="8" t="s">
        <v>6189</v>
      </c>
      <c r="B400" s="8" t="s">
        <v>4679</v>
      </c>
      <c r="C400" s="11">
        <v>1986</v>
      </c>
      <c r="D400" s="8" t="s">
        <v>5643</v>
      </c>
      <c r="E400" s="8"/>
      <c r="F400" s="8" t="s">
        <v>5642</v>
      </c>
      <c r="G400" s="8" t="str" cm="1">
        <f t="array" ref="G400">LOWER(CleanCode(F400))</f>
        <v>migrationmedicalcarepreferencesandthelayreferralsystemanetworktheoryofroleassimilation</v>
      </c>
      <c r="H400" s="8"/>
      <c r="I400" s="8"/>
      <c r="J400" s="8" t="s">
        <v>5648</v>
      </c>
      <c r="K400" s="8"/>
      <c r="L400" s="8"/>
      <c r="M400" s="8" t="s">
        <v>5644</v>
      </c>
      <c r="N400" s="8" t="str">
        <f t="shared" si="6"/>
        <v>American Sociological Review</v>
      </c>
      <c r="O400" s="8" t="str">
        <f>"00031224"</f>
        <v>00031224</v>
      </c>
      <c r="P400" s="8"/>
      <c r="Q400" s="8"/>
      <c r="R400" s="8" t="str">
        <f>"19860801"</f>
        <v>19860801</v>
      </c>
      <c r="S400" s="8">
        <v>51</v>
      </c>
      <c r="T400" s="8">
        <v>4</v>
      </c>
      <c r="U400" s="8">
        <v>523</v>
      </c>
      <c r="V400" s="8"/>
      <c r="W400" s="8">
        <v>18</v>
      </c>
      <c r="X400" s="8"/>
      <c r="Y400" s="8"/>
      <c r="Z400" s="8"/>
      <c r="AA400" s="8"/>
      <c r="AB400" s="8"/>
      <c r="AC400" s="8"/>
      <c r="AD400" s="8" t="s">
        <v>5645</v>
      </c>
      <c r="AE400" s="8" t="s">
        <v>4646</v>
      </c>
      <c r="AF400" s="8"/>
      <c r="AG400" s="8" t="s">
        <v>5646</v>
      </c>
      <c r="AH400" s="8"/>
      <c r="AI400" s="8"/>
      <c r="AJ400" s="8" t="s">
        <v>5647</v>
      </c>
      <c r="AK400" s="8"/>
      <c r="AL400" s="8" t="s">
        <v>5649</v>
      </c>
      <c r="AM400" s="8"/>
      <c r="AN400" s="8"/>
      <c r="AO400" s="8"/>
      <c r="AP400" s="8"/>
      <c r="AQ400" s="8"/>
      <c r="AR400" s="8"/>
      <c r="AS400" s="8"/>
      <c r="AT400" s="8"/>
      <c r="AU400" s="8"/>
      <c r="AV400" s="8"/>
      <c r="AW400" s="8"/>
      <c r="AX400" s="8"/>
      <c r="AY400" s="8"/>
      <c r="AZ400" s="8"/>
      <c r="BA400" s="8"/>
      <c r="BB400" s="8"/>
      <c r="BC400" s="8"/>
      <c r="BD400" s="8"/>
      <c r="BE400" s="8"/>
      <c r="BF400" s="8"/>
      <c r="BG400" s="8"/>
      <c r="BH400" s="8"/>
      <c r="BI400" s="8"/>
      <c r="BJ400" s="8"/>
      <c r="BK400" s="8"/>
      <c r="BL400" s="8"/>
      <c r="BM400" s="8"/>
      <c r="BN400" s="8"/>
      <c r="BO400" s="8"/>
      <c r="BP400" s="8"/>
      <c r="BQ400" s="8"/>
      <c r="BR400" s="8"/>
      <c r="BS400" s="8"/>
      <c r="BT400" s="8"/>
      <c r="BU400" s="8"/>
      <c r="BV400" s="8"/>
      <c r="BW400" s="8"/>
      <c r="BX400" s="8"/>
      <c r="BY400" s="8"/>
      <c r="BZ400" s="8"/>
    </row>
    <row r="401" spans="1:78" ht="13" customHeight="1" x14ac:dyDescent="0.15">
      <c r="A401" s="8" t="s">
        <v>6189</v>
      </c>
      <c r="B401" s="8" t="s">
        <v>4679</v>
      </c>
      <c r="C401" s="11">
        <v>2010</v>
      </c>
      <c r="D401" s="8" t="s">
        <v>5651</v>
      </c>
      <c r="E401" s="8"/>
      <c r="F401" s="8" t="s">
        <v>5650</v>
      </c>
      <c r="G401" s="8" t="str" cm="1">
        <f t="array" ref="G401">LOWER(CleanCode(F401))</f>
        <v>moderatedmediationregardingthesunsafebehaviorsofuslatinosadvancingthetheoryandevidenceforacculturationfocusedresearchandinterventions</v>
      </c>
      <c r="H401" s="8"/>
      <c r="I401" s="8"/>
      <c r="J401" s="8" t="s">
        <v>5655</v>
      </c>
      <c r="K401" s="8"/>
      <c r="L401" s="8"/>
      <c r="M401" s="8" t="s">
        <v>5264</v>
      </c>
      <c r="N401" s="8" t="str">
        <f t="shared" si="6"/>
        <v>Journal Of Immigrant And Minority Health</v>
      </c>
      <c r="O401" s="8" t="str">
        <f>"15571912"</f>
        <v>15571912</v>
      </c>
      <c r="P401" s="8"/>
      <c r="Q401" s="8"/>
      <c r="R401" s="8" t="str">
        <f>"20101001"</f>
        <v>20101001</v>
      </c>
      <c r="S401" s="8">
        <v>12</v>
      </c>
      <c r="T401" s="8">
        <v>5</v>
      </c>
      <c r="U401" s="8">
        <v>691</v>
      </c>
      <c r="V401" s="8"/>
      <c r="W401" s="8">
        <v>8</v>
      </c>
      <c r="X401" s="8"/>
      <c r="Y401" s="8"/>
      <c r="Z401" s="8"/>
      <c r="AA401" s="8"/>
      <c r="AB401" s="8"/>
      <c r="AC401" s="8"/>
      <c r="AD401" s="8" t="s">
        <v>5652</v>
      </c>
      <c r="AE401" s="8" t="s">
        <v>5653</v>
      </c>
      <c r="AF401" s="8"/>
      <c r="AG401" s="8" t="s">
        <v>4696</v>
      </c>
      <c r="AH401" s="8"/>
      <c r="AI401" s="8"/>
      <c r="AJ401" s="8" t="s">
        <v>5654</v>
      </c>
      <c r="AK401" s="8"/>
      <c r="AL401" s="8" t="s">
        <v>5656</v>
      </c>
      <c r="AM401" s="8"/>
      <c r="AN401" s="8"/>
      <c r="AO401" s="8"/>
      <c r="AP401" s="8"/>
      <c r="AQ401" s="8"/>
      <c r="AR401" s="8"/>
      <c r="AS401" s="8"/>
      <c r="AT401" s="8"/>
      <c r="AU401" s="8"/>
      <c r="AV401" s="8"/>
      <c r="AW401" s="8"/>
      <c r="AX401" s="8"/>
      <c r="AY401" s="8"/>
      <c r="AZ401" s="8"/>
      <c r="BA401" s="8"/>
      <c r="BB401" s="8"/>
      <c r="BC401" s="8"/>
      <c r="BD401" s="8"/>
      <c r="BE401" s="8"/>
      <c r="BF401" s="8"/>
      <c r="BG401" s="8"/>
      <c r="BH401" s="8"/>
      <c r="BI401" s="8"/>
      <c r="BJ401" s="8"/>
      <c r="BK401" s="8"/>
      <c r="BL401" s="8"/>
      <c r="BM401" s="8"/>
      <c r="BN401" s="8"/>
      <c r="BO401" s="8"/>
      <c r="BP401" s="8"/>
      <c r="BQ401" s="8"/>
      <c r="BR401" s="8"/>
      <c r="BS401" s="8"/>
      <c r="BT401" s="8"/>
      <c r="BU401" s="8"/>
      <c r="BV401" s="8"/>
      <c r="BW401" s="8"/>
      <c r="BX401" s="8"/>
      <c r="BY401" s="8"/>
      <c r="BZ401" s="8"/>
    </row>
    <row r="402" spans="1:78" ht="13" customHeight="1" x14ac:dyDescent="0.15">
      <c r="A402" s="8" t="s">
        <v>6189</v>
      </c>
      <c r="B402" s="8" t="s">
        <v>4679</v>
      </c>
      <c r="C402" s="11">
        <v>2012</v>
      </c>
      <c r="D402" s="8" t="s">
        <v>3164</v>
      </c>
      <c r="E402" s="8"/>
      <c r="F402" s="8" t="s">
        <v>5657</v>
      </c>
      <c r="G402" s="8" t="str" cm="1">
        <f t="array" ref="G402">LOWER(CleanCode(F402))</f>
        <v>morethanculturestructuralracismintersectionalitytheoryandimmigranthealth</v>
      </c>
      <c r="H402" s="8"/>
      <c r="I402" s="8"/>
      <c r="J402" s="8" t="s">
        <v>5660</v>
      </c>
      <c r="K402" s="8"/>
      <c r="L402" s="8"/>
      <c r="M402" s="8" t="s">
        <v>5297</v>
      </c>
      <c r="N402" s="8" t="str">
        <f t="shared" si="6"/>
        <v>Social Science &amp; Medicine</v>
      </c>
      <c r="O402" s="8" t="str">
        <f>"02779536"</f>
        <v>02779536</v>
      </c>
      <c r="P402" s="8"/>
      <c r="Q402" s="8"/>
      <c r="R402" s="8" t="str">
        <f>"20121201"</f>
        <v>20121201</v>
      </c>
      <c r="S402" s="8">
        <v>75</v>
      </c>
      <c r="T402" s="8">
        <v>12</v>
      </c>
      <c r="U402" s="8">
        <v>2099</v>
      </c>
      <c r="V402" s="8"/>
      <c r="W402" s="8">
        <v>8</v>
      </c>
      <c r="X402" s="8"/>
      <c r="Y402" s="8"/>
      <c r="Z402" s="8"/>
      <c r="AA402" s="8"/>
      <c r="AB402" s="8"/>
      <c r="AC402" s="8"/>
      <c r="AD402" s="8" t="s">
        <v>5658</v>
      </c>
      <c r="AE402" s="8" t="s">
        <v>3175</v>
      </c>
      <c r="AF402" s="8"/>
      <c r="AG402" s="8" t="s">
        <v>4735</v>
      </c>
      <c r="AH402" s="8"/>
      <c r="AI402" s="8"/>
      <c r="AJ402" s="8" t="s">
        <v>5659</v>
      </c>
      <c r="AK402" s="8"/>
      <c r="AL402" s="8" t="s">
        <v>5661</v>
      </c>
      <c r="AM402" s="8"/>
      <c r="AN402" s="8"/>
      <c r="AO402" s="8"/>
      <c r="AP402" s="8"/>
      <c r="AQ402" s="8"/>
      <c r="AR402" s="8"/>
      <c r="AS402" s="8"/>
      <c r="AT402" s="8"/>
      <c r="AU402" s="8"/>
      <c r="AV402" s="8"/>
      <c r="AW402" s="8"/>
      <c r="AX402" s="8"/>
      <c r="AY402" s="8"/>
      <c r="AZ402" s="8"/>
      <c r="BA402" s="8"/>
      <c r="BB402" s="8"/>
      <c r="BC402" s="8"/>
      <c r="BD402" s="8"/>
      <c r="BE402" s="8"/>
      <c r="BF402" s="8"/>
      <c r="BG402" s="8"/>
      <c r="BH402" s="8"/>
      <c r="BI402" s="8"/>
      <c r="BJ402" s="8"/>
      <c r="BK402" s="8"/>
      <c r="BL402" s="8"/>
      <c r="BM402" s="8"/>
      <c r="BN402" s="8"/>
      <c r="BO402" s="8"/>
      <c r="BP402" s="8"/>
      <c r="BQ402" s="8"/>
      <c r="BR402" s="8"/>
      <c r="BS402" s="8"/>
      <c r="BT402" s="8"/>
      <c r="BU402" s="8"/>
      <c r="BV402" s="8"/>
      <c r="BW402" s="8"/>
      <c r="BX402" s="8"/>
      <c r="BY402" s="8"/>
      <c r="BZ402" s="8"/>
    </row>
    <row r="403" spans="1:78" ht="13" customHeight="1" x14ac:dyDescent="0.15">
      <c r="A403" s="8" t="s">
        <v>6189</v>
      </c>
      <c r="B403" s="8" t="s">
        <v>4671</v>
      </c>
      <c r="C403" s="11">
        <v>1999</v>
      </c>
      <c r="D403" s="8" t="s">
        <v>5663</v>
      </c>
      <c r="E403" s="8"/>
      <c r="F403" s="8" t="s">
        <v>5662</v>
      </c>
      <c r="G403" s="8" t="str" cm="1">
        <f t="array" ref="G403">LOWER(CleanCode(F403))</f>
        <v>negotiatingculturaldiscrepanciesinautonomyagroundedtheoryofbiculturaladjustmentincollegeageasianindianimmigrantwomen</v>
      </c>
      <c r="H403" s="8"/>
      <c r="I403" s="8"/>
      <c r="J403" s="8" t="s">
        <v>5667</v>
      </c>
      <c r="K403" s="8"/>
      <c r="L403" s="8"/>
      <c r="M403" s="8" t="s">
        <v>4667</v>
      </c>
      <c r="N403" s="8" t="str">
        <f t="shared" si="6"/>
        <v>Dissertation Abstracts International: Section B: The Sciences And Engineering</v>
      </c>
      <c r="O403" s="8" t="str">
        <f>"04194217"</f>
        <v>04194217</v>
      </c>
      <c r="P403" s="8"/>
      <c r="Q403" s="8"/>
      <c r="R403" s="8" t="str">
        <f>"19990901"</f>
        <v>19990901</v>
      </c>
      <c r="S403" s="8">
        <v>60</v>
      </c>
      <c r="T403" s="8" t="s">
        <v>5664</v>
      </c>
      <c r="U403" s="8">
        <v>1297</v>
      </c>
      <c r="V403" s="8"/>
      <c r="W403" s="8">
        <v>1</v>
      </c>
      <c r="X403" s="8"/>
      <c r="Y403" s="8"/>
      <c r="Z403" s="8"/>
      <c r="AA403" s="8"/>
      <c r="AB403" s="8"/>
      <c r="AC403" s="8"/>
      <c r="AD403" s="8" t="s">
        <v>5665</v>
      </c>
      <c r="AE403" s="8"/>
      <c r="AF403" s="8"/>
      <c r="AG403" s="8" t="s">
        <v>4670</v>
      </c>
      <c r="AH403" s="8"/>
      <c r="AI403" s="8"/>
      <c r="AJ403" s="8" t="s">
        <v>5666</v>
      </c>
      <c r="AK403" s="8"/>
      <c r="AL403" s="8" t="s">
        <v>5668</v>
      </c>
      <c r="AM403" s="8"/>
      <c r="AN403" s="8"/>
      <c r="AO403" s="8"/>
      <c r="AP403" s="8"/>
      <c r="AQ403" s="8"/>
      <c r="AR403" s="8"/>
      <c r="AS403" s="8"/>
      <c r="AT403" s="8"/>
      <c r="AU403" s="8"/>
      <c r="AV403" s="8"/>
      <c r="AW403" s="8"/>
      <c r="AX403" s="8"/>
      <c r="AY403" s="8"/>
      <c r="AZ403" s="8"/>
      <c r="BA403" s="8"/>
      <c r="BB403" s="8"/>
      <c r="BC403" s="8"/>
      <c r="BD403" s="8"/>
      <c r="BE403" s="8"/>
      <c r="BF403" s="8"/>
      <c r="BG403" s="8"/>
      <c r="BH403" s="8"/>
      <c r="BI403" s="8"/>
      <c r="BJ403" s="8"/>
      <c r="BK403" s="8"/>
      <c r="BL403" s="8"/>
      <c r="BM403" s="8"/>
      <c r="BN403" s="8"/>
      <c r="BO403" s="8"/>
      <c r="BP403" s="8"/>
      <c r="BQ403" s="8"/>
      <c r="BR403" s="8"/>
      <c r="BS403" s="8"/>
      <c r="BT403" s="8"/>
      <c r="BU403" s="8"/>
      <c r="BV403" s="8"/>
      <c r="BW403" s="8"/>
      <c r="BX403" s="8"/>
      <c r="BY403" s="8"/>
      <c r="BZ403" s="8"/>
    </row>
    <row r="404" spans="1:78" ht="13" customHeight="1" x14ac:dyDescent="0.15">
      <c r="A404" s="8" t="s">
        <v>6189</v>
      </c>
      <c r="B404" s="8" t="s">
        <v>4679</v>
      </c>
      <c r="C404" s="11">
        <v>2013</v>
      </c>
      <c r="D404" s="8" t="s">
        <v>3082</v>
      </c>
      <c r="E404" s="8"/>
      <c r="F404" s="8" t="s">
        <v>5669</v>
      </c>
      <c r="G404" s="8" t="str" cm="1">
        <f t="array" ref="G404">LOWER(CleanCode(F404))</f>
        <v>negotiatingidentitydevelopmentamongundocumentedimmigrantcollegestudentsagroundedtheorystudy</v>
      </c>
      <c r="H404" s="8"/>
      <c r="I404" s="8"/>
      <c r="J404" s="8" t="s">
        <v>5673</v>
      </c>
      <c r="K404" s="8"/>
      <c r="L404" s="8"/>
      <c r="M404" s="8" t="s">
        <v>5670</v>
      </c>
      <c r="N404" s="8" t="str">
        <f t="shared" si="6"/>
        <v>Journal Of Counseling Psychology</v>
      </c>
      <c r="O404" s="8" t="str">
        <f>"00220167"</f>
        <v>00220167</v>
      </c>
      <c r="P404" s="8"/>
      <c r="Q404" s="8"/>
      <c r="R404" s="8" t="str">
        <f>"20130401"</f>
        <v>20130401</v>
      </c>
      <c r="S404" s="8">
        <v>60</v>
      </c>
      <c r="T404" s="8">
        <v>2</v>
      </c>
      <c r="U404" s="8">
        <v>251</v>
      </c>
      <c r="V404" s="8"/>
      <c r="W404" s="8">
        <v>14</v>
      </c>
      <c r="X404" s="8"/>
      <c r="Y404" s="8"/>
      <c r="Z404" s="8"/>
      <c r="AA404" s="8"/>
      <c r="AB404" s="8"/>
      <c r="AC404" s="8"/>
      <c r="AD404" s="8" t="s">
        <v>5671</v>
      </c>
      <c r="AE404" s="8" t="s">
        <v>3095</v>
      </c>
      <c r="AF404" s="8"/>
      <c r="AG404" s="8" t="s">
        <v>4899</v>
      </c>
      <c r="AH404" s="8"/>
      <c r="AI404" s="8"/>
      <c r="AJ404" s="8" t="s">
        <v>5672</v>
      </c>
      <c r="AK404" s="8"/>
      <c r="AL404" s="8" t="s">
        <v>5674</v>
      </c>
      <c r="AM404" s="8"/>
      <c r="AN404" s="8"/>
      <c r="AO404" s="8"/>
      <c r="AP404" s="8"/>
      <c r="AQ404" s="8"/>
      <c r="AR404" s="8"/>
      <c r="AS404" s="8"/>
      <c r="AT404" s="8"/>
      <c r="AU404" s="8"/>
      <c r="AV404" s="8"/>
      <c r="AW404" s="8"/>
      <c r="AX404" s="8"/>
      <c r="AY404" s="8"/>
      <c r="AZ404" s="8"/>
      <c r="BA404" s="8"/>
      <c r="BB404" s="8"/>
      <c r="BC404" s="8"/>
      <c r="BD404" s="8"/>
      <c r="BE404" s="8"/>
      <c r="BF404" s="8"/>
      <c r="BG404" s="8"/>
      <c r="BH404" s="8"/>
      <c r="BI404" s="8"/>
      <c r="BJ404" s="8"/>
      <c r="BK404" s="8"/>
      <c r="BL404" s="8"/>
      <c r="BM404" s="8"/>
      <c r="BN404" s="8"/>
      <c r="BO404" s="8"/>
      <c r="BP404" s="8"/>
      <c r="BQ404" s="8"/>
      <c r="BR404" s="8"/>
      <c r="BS404" s="8"/>
      <c r="BT404" s="8"/>
      <c r="BU404" s="8"/>
      <c r="BV404" s="8"/>
      <c r="BW404" s="8"/>
      <c r="BX404" s="8"/>
      <c r="BY404" s="8"/>
      <c r="BZ404" s="8"/>
    </row>
    <row r="405" spans="1:78" ht="13" customHeight="1" x14ac:dyDescent="0.15">
      <c r="A405" s="8" t="s">
        <v>6189</v>
      </c>
      <c r="B405" s="8" t="s">
        <v>4679</v>
      </c>
      <c r="C405" s="11">
        <v>2010</v>
      </c>
      <c r="D405" s="8" t="s">
        <v>5676</v>
      </c>
      <c r="E405" s="8"/>
      <c r="F405" s="8" t="s">
        <v>5675</v>
      </c>
      <c r="G405" s="8" t="str" cm="1">
        <f t="array" ref="G405">LOWER(CleanCode(F405))</f>
        <v>newinsightsintoassimilationandintegrationtheoryintroductiontothespecialissue</v>
      </c>
      <c r="H405" s="8"/>
      <c r="I405" s="8"/>
      <c r="J405" s="8" t="s">
        <v>5680</v>
      </c>
      <c r="K405" s="8"/>
      <c r="L405" s="8"/>
      <c r="M405" s="8" t="s">
        <v>5495</v>
      </c>
      <c r="N405" s="8" t="str">
        <f t="shared" si="6"/>
        <v>Ethnic And Racial Studies</v>
      </c>
      <c r="O405" s="8" t="str">
        <f>"01419870"</f>
        <v>01419870</v>
      </c>
      <c r="P405" s="8"/>
      <c r="Q405" s="8"/>
      <c r="R405" s="8" t="str">
        <f>"20100701"</f>
        <v>20100701</v>
      </c>
      <c r="S405" s="8">
        <v>33</v>
      </c>
      <c r="T405" s="8">
        <v>7</v>
      </c>
      <c r="U405" s="8">
        <v>1143</v>
      </c>
      <c r="V405" s="8"/>
      <c r="W405" s="8">
        <v>6</v>
      </c>
      <c r="X405" s="8"/>
      <c r="Y405" s="8"/>
      <c r="Z405" s="8"/>
      <c r="AA405" s="8"/>
      <c r="AB405" s="8"/>
      <c r="AC405" s="8"/>
      <c r="AD405" s="8" t="s">
        <v>5677</v>
      </c>
      <c r="AE405" s="8" t="s">
        <v>5678</v>
      </c>
      <c r="AF405" s="8"/>
      <c r="AG405" s="8" t="s">
        <v>4728</v>
      </c>
      <c r="AH405" s="8"/>
      <c r="AI405" s="8"/>
      <c r="AJ405" s="8" t="s">
        <v>5679</v>
      </c>
      <c r="AK405" s="8"/>
      <c r="AL405" s="8" t="s">
        <v>5681</v>
      </c>
      <c r="AM405" s="8"/>
      <c r="AN405" s="8"/>
      <c r="AO405" s="8"/>
      <c r="AP405" s="8"/>
      <c r="AQ405" s="8"/>
      <c r="AR405" s="8"/>
      <c r="AS405" s="8"/>
      <c r="AT405" s="8"/>
      <c r="AU405" s="8"/>
      <c r="AV405" s="8"/>
      <c r="AW405" s="8"/>
      <c r="AX405" s="8"/>
      <c r="AY405" s="8"/>
      <c r="AZ405" s="8"/>
      <c r="BA405" s="8"/>
      <c r="BB405" s="8"/>
      <c r="BC405" s="8"/>
      <c r="BD405" s="8"/>
      <c r="BE405" s="8"/>
      <c r="BF405" s="8"/>
      <c r="BG405" s="8"/>
      <c r="BH405" s="8"/>
      <c r="BI405" s="8"/>
      <c r="BJ405" s="8"/>
      <c r="BK405" s="8"/>
      <c r="BL405" s="8"/>
      <c r="BM405" s="8"/>
      <c r="BN405" s="8"/>
      <c r="BO405" s="8"/>
      <c r="BP405" s="8"/>
      <c r="BQ405" s="8"/>
      <c r="BR405" s="8"/>
      <c r="BS405" s="8"/>
      <c r="BT405" s="8"/>
      <c r="BU405" s="8"/>
      <c r="BV405" s="8"/>
      <c r="BW405" s="8"/>
      <c r="BX405" s="8"/>
      <c r="BY405" s="8"/>
      <c r="BZ405" s="8"/>
    </row>
    <row r="406" spans="1:78" ht="13" customHeight="1" x14ac:dyDescent="0.15">
      <c r="A406" s="8" t="s">
        <v>6189</v>
      </c>
      <c r="B406" s="8" t="s">
        <v>4773</v>
      </c>
      <c r="C406" s="11">
        <v>2013</v>
      </c>
      <c r="D406" s="8" t="s">
        <v>5683</v>
      </c>
      <c r="E406" s="8"/>
      <c r="F406" s="8" t="s">
        <v>5682</v>
      </c>
      <c r="G406" s="8" t="str" cm="1">
        <f t="array" ref="G406">LOWER(CleanCode(F406))</f>
        <v>nowadaysithinkwowimadeitexploringimmigranttransitionsdrawingondialogicalselftheoryandthenotionofsymbolicresources</v>
      </c>
      <c r="H406" s="8"/>
      <c r="I406" s="8"/>
      <c r="J406" s="8" t="s">
        <v>5687</v>
      </c>
      <c r="K406" s="8"/>
      <c r="L406" s="8"/>
      <c r="M406" s="8" t="s">
        <v>5684</v>
      </c>
      <c r="N406" s="8" t="str">
        <f t="shared" si="6"/>
        <v>Interplays Between Dialogical Learning And Dialogical Self.</v>
      </c>
      <c r="O406" s="8"/>
      <c r="P406" s="8"/>
      <c r="Q406" s="8" t="str">
        <f>"9781623960643; 9781623960650; 9781623960667"</f>
        <v>9781623960643; 9781623960650; 9781623960667</v>
      </c>
      <c r="R406" s="8" t="str">
        <f>"20130101"</f>
        <v>20130101</v>
      </c>
      <c r="S406" s="8"/>
      <c r="T406" s="8"/>
      <c r="U406" s="8">
        <v>127</v>
      </c>
      <c r="V406" s="8"/>
      <c r="W406" s="8">
        <v>23</v>
      </c>
      <c r="X406" s="8"/>
      <c r="Y406" s="8"/>
      <c r="Z406" s="8"/>
      <c r="AA406" s="8"/>
      <c r="AB406" s="8"/>
      <c r="AC406" s="8"/>
      <c r="AD406" s="8" t="s">
        <v>5685</v>
      </c>
      <c r="AE406" s="8"/>
      <c r="AF406" s="8"/>
      <c r="AG406" s="8" t="s">
        <v>5439</v>
      </c>
      <c r="AH406" s="8"/>
      <c r="AI406" s="8"/>
      <c r="AJ406" s="8" t="s">
        <v>5686</v>
      </c>
      <c r="AK406" s="8"/>
      <c r="AL406" s="8" t="s">
        <v>5688</v>
      </c>
      <c r="AM406" s="8"/>
      <c r="AN406" s="8"/>
      <c r="AO406" s="8"/>
      <c r="AP406" s="8"/>
      <c r="AQ406" s="8"/>
      <c r="AR406" s="8"/>
      <c r="AS406" s="8"/>
      <c r="AT406" s="8"/>
      <c r="AU406" s="8"/>
      <c r="AV406" s="8"/>
      <c r="AW406" s="8"/>
      <c r="AX406" s="8"/>
      <c r="AY406" s="8"/>
      <c r="AZ406" s="8"/>
      <c r="BA406" s="8"/>
      <c r="BB406" s="8"/>
      <c r="BC406" s="8"/>
      <c r="BD406" s="8"/>
      <c r="BE406" s="8"/>
      <c r="BF406" s="8"/>
      <c r="BG406" s="8"/>
      <c r="BH406" s="8"/>
      <c r="BI406" s="8"/>
      <c r="BJ406" s="8"/>
      <c r="BK406" s="8"/>
      <c r="BL406" s="8"/>
      <c r="BM406" s="8"/>
      <c r="BN406" s="8"/>
      <c r="BO406" s="8"/>
      <c r="BP406" s="8"/>
      <c r="BQ406" s="8"/>
      <c r="BR406" s="8"/>
      <c r="BS406" s="8"/>
      <c r="BT406" s="8"/>
      <c r="BU406" s="8"/>
      <c r="BV406" s="8"/>
      <c r="BW406" s="8"/>
      <c r="BX406" s="8"/>
      <c r="BY406" s="8"/>
      <c r="BZ406" s="8"/>
    </row>
    <row r="407" spans="1:78" ht="13" customHeight="1" x14ac:dyDescent="0.15">
      <c r="A407" s="8" t="s">
        <v>6189</v>
      </c>
      <c r="B407" s="8" t="s">
        <v>4671</v>
      </c>
      <c r="C407" s="11">
        <v>2002</v>
      </c>
      <c r="D407" s="8" t="s">
        <v>5690</v>
      </c>
      <c r="E407" s="8"/>
      <c r="F407" s="8" t="s">
        <v>5689</v>
      </c>
      <c r="G407" s="8" t="str" cm="1">
        <f t="array" ref="G407">LOWER(CleanCode(F407))</f>
        <v>parentalexpectationsofchineseimmigrantsafolktheoryaboutchildrensschoolachievement</v>
      </c>
      <c r="H407" s="8"/>
      <c r="I407" s="8"/>
      <c r="J407" s="8" t="s">
        <v>5693</v>
      </c>
      <c r="K407" s="8"/>
      <c r="L407" s="8"/>
      <c r="M407" s="8" t="s">
        <v>4762</v>
      </c>
      <c r="N407" s="8" t="str">
        <f t="shared" si="6"/>
        <v>Dissertation Abstracts International Section A: Humanities And Social Sciences</v>
      </c>
      <c r="O407" s="8" t="str">
        <f>"04194209"</f>
        <v>04194209</v>
      </c>
      <c r="P407" s="8"/>
      <c r="Q407" s="8"/>
      <c r="R407" s="8" t="str">
        <f>"20021101"</f>
        <v>20021101</v>
      </c>
      <c r="S407" s="8">
        <v>63</v>
      </c>
      <c r="T407" s="8" t="s">
        <v>5480</v>
      </c>
      <c r="U407" s="8">
        <v>1710</v>
      </c>
      <c r="V407" s="8"/>
      <c r="W407" s="8">
        <v>1</v>
      </c>
      <c r="X407" s="8"/>
      <c r="Y407" s="8"/>
      <c r="Z407" s="8"/>
      <c r="AA407" s="8"/>
      <c r="AB407" s="8"/>
      <c r="AC407" s="8"/>
      <c r="AD407" s="8" t="s">
        <v>5691</v>
      </c>
      <c r="AE407" s="8"/>
      <c r="AF407" s="8"/>
      <c r="AG407" s="8" t="s">
        <v>4670</v>
      </c>
      <c r="AH407" s="8"/>
      <c r="AI407" s="8"/>
      <c r="AJ407" s="8" t="s">
        <v>5692</v>
      </c>
      <c r="AK407" s="8"/>
      <c r="AL407" s="8" t="s">
        <v>5694</v>
      </c>
      <c r="AM407" s="8"/>
      <c r="AN407" s="8"/>
      <c r="AO407" s="8"/>
      <c r="AP407" s="8"/>
      <c r="AQ407" s="8"/>
      <c r="AR407" s="8"/>
      <c r="AS407" s="8"/>
      <c r="AT407" s="8"/>
      <c r="AU407" s="8"/>
      <c r="AV407" s="8"/>
      <c r="AW407" s="8"/>
      <c r="AX407" s="8"/>
      <c r="AY407" s="8"/>
      <c r="AZ407" s="8"/>
      <c r="BA407" s="8"/>
      <c r="BB407" s="8"/>
      <c r="BC407" s="8"/>
      <c r="BD407" s="8"/>
      <c r="BE407" s="8"/>
      <c r="BF407" s="8"/>
      <c r="BG407" s="8"/>
      <c r="BH407" s="8"/>
      <c r="BI407" s="8"/>
      <c r="BJ407" s="8"/>
      <c r="BK407" s="8"/>
      <c r="BL407" s="8"/>
      <c r="BM407" s="8"/>
      <c r="BN407" s="8"/>
      <c r="BO407" s="8"/>
      <c r="BP407" s="8"/>
      <c r="BQ407" s="8"/>
      <c r="BR407" s="8"/>
      <c r="BS407" s="8"/>
      <c r="BT407" s="8"/>
      <c r="BU407" s="8"/>
      <c r="BV407" s="8"/>
      <c r="BW407" s="8"/>
      <c r="BX407" s="8"/>
      <c r="BY407" s="8"/>
      <c r="BZ407" s="8"/>
    </row>
    <row r="408" spans="1:78" ht="13" customHeight="1" x14ac:dyDescent="0.15">
      <c r="A408" s="8" t="s">
        <v>6189</v>
      </c>
      <c r="B408" s="8" t="s">
        <v>4671</v>
      </c>
      <c r="C408" s="11">
        <v>2015</v>
      </c>
      <c r="D408" s="8" t="s">
        <v>5696</v>
      </c>
      <c r="E408" s="8"/>
      <c r="F408" s="8" t="s">
        <v>5695</v>
      </c>
      <c r="G408" s="8" t="str" cm="1">
        <f t="array" ref="G408">LOWER(CleanCode(F408))</f>
        <v>participatingandbelongingwithoutpaperstheorizingthetensionsbetweenincorporationandexclusionforundocumentedimmigrantyoungadults</v>
      </c>
      <c r="H408" s="8"/>
      <c r="I408" s="8"/>
      <c r="J408" s="8" t="s">
        <v>5700</v>
      </c>
      <c r="K408" s="8"/>
      <c r="L408" s="8"/>
      <c r="M408" s="8" t="s">
        <v>4762</v>
      </c>
      <c r="N408" s="8" t="str">
        <f t="shared" si="6"/>
        <v>Dissertation Abstracts International Section A: Humanities And Social Sciences</v>
      </c>
      <c r="O408" s="8" t="str">
        <f>"04194209"</f>
        <v>04194209</v>
      </c>
      <c r="P408" s="8"/>
      <c r="Q408" s="8" t="str">
        <f>"9781303927249"</f>
        <v>9781303927249</v>
      </c>
      <c r="R408" s="8" t="str">
        <f>"20150101"</f>
        <v>20150101</v>
      </c>
      <c r="S408" s="8">
        <v>75</v>
      </c>
      <c r="T408" s="8" t="s">
        <v>5697</v>
      </c>
      <c r="U408" s="8"/>
      <c r="V408" s="8"/>
      <c r="W408" s="8"/>
      <c r="X408" s="8"/>
      <c r="Y408" s="8"/>
      <c r="Z408" s="8"/>
      <c r="AA408" s="8"/>
      <c r="AB408" s="8"/>
      <c r="AC408" s="8"/>
      <c r="AD408" s="8" t="s">
        <v>5698</v>
      </c>
      <c r="AE408" s="8"/>
      <c r="AF408" s="8"/>
      <c r="AG408" s="8" t="s">
        <v>4670</v>
      </c>
      <c r="AH408" s="8"/>
      <c r="AI408" s="8"/>
      <c r="AJ408" s="8" t="s">
        <v>5699</v>
      </c>
      <c r="AK408" s="8"/>
      <c r="AL408" s="8" t="s">
        <v>5701</v>
      </c>
      <c r="AM408" s="8"/>
      <c r="AN408" s="8"/>
      <c r="AO408" s="8"/>
      <c r="AP408" s="8"/>
      <c r="AQ408" s="8"/>
      <c r="AR408" s="8"/>
      <c r="AS408" s="8"/>
      <c r="AT408" s="8"/>
      <c r="AU408" s="8"/>
      <c r="AV408" s="8"/>
      <c r="AW408" s="8"/>
      <c r="AX408" s="8"/>
      <c r="AY408" s="8"/>
      <c r="AZ408" s="8"/>
      <c r="BA408" s="8"/>
      <c r="BB408" s="8"/>
      <c r="BC408" s="8"/>
      <c r="BD408" s="8"/>
      <c r="BE408" s="8"/>
      <c r="BF408" s="8"/>
      <c r="BG408" s="8"/>
      <c r="BH408" s="8"/>
      <c r="BI408" s="8"/>
      <c r="BJ408" s="8"/>
      <c r="BK408" s="8"/>
      <c r="BL408" s="8"/>
      <c r="BM408" s="8"/>
      <c r="BN408" s="8"/>
      <c r="BO408" s="8"/>
      <c r="BP408" s="8"/>
      <c r="BQ408" s="8"/>
      <c r="BR408" s="8"/>
      <c r="BS408" s="8"/>
      <c r="BT408" s="8"/>
      <c r="BU408" s="8"/>
      <c r="BV408" s="8"/>
      <c r="BW408" s="8"/>
      <c r="BX408" s="8"/>
      <c r="BY408" s="8"/>
      <c r="BZ408" s="8"/>
    </row>
    <row r="409" spans="1:78" ht="13" customHeight="1" x14ac:dyDescent="0.15">
      <c r="A409" s="8" t="s">
        <v>6189</v>
      </c>
      <c r="B409" s="8" t="s">
        <v>4679</v>
      </c>
      <c r="C409" s="11">
        <v>2014</v>
      </c>
      <c r="D409" s="8" t="s">
        <v>5703</v>
      </c>
      <c r="E409" s="8"/>
      <c r="F409" s="8" t="s">
        <v>5702</v>
      </c>
      <c r="G409" s="8" t="str" cm="1">
        <f t="array" ref="G409">LOWER(CleanCode(F409))</f>
        <v>perceivedcontextofreceptionamongrecenthispanicimmigrantsconceptualizationinstrumentdevelopmentandpreliminaryvalidation</v>
      </c>
      <c r="H409" s="8"/>
      <c r="I409" s="8"/>
      <c r="J409" s="8" t="s">
        <v>5707</v>
      </c>
      <c r="K409" s="8"/>
      <c r="L409" s="8"/>
      <c r="M409" s="8" t="s">
        <v>5704</v>
      </c>
      <c r="N409" s="8" t="str">
        <f t="shared" si="6"/>
        <v>Cultural Diversity And Ethnic Minority Psychology</v>
      </c>
      <c r="O409" s="8" t="str">
        <f>"10999809"</f>
        <v>10999809</v>
      </c>
      <c r="P409" s="8"/>
      <c r="Q409" s="8"/>
      <c r="R409" s="8" t="str">
        <f>"20140101"</f>
        <v>20140101</v>
      </c>
      <c r="S409" s="8">
        <v>20</v>
      </c>
      <c r="T409" s="8">
        <v>1</v>
      </c>
      <c r="U409" s="8">
        <v>1</v>
      </c>
      <c r="V409" s="8"/>
      <c r="W409" s="8">
        <v>15</v>
      </c>
      <c r="X409" s="8"/>
      <c r="Y409" s="8"/>
      <c r="Z409" s="8"/>
      <c r="AA409" s="8"/>
      <c r="AB409" s="8"/>
      <c r="AC409" s="8"/>
      <c r="AD409" s="8" t="s">
        <v>5705</v>
      </c>
      <c r="AE409" s="8" t="s">
        <v>3018</v>
      </c>
      <c r="AF409" s="8"/>
      <c r="AG409" s="8" t="s">
        <v>4711</v>
      </c>
      <c r="AH409" s="8"/>
      <c r="AI409" s="8"/>
      <c r="AJ409" s="8" t="s">
        <v>5706</v>
      </c>
      <c r="AK409" s="8"/>
      <c r="AL409" s="8" t="s">
        <v>5708</v>
      </c>
      <c r="AM409" s="8"/>
      <c r="AN409" s="8"/>
      <c r="AO409" s="8"/>
      <c r="AP409" s="8"/>
      <c r="AQ409" s="8"/>
      <c r="AR409" s="8"/>
      <c r="AS409" s="8"/>
      <c r="AT409" s="8"/>
      <c r="AU409" s="8"/>
      <c r="AV409" s="8"/>
      <c r="AW409" s="8"/>
      <c r="AX409" s="8"/>
      <c r="AY409" s="8"/>
      <c r="AZ409" s="8"/>
      <c r="BA409" s="8"/>
      <c r="BB409" s="8"/>
      <c r="BC409" s="8"/>
      <c r="BD409" s="8"/>
      <c r="BE409" s="8"/>
      <c r="BF409" s="8"/>
      <c r="BG409" s="8"/>
      <c r="BH409" s="8"/>
      <c r="BI409" s="8"/>
      <c r="BJ409" s="8"/>
      <c r="BK409" s="8"/>
      <c r="BL409" s="8"/>
      <c r="BM409" s="8"/>
      <c r="BN409" s="8"/>
      <c r="BO409" s="8"/>
      <c r="BP409" s="8"/>
      <c r="BQ409" s="8"/>
      <c r="BR409" s="8"/>
      <c r="BS409" s="8"/>
      <c r="BT409" s="8"/>
      <c r="BU409" s="8"/>
      <c r="BV409" s="8"/>
      <c r="BW409" s="8"/>
      <c r="BX409" s="8"/>
      <c r="BY409" s="8"/>
      <c r="BZ409" s="8"/>
    </row>
    <row r="410" spans="1:78" ht="13" customHeight="1" x14ac:dyDescent="0.15">
      <c r="A410" s="8" t="s">
        <v>6189</v>
      </c>
      <c r="B410" s="8" t="s">
        <v>4679</v>
      </c>
      <c r="C410" s="11">
        <v>2017</v>
      </c>
      <c r="D410" s="8" t="s">
        <v>5710</v>
      </c>
      <c r="E410" s="8"/>
      <c r="F410" s="8" t="s">
        <v>5709</v>
      </c>
      <c r="G410" s="8" t="str" cm="1">
        <f t="array" ref="G410">LOWER(CleanCode(F410))</f>
        <v>placingassimilationtheorymexicanimmigrantsinurbanandruralamerica</v>
      </c>
      <c r="H410" s="8"/>
      <c r="I410" s="8"/>
      <c r="J410" s="8" t="s">
        <v>5713</v>
      </c>
      <c r="K410" s="8"/>
      <c r="L410" s="8"/>
      <c r="M410" s="8" t="s">
        <v>5331</v>
      </c>
      <c r="N410" s="8" t="str">
        <f t="shared" si="6"/>
        <v>Annals Of The American Academy Of Political And Social Science</v>
      </c>
      <c r="O410" s="8" t="str">
        <f>"00027162"</f>
        <v>00027162</v>
      </c>
      <c r="P410" s="8"/>
      <c r="Q410" s="8"/>
      <c r="R410" s="8" t="str">
        <f>"20170701"</f>
        <v>20170701</v>
      </c>
      <c r="S410" s="8">
        <v>672</v>
      </c>
      <c r="T410" s="8">
        <v>1</v>
      </c>
      <c r="U410" s="8">
        <v>64</v>
      </c>
      <c r="V410" s="8"/>
      <c r="W410" s="8">
        <v>19</v>
      </c>
      <c r="X410" s="8"/>
      <c r="Y410" s="8"/>
      <c r="Z410" s="8"/>
      <c r="AA410" s="8"/>
      <c r="AB410" s="8"/>
      <c r="AC410" s="8"/>
      <c r="AD410" s="8" t="s">
        <v>5711</v>
      </c>
      <c r="AE410" s="8" t="s">
        <v>1940</v>
      </c>
      <c r="AF410" s="8"/>
      <c r="AG410" s="8" t="s">
        <v>4678</v>
      </c>
      <c r="AH410" s="8"/>
      <c r="AI410" s="8"/>
      <c r="AJ410" s="8" t="s">
        <v>5712</v>
      </c>
      <c r="AK410" s="8"/>
      <c r="AL410" s="8" t="s">
        <v>5714</v>
      </c>
      <c r="AM410" s="8"/>
      <c r="AN410" s="8"/>
      <c r="AO410" s="8"/>
      <c r="AP410" s="8"/>
      <c r="AQ410" s="8"/>
      <c r="AR410" s="8"/>
      <c r="AS410" s="8"/>
      <c r="AT410" s="8"/>
      <c r="AU410" s="8"/>
      <c r="AV410" s="8"/>
      <c r="AW410" s="8"/>
      <c r="AX410" s="8"/>
      <c r="AY410" s="8"/>
      <c r="AZ410" s="8"/>
      <c r="BA410" s="8"/>
      <c r="BB410" s="8"/>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row>
    <row r="411" spans="1:78" ht="13" customHeight="1" x14ac:dyDescent="0.15">
      <c r="A411" s="8" t="s">
        <v>6189</v>
      </c>
      <c r="B411" s="8" t="s">
        <v>4679</v>
      </c>
      <c r="C411" s="11">
        <v>1991</v>
      </c>
      <c r="D411" s="8" t="s">
        <v>5716</v>
      </c>
      <c r="E411" s="8"/>
      <c r="F411" s="8" t="s">
        <v>5715</v>
      </c>
      <c r="G411" s="8" t="str" cm="1">
        <f t="array" ref="G411">LOWER(CleanCode(F411))</f>
        <v>primarypreventionofacculturativestressamongrefugeesapplicationofpsychologicaltheoryandpractice</v>
      </c>
      <c r="H411" s="8"/>
      <c r="I411" s="8"/>
      <c r="J411" s="8" t="s">
        <v>5720</v>
      </c>
      <c r="K411" s="8"/>
      <c r="L411" s="8"/>
      <c r="M411" s="8" t="s">
        <v>5563</v>
      </c>
      <c r="N411" s="8" t="str">
        <f t="shared" si="6"/>
        <v>American Psychologist</v>
      </c>
      <c r="O411" s="8" t="str">
        <f>"0003066X"</f>
        <v>0003066X</v>
      </c>
      <c r="P411" s="8"/>
      <c r="Q411" s="8"/>
      <c r="R411" s="8" t="str">
        <f>"19910601"</f>
        <v>19910601</v>
      </c>
      <c r="S411" s="8">
        <v>46</v>
      </c>
      <c r="T411" s="8">
        <v>6</v>
      </c>
      <c r="U411" s="8">
        <v>632</v>
      </c>
      <c r="V411" s="8"/>
      <c r="W411" s="8">
        <v>10</v>
      </c>
      <c r="X411" s="8"/>
      <c r="Y411" s="8"/>
      <c r="Z411" s="8"/>
      <c r="AA411" s="8"/>
      <c r="AB411" s="8"/>
      <c r="AC411" s="8"/>
      <c r="AD411" s="8" t="s">
        <v>5717</v>
      </c>
      <c r="AE411" s="8" t="s">
        <v>5718</v>
      </c>
      <c r="AF411" s="8"/>
      <c r="AG411" s="8" t="s">
        <v>4899</v>
      </c>
      <c r="AH411" s="8"/>
      <c r="AI411" s="8"/>
      <c r="AJ411" s="8" t="s">
        <v>5719</v>
      </c>
      <c r="AK411" s="8"/>
      <c r="AL411" s="8" t="s">
        <v>5721</v>
      </c>
      <c r="AM411" s="8"/>
      <c r="AN411" s="8"/>
      <c r="AO411" s="8"/>
      <c r="AP411" s="8"/>
      <c r="AQ411" s="8"/>
      <c r="AR411" s="8"/>
      <c r="AS411" s="8"/>
      <c r="AT411" s="8"/>
      <c r="AU411" s="8"/>
      <c r="AV411" s="8"/>
      <c r="AW411" s="8"/>
      <c r="AX411" s="8"/>
      <c r="AY411" s="8"/>
      <c r="AZ411" s="8"/>
      <c r="BA411" s="8"/>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row>
    <row r="412" spans="1:78" ht="13" customHeight="1" x14ac:dyDescent="0.15">
      <c r="A412" s="8" t="s">
        <v>6189</v>
      </c>
      <c r="B412" s="8" t="s">
        <v>4773</v>
      </c>
      <c r="C412" s="11">
        <v>2012</v>
      </c>
      <c r="D412" s="8" t="s">
        <v>5723</v>
      </c>
      <c r="E412" s="8"/>
      <c r="F412" s="8" t="s">
        <v>5722</v>
      </c>
      <c r="G412" s="8" t="str" cm="1">
        <f t="array" ref="G412">LOWER(CleanCode(F412))</f>
        <v>promotingthewellbeingofimmigrantyouthaframeworkforcomparingoutcomesandpolicies</v>
      </c>
      <c r="H412" s="8"/>
      <c r="I412" s="8"/>
      <c r="J412" s="8" t="s">
        <v>5727</v>
      </c>
      <c r="K412" s="8"/>
      <c r="L412" s="8"/>
      <c r="M412" s="8" t="s">
        <v>5176</v>
      </c>
      <c r="N412" s="8" t="str">
        <f t="shared" si="6"/>
        <v>Realizing The Potential Of Immigrant Youth.</v>
      </c>
      <c r="O412" s="8"/>
      <c r="P412" s="8"/>
      <c r="Q412" s="8" t="str">
        <f>"9781107019508"</f>
        <v>9781107019508</v>
      </c>
      <c r="R412" s="8" t="str">
        <f>"20120101"</f>
        <v>20120101</v>
      </c>
      <c r="S412" s="8"/>
      <c r="T412" s="8"/>
      <c r="U412" s="8">
        <v>413</v>
      </c>
      <c r="V412" s="8"/>
      <c r="W412" s="8">
        <v>25</v>
      </c>
      <c r="X412" s="8"/>
      <c r="Y412" s="8"/>
      <c r="Z412" s="8"/>
      <c r="AA412" s="8"/>
      <c r="AB412" s="8"/>
      <c r="AC412" s="8"/>
      <c r="AD412" s="8" t="s">
        <v>5724</v>
      </c>
      <c r="AE412" s="8" t="s">
        <v>5725</v>
      </c>
      <c r="AF412" s="8"/>
      <c r="AG412" s="8" t="s">
        <v>4892</v>
      </c>
      <c r="AH412" s="8"/>
      <c r="AI412" s="8"/>
      <c r="AJ412" s="8" t="s">
        <v>5726</v>
      </c>
      <c r="AK412" s="8"/>
      <c r="AL412" s="8" t="s">
        <v>5728</v>
      </c>
      <c r="AM412" s="8"/>
      <c r="AN412" s="8"/>
      <c r="AO412" s="8"/>
      <c r="AP412" s="8"/>
      <c r="AQ412" s="8"/>
      <c r="AR412" s="8"/>
      <c r="AS412" s="8"/>
      <c r="AT412" s="8"/>
      <c r="AU412" s="8"/>
      <c r="AV412" s="8"/>
      <c r="AW412" s="8"/>
      <c r="AX412" s="8"/>
      <c r="AY412" s="8"/>
      <c r="AZ412" s="8"/>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row>
    <row r="413" spans="1:78" ht="13" customHeight="1" x14ac:dyDescent="0.15">
      <c r="A413" s="8" t="s">
        <v>6189</v>
      </c>
      <c r="B413" s="8" t="s">
        <v>4679</v>
      </c>
      <c r="C413" s="11">
        <v>2015</v>
      </c>
      <c r="D413" s="8" t="s">
        <v>2712</v>
      </c>
      <c r="E413" s="8"/>
      <c r="F413" s="8" t="s">
        <v>5729</v>
      </c>
      <c r="G413" s="8" t="str" cm="1">
        <f t="array" ref="G413">LOWER(CleanCode(F413))</f>
        <v>psychologicalhelpseekingamonglatinamericanimmigrantsincanadatestingaculturallyexpandedmodelofthetheoryofreasonedactionusingpathanalysis</v>
      </c>
      <c r="H413" s="8"/>
      <c r="I413" s="8"/>
      <c r="J413" s="8" t="s">
        <v>5733</v>
      </c>
      <c r="K413" s="8"/>
      <c r="L413" s="8"/>
      <c r="M413" s="8" t="s">
        <v>5730</v>
      </c>
      <c r="N413" s="8" t="str">
        <f t="shared" si="6"/>
        <v>International Journal For The Advancement Of Counselling</v>
      </c>
      <c r="O413" s="8" t="str">
        <f>"01650653"</f>
        <v>01650653</v>
      </c>
      <c r="P413" s="8"/>
      <c r="Q413" s="8"/>
      <c r="R413" s="8" t="str">
        <f>"20150601"</f>
        <v>20150601</v>
      </c>
      <c r="S413" s="8">
        <v>37</v>
      </c>
      <c r="T413" s="8">
        <v>2</v>
      </c>
      <c r="U413" s="8">
        <v>179</v>
      </c>
      <c r="V413" s="8"/>
      <c r="W413" s="8">
        <v>19</v>
      </c>
      <c r="X413" s="8"/>
      <c r="Y413" s="8"/>
      <c r="Z413" s="8"/>
      <c r="AA413" s="8"/>
      <c r="AB413" s="8"/>
      <c r="AC413" s="8"/>
      <c r="AD413" s="8" t="s">
        <v>5731</v>
      </c>
      <c r="AE413" s="8" t="s">
        <v>2725</v>
      </c>
      <c r="AF413" s="8"/>
      <c r="AG413" s="8" t="s">
        <v>4696</v>
      </c>
      <c r="AH413" s="8"/>
      <c r="AI413" s="8"/>
      <c r="AJ413" s="8" t="s">
        <v>5732</v>
      </c>
      <c r="AK413" s="8"/>
      <c r="AL413" s="8" t="s">
        <v>5734</v>
      </c>
      <c r="AM413" s="8"/>
      <c r="AN413" s="8"/>
      <c r="AO413" s="8"/>
      <c r="AP413" s="8"/>
      <c r="AQ413" s="8"/>
      <c r="AR413" s="8"/>
      <c r="AS413" s="8"/>
      <c r="AT413" s="8"/>
      <c r="AU413" s="8"/>
      <c r="AV413" s="8"/>
      <c r="AW413" s="8"/>
      <c r="AX413" s="8"/>
      <c r="AY413" s="8"/>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row>
    <row r="414" spans="1:78" ht="13" customHeight="1" x14ac:dyDescent="0.15">
      <c r="A414" s="8" t="s">
        <v>6189</v>
      </c>
      <c r="B414" s="8" t="s">
        <v>4679</v>
      </c>
      <c r="C414" s="11">
        <v>2009</v>
      </c>
      <c r="D414" s="8" t="s">
        <v>5736</v>
      </c>
      <c r="E414" s="8"/>
      <c r="F414" s="8" t="s">
        <v>5735</v>
      </c>
      <c r="G414" s="8" t="str" cm="1">
        <f t="array" ref="G414">LOWER(CleanCode(F414))</f>
        <v>psychologicaltheoriesofimmigration</v>
      </c>
      <c r="H414" s="8"/>
      <c r="I414" s="8"/>
      <c r="J414" s="8" t="s">
        <v>5741</v>
      </c>
      <c r="K414" s="8"/>
      <c r="L414" s="8"/>
      <c r="M414" s="8" t="s">
        <v>5737</v>
      </c>
      <c r="N414" s="8" t="str">
        <f t="shared" si="6"/>
        <v>Journal Of Human Behavior In The Social Environment</v>
      </c>
      <c r="O414" s="8" t="str">
        <f>"10911359"</f>
        <v>10911359</v>
      </c>
      <c r="P414" s="8"/>
      <c r="Q414" s="8"/>
      <c r="R414" s="8" t="str">
        <f>"20090901"</f>
        <v>20090901</v>
      </c>
      <c r="S414" s="8">
        <v>19</v>
      </c>
      <c r="T414" s="8">
        <v>6</v>
      </c>
      <c r="U414" s="8">
        <v>713</v>
      </c>
      <c r="V414" s="8"/>
      <c r="W414" s="8">
        <v>17</v>
      </c>
      <c r="X414" s="8"/>
      <c r="Y414" s="8"/>
      <c r="Z414" s="8"/>
      <c r="AA414" s="8"/>
      <c r="AB414" s="8"/>
      <c r="AC414" s="8"/>
      <c r="AD414" s="8" t="s">
        <v>5738</v>
      </c>
      <c r="AE414" s="8" t="s">
        <v>5739</v>
      </c>
      <c r="AF414" s="8"/>
      <c r="AG414" s="8" t="s">
        <v>4728</v>
      </c>
      <c r="AH414" s="8"/>
      <c r="AI414" s="8"/>
      <c r="AJ414" s="8" t="s">
        <v>5740</v>
      </c>
      <c r="AK414" s="8"/>
      <c r="AL414" s="8" t="s">
        <v>5742</v>
      </c>
      <c r="AM414" s="8"/>
      <c r="AN414" s="8"/>
      <c r="AO414" s="8"/>
      <c r="AP414" s="8"/>
      <c r="AQ414" s="8"/>
      <c r="AR414" s="8"/>
      <c r="AS414" s="8"/>
      <c r="AT414" s="8"/>
      <c r="AU414" s="8"/>
      <c r="AV414" s="8"/>
      <c r="AW414" s="8"/>
      <c r="AX414" s="8"/>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row>
    <row r="415" spans="1:78" ht="13" customHeight="1" x14ac:dyDescent="0.15">
      <c r="A415" s="8" t="s">
        <v>6189</v>
      </c>
      <c r="B415" s="8" t="s">
        <v>4679</v>
      </c>
      <c r="C415" s="11">
        <v>2018</v>
      </c>
      <c r="D415" s="8" t="s">
        <v>5744</v>
      </c>
      <c r="E415" s="8"/>
      <c r="F415" s="8" t="s">
        <v>5743</v>
      </c>
      <c r="G415" s="8" t="str" cm="1">
        <f t="array" ref="G415">LOWER(CleanCode(F415))</f>
        <v>psychologickakulturaceteoretickpstupyametodymen</v>
      </c>
      <c r="H415" s="8"/>
      <c r="I415" s="8"/>
      <c r="J415" s="8" t="s">
        <v>5749</v>
      </c>
      <c r="K415" s="8"/>
      <c r="L415" s="8"/>
      <c r="M415" s="8" t="s">
        <v>5745</v>
      </c>
      <c r="N415" s="8" t="str">
        <f t="shared" si="6"/>
        <v>Československá Psychologie: Časopis Pro Psychologickou Teorii A Praxi</v>
      </c>
      <c r="O415" s="8" t="str">
        <f>"0009062X"</f>
        <v>0009062X</v>
      </c>
      <c r="P415" s="8"/>
      <c r="Q415" s="8"/>
      <c r="R415" s="8" t="str">
        <f>"20180101"</f>
        <v>20180101</v>
      </c>
      <c r="S415" s="8">
        <v>62</v>
      </c>
      <c r="T415" s="8">
        <v>2</v>
      </c>
      <c r="U415" s="8">
        <v>153</v>
      </c>
      <c r="V415" s="8"/>
      <c r="W415" s="8">
        <v>20</v>
      </c>
      <c r="X415" s="8"/>
      <c r="Y415" s="8"/>
      <c r="Z415" s="8"/>
      <c r="AA415" s="8"/>
      <c r="AB415" s="8"/>
      <c r="AC415" s="8"/>
      <c r="AD415" s="8" t="s">
        <v>5746</v>
      </c>
      <c r="AE415" s="8"/>
      <c r="AF415" s="8"/>
      <c r="AG415" s="8" t="s">
        <v>5747</v>
      </c>
      <c r="AH415" s="8"/>
      <c r="AI415" s="8"/>
      <c r="AJ415" s="8" t="s">
        <v>5748</v>
      </c>
      <c r="AK415" s="8"/>
      <c r="AL415" s="8" t="s">
        <v>5750</v>
      </c>
      <c r="AM415" s="8"/>
      <c r="AN415" s="8"/>
      <c r="AO415" s="8"/>
      <c r="AP415" s="8"/>
      <c r="AQ415" s="8"/>
      <c r="AR415" s="8"/>
      <c r="AS415" s="8"/>
      <c r="AT415" s="8"/>
      <c r="AU415" s="8"/>
      <c r="AV415" s="8"/>
      <c r="AW415" s="8"/>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row>
    <row r="416" spans="1:78" ht="13" customHeight="1" x14ac:dyDescent="0.15">
      <c r="A416" s="8" t="s">
        <v>6189</v>
      </c>
      <c r="B416" s="8" t="s">
        <v>4679</v>
      </c>
      <c r="C416" s="11">
        <v>1982</v>
      </c>
      <c r="D416" s="8" t="s">
        <v>5006</v>
      </c>
      <c r="E416" s="8"/>
      <c r="F416" s="8" t="s">
        <v>5751</v>
      </c>
      <c r="G416" s="8" t="str" cm="1">
        <f t="array" ref="G416">LOWER(CleanCode(F416))</f>
        <v>psychosomaticandpsychosocialimplicationsofenvironmentalchangesonmigrantsareviewofcontemporarytheoriesandfindings</v>
      </c>
      <c r="H416" s="8"/>
      <c r="I416" s="8"/>
      <c r="J416" s="8" t="s">
        <v>5756</v>
      </c>
      <c r="K416" s="8"/>
      <c r="L416" s="8"/>
      <c r="M416" s="8" t="s">
        <v>5752</v>
      </c>
      <c r="N416" s="8" t="str">
        <f t="shared" si="6"/>
        <v>Israel Journal Of Psychiatry And Related Sciences</v>
      </c>
      <c r="O416" s="8" t="str">
        <f>"03337308"</f>
        <v>03337308</v>
      </c>
      <c r="P416" s="8"/>
      <c r="Q416" s="8"/>
      <c r="R416" s="8" t="str">
        <f>"19820101"</f>
        <v>19820101</v>
      </c>
      <c r="S416" s="8">
        <v>19</v>
      </c>
      <c r="T416" s="8">
        <v>4</v>
      </c>
      <c r="U416" s="8">
        <v>329</v>
      </c>
      <c r="V416" s="8"/>
      <c r="W416" s="8">
        <v>10</v>
      </c>
      <c r="X416" s="8"/>
      <c r="Y416" s="8"/>
      <c r="Z416" s="8"/>
      <c r="AA416" s="8"/>
      <c r="AB416" s="8"/>
      <c r="AC416" s="8"/>
      <c r="AD416" s="8" t="s">
        <v>5753</v>
      </c>
      <c r="AE416" s="8"/>
      <c r="AF416" s="8"/>
      <c r="AG416" s="8" t="s">
        <v>5754</v>
      </c>
      <c r="AH416" s="8"/>
      <c r="AI416" s="8"/>
      <c r="AJ416" s="8" t="s">
        <v>5755</v>
      </c>
      <c r="AK416" s="8"/>
      <c r="AL416" s="8" t="s">
        <v>5757</v>
      </c>
      <c r="AM416" s="8"/>
      <c r="AN416" s="8"/>
      <c r="AO416" s="8"/>
      <c r="AP416" s="8"/>
      <c r="AQ416" s="8"/>
      <c r="AR416" s="8"/>
      <c r="AS416" s="8"/>
      <c r="AT416" s="8"/>
      <c r="AU416" s="8"/>
      <c r="AV416" s="8"/>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row>
    <row r="417" spans="1:78" ht="13" customHeight="1" x14ac:dyDescent="0.15">
      <c r="A417" s="8" t="s">
        <v>6189</v>
      </c>
      <c r="B417" s="8" t="s">
        <v>4679</v>
      </c>
      <c r="C417" s="11">
        <v>2018</v>
      </c>
      <c r="D417" s="8" t="s">
        <v>5759</v>
      </c>
      <c r="E417" s="8"/>
      <c r="F417" s="8" t="s">
        <v>5758</v>
      </c>
      <c r="G417" s="8" t="str" cm="1">
        <f t="array" ref="G417">LOWER(CleanCode(F417))</f>
        <v>racialminorityimmigrantacculturationexaminingfilipinosettlementexperiencesincanadautilizingacommunityfocusedacculturationframework</v>
      </c>
      <c r="H417" s="8"/>
      <c r="I417" s="8"/>
      <c r="J417" s="8" t="s">
        <v>5764</v>
      </c>
      <c r="K417" s="8"/>
      <c r="L417" s="8"/>
      <c r="M417" s="8" t="s">
        <v>5760</v>
      </c>
      <c r="N417" s="8" t="str">
        <f t="shared" si="6"/>
        <v>Community Psychology In Global Perspective</v>
      </c>
      <c r="O417" s="8" t="str">
        <f>"24212113"</f>
        <v>24212113</v>
      </c>
      <c r="P417" s="8"/>
      <c r="Q417" s="8"/>
      <c r="R417" s="8" t="str">
        <f>"20180101"</f>
        <v>20180101</v>
      </c>
      <c r="S417" s="8">
        <v>4</v>
      </c>
      <c r="T417" s="8">
        <v>1</v>
      </c>
      <c r="U417" s="8">
        <v>66</v>
      </c>
      <c r="V417" s="8"/>
      <c r="W417" s="8">
        <v>19</v>
      </c>
      <c r="X417" s="8"/>
      <c r="Y417" s="8"/>
      <c r="Z417" s="8"/>
      <c r="AA417" s="8"/>
      <c r="AB417" s="8"/>
      <c r="AC417" s="8"/>
      <c r="AD417" s="8" t="s">
        <v>5761</v>
      </c>
      <c r="AE417" s="8"/>
      <c r="AF417" s="8"/>
      <c r="AG417" s="8" t="s">
        <v>5762</v>
      </c>
      <c r="AH417" s="8"/>
      <c r="AI417" s="8"/>
      <c r="AJ417" s="8" t="s">
        <v>5763</v>
      </c>
      <c r="AK417" s="8"/>
      <c r="AL417" s="8" t="s">
        <v>5765</v>
      </c>
      <c r="AM417" s="8"/>
      <c r="AN417" s="8"/>
      <c r="AO417" s="8"/>
      <c r="AP417" s="8"/>
      <c r="AQ417" s="8"/>
      <c r="AR417" s="8"/>
      <c r="AS417" s="8"/>
      <c r="AT417" s="8"/>
      <c r="AU417" s="8"/>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row>
    <row r="418" spans="1:78" ht="13" customHeight="1" x14ac:dyDescent="0.15">
      <c r="A418" s="8" t="s">
        <v>6189</v>
      </c>
      <c r="B418" s="8" t="s">
        <v>4679</v>
      </c>
      <c r="C418" s="11">
        <v>2003</v>
      </c>
      <c r="D418" s="8" t="s">
        <v>5767</v>
      </c>
      <c r="E418" s="8"/>
      <c r="F418" s="8" t="s">
        <v>5766</v>
      </c>
      <c r="G418" s="8" t="str" cm="1">
        <f t="array" ref="G418">LOWER(CleanCode(F418))</f>
        <v>refugeeeconomicadaptationtheoryevidenceandimplicationsforpolicyandpractice</v>
      </c>
      <c r="H418" s="8"/>
      <c r="I418" s="8"/>
      <c r="J418" s="8" t="s">
        <v>5772</v>
      </c>
      <c r="K418" s="8"/>
      <c r="L418" s="8"/>
      <c r="M418" s="8" t="s">
        <v>5768</v>
      </c>
      <c r="N418" s="8" t="str">
        <f t="shared" si="6"/>
        <v>Journal Of Social Service Research</v>
      </c>
      <c r="O418" s="8" t="str">
        <f>"01488376"</f>
        <v>01488376</v>
      </c>
      <c r="P418" s="8"/>
      <c r="Q418" s="8"/>
      <c r="R418" s="8" t="str">
        <f>"20030101"</f>
        <v>20030101</v>
      </c>
      <c r="S418" s="8">
        <v>30</v>
      </c>
      <c r="T418" s="8">
        <v>1</v>
      </c>
      <c r="U418" s="8">
        <v>63</v>
      </c>
      <c r="V418" s="8"/>
      <c r="W418" s="8">
        <v>29</v>
      </c>
      <c r="X418" s="8"/>
      <c r="Y418" s="8"/>
      <c r="Z418" s="8"/>
      <c r="AA418" s="8"/>
      <c r="AB418" s="8"/>
      <c r="AC418" s="8"/>
      <c r="AD418" s="8" t="s">
        <v>5769</v>
      </c>
      <c r="AE418" s="8" t="s">
        <v>4210</v>
      </c>
      <c r="AF418" s="8"/>
      <c r="AG418" s="8" t="s">
        <v>5770</v>
      </c>
      <c r="AH418" s="8"/>
      <c r="AI418" s="8"/>
      <c r="AJ418" s="8" t="s">
        <v>5771</v>
      </c>
      <c r="AK418" s="8"/>
      <c r="AL418" s="8" t="s">
        <v>5773</v>
      </c>
      <c r="AM418" s="8"/>
      <c r="AN418" s="8"/>
      <c r="AO418" s="8"/>
      <c r="AP418" s="8"/>
      <c r="AQ418" s="8"/>
      <c r="AR418" s="8"/>
      <c r="AS418" s="8"/>
      <c r="AT418" s="8"/>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row>
    <row r="419" spans="1:78" ht="13" customHeight="1" x14ac:dyDescent="0.15">
      <c r="A419" s="8" t="s">
        <v>6189</v>
      </c>
      <c r="B419" s="8" t="s">
        <v>4679</v>
      </c>
      <c r="C419" s="11">
        <v>2009</v>
      </c>
      <c r="D419" s="8" t="s">
        <v>3634</v>
      </c>
      <c r="E419" s="8"/>
      <c r="F419" s="8" t="s">
        <v>5774</v>
      </c>
      <c r="G419" s="8" t="str" cm="1">
        <f t="array" ref="G419">LOWER(CleanCode(F419))</f>
        <v>religiositttrkischermigrantenimgenerationenverlaufeinbefundundeinigeerklrungsversuche</v>
      </c>
      <c r="H419" s="8"/>
      <c r="I419" s="8"/>
      <c r="J419" s="8" t="s">
        <v>5780</v>
      </c>
      <c r="K419" s="8"/>
      <c r="L419" s="8"/>
      <c r="M419" s="8" t="s">
        <v>5775</v>
      </c>
      <c r="N419" s="8" t="str">
        <f t="shared" si="6"/>
        <v>Zeitschrift Für Soziologie</v>
      </c>
      <c r="O419" s="8" t="str">
        <f>"03401804"</f>
        <v>03401804</v>
      </c>
      <c r="P419" s="8"/>
      <c r="Q419" s="8"/>
      <c r="R419" s="8" t="str">
        <f>"20090801"</f>
        <v>20090801</v>
      </c>
      <c r="S419" s="8">
        <v>38</v>
      </c>
      <c r="T419" s="8">
        <v>4</v>
      </c>
      <c r="U419" s="8">
        <v>300</v>
      </c>
      <c r="V419" s="8"/>
      <c r="W419" s="8">
        <v>20</v>
      </c>
      <c r="X419" s="8"/>
      <c r="Y419" s="8"/>
      <c r="Z419" s="8"/>
      <c r="AA419" s="8"/>
      <c r="AB419" s="8"/>
      <c r="AC419" s="8"/>
      <c r="AD419" s="8" t="s">
        <v>5776</v>
      </c>
      <c r="AE419" s="8" t="s">
        <v>5777</v>
      </c>
      <c r="AF419" s="8"/>
      <c r="AG419" s="8" t="s">
        <v>5778</v>
      </c>
      <c r="AH419" s="8"/>
      <c r="AI419" s="8"/>
      <c r="AJ419" s="8" t="s">
        <v>5779</v>
      </c>
      <c r="AK419" s="8"/>
      <c r="AL419" s="8" t="s">
        <v>5781</v>
      </c>
      <c r="AM419" s="8"/>
      <c r="AN419" s="8"/>
      <c r="AO419" s="8"/>
      <c r="AP419" s="8"/>
      <c r="AQ419" s="8"/>
      <c r="AR419" s="8"/>
      <c r="AS419" s="8"/>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row>
    <row r="420" spans="1:78" ht="13" customHeight="1" x14ac:dyDescent="0.15">
      <c r="A420" s="8" t="s">
        <v>6189</v>
      </c>
      <c r="B420" s="8" t="s">
        <v>4773</v>
      </c>
      <c r="C420" s="11">
        <v>2017</v>
      </c>
      <c r="D420" s="8" t="s">
        <v>5783</v>
      </c>
      <c r="E420" s="8"/>
      <c r="F420" s="8" t="s">
        <v>5782</v>
      </c>
      <c r="G420" s="8" t="str" cm="1">
        <f t="array" ref="G420">LOWER(CleanCode(F420))</f>
        <v>remoteacculturationconceptualizationmeasurementandimplicationsforhealthoutcomes</v>
      </c>
      <c r="H420" s="8"/>
      <c r="I420" s="8"/>
      <c r="J420" s="8" t="s">
        <v>5786</v>
      </c>
      <c r="K420" s="8"/>
      <c r="L420" s="8"/>
      <c r="M420" s="8" t="s">
        <v>5277</v>
      </c>
      <c r="N420" s="8" t="str">
        <f t="shared" si="6"/>
        <v>The Oxford Handbook Of Acculturation And Health.</v>
      </c>
      <c r="O420" s="8"/>
      <c r="P420" s="8"/>
      <c r="Q420" s="8" t="str">
        <f>"9780190215217"</f>
        <v>9780190215217</v>
      </c>
      <c r="R420" s="8" t="str">
        <f>"20170101"</f>
        <v>20170101</v>
      </c>
      <c r="S420" s="8"/>
      <c r="T420" s="8"/>
      <c r="U420" s="8">
        <v>157</v>
      </c>
      <c r="V420" s="8"/>
      <c r="W420" s="8">
        <v>17</v>
      </c>
      <c r="X420" s="8"/>
      <c r="Y420" s="8"/>
      <c r="Z420" s="8"/>
      <c r="AA420" s="8"/>
      <c r="AB420" s="8"/>
      <c r="AC420" s="8"/>
      <c r="AD420" s="8" t="s">
        <v>5784</v>
      </c>
      <c r="AE420" s="8"/>
      <c r="AF420" s="8"/>
      <c r="AG420" s="8" t="s">
        <v>4813</v>
      </c>
      <c r="AH420" s="8"/>
      <c r="AI420" s="8"/>
      <c r="AJ420" s="8" t="s">
        <v>5785</v>
      </c>
      <c r="AK420" s="8"/>
      <c r="AL420" s="8" t="s">
        <v>5787</v>
      </c>
      <c r="AM420" s="8"/>
      <c r="AN420" s="8"/>
      <c r="AO420" s="8"/>
      <c r="AP420" s="8"/>
      <c r="AQ420" s="8"/>
      <c r="AR420" s="8"/>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row>
    <row r="421" spans="1:78" ht="13" customHeight="1" x14ac:dyDescent="0.15">
      <c r="A421" s="8" t="s">
        <v>6189</v>
      </c>
      <c r="B421" s="8" t="s">
        <v>4679</v>
      </c>
      <c r="C421" s="11">
        <v>2005</v>
      </c>
      <c r="D421" s="8" t="s">
        <v>5789</v>
      </c>
      <c r="E421" s="8"/>
      <c r="F421" s="8" t="s">
        <v>5788</v>
      </c>
      <c r="G421" s="8" t="str" cm="1">
        <f t="array" ref="G421">LOWER(CleanCode(F421))</f>
        <v>researchwithimmigrantpopulationstheapplicationofanecologicalframeworktomentalhealthresearchwithimmigrantpopulations</v>
      </c>
      <c r="H421" s="8"/>
      <c r="I421" s="8"/>
      <c r="J421" s="8" t="s">
        <v>5795</v>
      </c>
      <c r="K421" s="8"/>
      <c r="L421" s="8"/>
      <c r="M421" s="8" t="s">
        <v>5790</v>
      </c>
      <c r="N421" s="8" t="str">
        <f t="shared" si="6"/>
        <v>International Journal Of Mental Health Promotion</v>
      </c>
      <c r="O421" s="8" t="str">
        <f>"14623730"</f>
        <v>14623730</v>
      </c>
      <c r="P421" s="8"/>
      <c r="Q421" s="8"/>
      <c r="R421" s="8" t="str">
        <f>"20050501"</f>
        <v>20050501</v>
      </c>
      <c r="S421" s="8">
        <v>7</v>
      </c>
      <c r="T421" s="8">
        <v>2</v>
      </c>
      <c r="U421" s="8">
        <v>24</v>
      </c>
      <c r="V421" s="8"/>
      <c r="W421" s="8">
        <v>11</v>
      </c>
      <c r="X421" s="8"/>
      <c r="Y421" s="8"/>
      <c r="Z421" s="8"/>
      <c r="AA421" s="8"/>
      <c r="AB421" s="8"/>
      <c r="AC421" s="8"/>
      <c r="AD421" s="8" t="s">
        <v>5791</v>
      </c>
      <c r="AE421" s="8" t="s">
        <v>5792</v>
      </c>
      <c r="AF421" s="8"/>
      <c r="AG421" s="8" t="s">
        <v>5793</v>
      </c>
      <c r="AH421" s="8"/>
      <c r="AI421" s="8"/>
      <c r="AJ421" s="8" t="s">
        <v>5794</v>
      </c>
      <c r="AK421" s="8"/>
      <c r="AL421" s="8" t="s">
        <v>5796</v>
      </c>
      <c r="AM421" s="8"/>
      <c r="AN421" s="8"/>
      <c r="AO421" s="8"/>
      <c r="AP421" s="8"/>
      <c r="AQ421" s="8"/>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row>
    <row r="422" spans="1:78" ht="13" customHeight="1" x14ac:dyDescent="0.15">
      <c r="A422" s="8" t="s">
        <v>6189</v>
      </c>
      <c r="B422" s="8" t="s">
        <v>4679</v>
      </c>
      <c r="C422" s="11">
        <v>2018</v>
      </c>
      <c r="D422" s="8" t="s">
        <v>5798</v>
      </c>
      <c r="E422" s="8"/>
      <c r="F422" s="8" t="s">
        <v>5797</v>
      </c>
      <c r="G422" s="8" t="str" cm="1">
        <f t="array" ref="G422">LOWER(CleanCode(F422))</f>
        <v>rethinkingcrossculturaladaptabilityusingbehavioraldevelopmentaltheoryananalysisofdifferentmigrantbehaviors</v>
      </c>
      <c r="H422" s="8"/>
      <c r="I422" s="8"/>
      <c r="J422" s="8" t="s">
        <v>5803</v>
      </c>
      <c r="K422" s="8"/>
      <c r="L422" s="8"/>
      <c r="M422" s="8" t="s">
        <v>5799</v>
      </c>
      <c r="N422" s="8" t="str">
        <f t="shared" si="6"/>
        <v>Behavioral Development</v>
      </c>
      <c r="O422" s="8" t="str">
        <f>"19420722"</f>
        <v>19420722</v>
      </c>
      <c r="P422" s="8"/>
      <c r="Q422" s="8"/>
      <c r="R422" s="8" t="str">
        <f>"20181001"</f>
        <v>20181001</v>
      </c>
      <c r="S422" s="8">
        <v>23</v>
      </c>
      <c r="T422" s="8">
        <v>2</v>
      </c>
      <c r="U422" s="8">
        <v>138</v>
      </c>
      <c r="V422" s="8"/>
      <c r="W422" s="8">
        <v>15</v>
      </c>
      <c r="X422" s="8"/>
      <c r="Y422" s="8"/>
      <c r="Z422" s="8"/>
      <c r="AA422" s="8"/>
      <c r="AB422" s="8"/>
      <c r="AC422" s="8"/>
      <c r="AD422" s="8" t="s">
        <v>5800</v>
      </c>
      <c r="AE422" s="8" t="s">
        <v>5801</v>
      </c>
      <c r="AF422" s="8"/>
      <c r="AG422" s="8" t="s">
        <v>4711</v>
      </c>
      <c r="AH422" s="8"/>
      <c r="AI422" s="8"/>
      <c r="AJ422" s="8" t="s">
        <v>5802</v>
      </c>
      <c r="AK422" s="8"/>
      <c r="AL422" s="8" t="s">
        <v>5804</v>
      </c>
      <c r="AM422" s="8"/>
      <c r="AN422" s="8"/>
      <c r="AO422" s="8"/>
      <c r="AP422" s="8"/>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row>
    <row r="423" spans="1:78" ht="13" customHeight="1" x14ac:dyDescent="0.15">
      <c r="A423" s="8" t="s">
        <v>6189</v>
      </c>
      <c r="B423" s="8" t="s">
        <v>4679</v>
      </c>
      <c r="C423" s="11">
        <v>2018</v>
      </c>
      <c r="D423" s="8" t="s">
        <v>1172</v>
      </c>
      <c r="E423" s="8"/>
      <c r="F423" s="8" t="s">
        <v>5805</v>
      </c>
      <c r="G423" s="8" t="str" cm="1">
        <f t="array" ref="G423">LOWER(CleanCode(F423))</f>
        <v>rethinkingtheacculturationgapdistresstheoryamongasianamericanstestingbidirectionalindirectrelations</v>
      </c>
      <c r="H423" s="8"/>
      <c r="I423" s="8"/>
      <c r="J423" s="8" t="s">
        <v>5808</v>
      </c>
      <c r="K423" s="8"/>
      <c r="L423" s="8"/>
      <c r="M423" s="8" t="s">
        <v>4708</v>
      </c>
      <c r="N423" s="8" t="str">
        <f t="shared" si="6"/>
        <v>American Journal Of Orthopsychiatry</v>
      </c>
      <c r="O423" s="8" t="str">
        <f>"00029432"</f>
        <v>00029432</v>
      </c>
      <c r="P423" s="8"/>
      <c r="Q423" s="8"/>
      <c r="R423" s="8" t="str">
        <f>"20180219"</f>
        <v>20180219</v>
      </c>
      <c r="S423" s="8"/>
      <c r="T423" s="8"/>
      <c r="U423" s="8"/>
      <c r="V423" s="8"/>
      <c r="W423" s="8"/>
      <c r="X423" s="8"/>
      <c r="Y423" s="8"/>
      <c r="Z423" s="8"/>
      <c r="AA423" s="8"/>
      <c r="AB423" s="8"/>
      <c r="AC423" s="8"/>
      <c r="AD423" s="8" t="s">
        <v>5806</v>
      </c>
      <c r="AE423" s="8" t="s">
        <v>1190</v>
      </c>
      <c r="AF423" s="8"/>
      <c r="AG423" s="8" t="s">
        <v>4711</v>
      </c>
      <c r="AH423" s="8"/>
      <c r="AI423" s="8"/>
      <c r="AJ423" s="8" t="s">
        <v>5807</v>
      </c>
      <c r="AK423" s="8"/>
      <c r="AL423" s="8" t="s">
        <v>5809</v>
      </c>
      <c r="AM423" s="8"/>
      <c r="AN423" s="8"/>
      <c r="AO423" s="8"/>
      <c r="AP423" s="8"/>
      <c r="AQ423" s="8"/>
      <c r="AR423" s="8"/>
      <c r="AS423" s="8"/>
      <c r="AT423" s="8"/>
      <c r="AU423" s="8"/>
      <c r="AV423" s="8"/>
      <c r="AW423" s="8"/>
      <c r="AX423" s="8"/>
      <c r="AY423" s="8"/>
      <c r="AZ423" s="8"/>
      <c r="BA423" s="8"/>
      <c r="BB423" s="8"/>
      <c r="BC423" s="8"/>
      <c r="BD423" s="8"/>
      <c r="BE423" s="8"/>
      <c r="BF423" s="8"/>
      <c r="BG423" s="8"/>
      <c r="BH423" s="8"/>
      <c r="BI423" s="8"/>
      <c r="BJ423" s="8"/>
      <c r="BK423" s="8"/>
      <c r="BL423" s="8"/>
      <c r="BM423" s="8"/>
      <c r="BN423" s="8"/>
      <c r="BO423" s="8"/>
      <c r="BP423" s="8"/>
      <c r="BQ423" s="8"/>
      <c r="BR423" s="8"/>
      <c r="BS423" s="8"/>
      <c r="BT423" s="8"/>
      <c r="BU423" s="8"/>
      <c r="BV423" s="8"/>
      <c r="BW423" s="8"/>
      <c r="BX423" s="8"/>
      <c r="BY423" s="8"/>
      <c r="BZ423" s="8"/>
    </row>
    <row r="424" spans="1:78" ht="13" customHeight="1" x14ac:dyDescent="0.15">
      <c r="A424" s="8" t="s">
        <v>6189</v>
      </c>
      <c r="B424" s="8" t="s">
        <v>4679</v>
      </c>
      <c r="C424" s="11">
        <v>2010</v>
      </c>
      <c r="D424" s="8" t="s">
        <v>5811</v>
      </c>
      <c r="E424" s="8"/>
      <c r="F424" s="8" t="s">
        <v>5810</v>
      </c>
      <c r="G424" s="8" t="str" cm="1">
        <f t="array" ref="G424">LOWER(CleanCode(F424))</f>
        <v>rethinkingtheconceptofacculturationimplicationsfortheoryandresearch</v>
      </c>
      <c r="H424" s="8"/>
      <c r="I424" s="8"/>
      <c r="J424" s="8" t="s">
        <v>5814</v>
      </c>
      <c r="K424" s="8"/>
      <c r="L424" s="8"/>
      <c r="M424" s="8" t="s">
        <v>5563</v>
      </c>
      <c r="N424" s="8" t="str">
        <f t="shared" si="6"/>
        <v>American Psychologist</v>
      </c>
      <c r="O424" s="8" t="str">
        <f>"0003066X"</f>
        <v>0003066X</v>
      </c>
      <c r="P424" s="8"/>
      <c r="Q424" s="8"/>
      <c r="R424" s="8" t="str">
        <f>"20100501"</f>
        <v>20100501</v>
      </c>
      <c r="S424" s="8">
        <v>65</v>
      </c>
      <c r="T424" s="8">
        <v>4</v>
      </c>
      <c r="U424" s="8">
        <v>237</v>
      </c>
      <c r="V424" s="8"/>
      <c r="W424" s="8">
        <v>15</v>
      </c>
      <c r="X424" s="8"/>
      <c r="Y424" s="8"/>
      <c r="Z424" s="8"/>
      <c r="AA424" s="8"/>
      <c r="AB424" s="8"/>
      <c r="AC424" s="8"/>
      <c r="AD424" s="8" t="s">
        <v>5812</v>
      </c>
      <c r="AE424" s="8" t="s">
        <v>3504</v>
      </c>
      <c r="AF424" s="8"/>
      <c r="AG424" s="8" t="s">
        <v>4899</v>
      </c>
      <c r="AH424" s="8"/>
      <c r="AI424" s="8"/>
      <c r="AJ424" s="8" t="s">
        <v>5813</v>
      </c>
      <c r="AK424" s="8"/>
      <c r="AL424" s="8" t="s">
        <v>5815</v>
      </c>
      <c r="AM424" s="8"/>
      <c r="AN424" s="8"/>
      <c r="AO424" s="8"/>
      <c r="AP424" s="8"/>
      <c r="AQ424" s="8"/>
      <c r="AR424" s="8"/>
      <c r="AS424" s="8"/>
      <c r="AT424" s="8"/>
      <c r="AU424" s="8"/>
      <c r="AV424" s="8"/>
      <c r="AW424" s="8"/>
      <c r="AX424" s="8"/>
      <c r="AY424" s="8"/>
      <c r="AZ424" s="8"/>
      <c r="BA424" s="8"/>
      <c r="BB424" s="8"/>
      <c r="BC424" s="8"/>
      <c r="BD424" s="8"/>
      <c r="BE424" s="8"/>
      <c r="BF424" s="8"/>
      <c r="BG424" s="8"/>
      <c r="BH424" s="8"/>
      <c r="BI424" s="8"/>
      <c r="BJ424" s="8"/>
      <c r="BK424" s="8"/>
      <c r="BL424" s="8"/>
      <c r="BM424" s="8"/>
      <c r="BN424" s="8"/>
      <c r="BO424" s="8"/>
      <c r="BP424" s="8"/>
      <c r="BQ424" s="8"/>
      <c r="BR424" s="8"/>
      <c r="BS424" s="8"/>
      <c r="BT424" s="8"/>
      <c r="BU424" s="8"/>
      <c r="BV424" s="8"/>
      <c r="BW424" s="8"/>
      <c r="BX424" s="8"/>
      <c r="BY424" s="8"/>
      <c r="BZ424" s="8"/>
    </row>
    <row r="425" spans="1:78" ht="13" customHeight="1" x14ac:dyDescent="0.15">
      <c r="A425" s="8" t="s">
        <v>6189</v>
      </c>
      <c r="B425" s="8" t="s">
        <v>5821</v>
      </c>
      <c r="C425" s="11">
        <v>2004</v>
      </c>
      <c r="D425" s="8" t="s">
        <v>5817</v>
      </c>
      <c r="E425" s="8"/>
      <c r="F425" s="8" t="s">
        <v>5816</v>
      </c>
      <c r="G425" s="8" t="str" cm="1">
        <f t="array" ref="G425">LOWER(CleanCode(F425))</f>
        <v>reviewofacculturationadvancesintheorymeasurementandappliedresearch</v>
      </c>
      <c r="H425" s="8"/>
      <c r="I425" s="8"/>
      <c r="J425" s="8" t="s">
        <v>5823</v>
      </c>
      <c r="K425" s="8"/>
      <c r="L425" s="8"/>
      <c r="M425" s="8" t="s">
        <v>5818</v>
      </c>
      <c r="N425" s="8" t="str">
        <f t="shared" si="6"/>
        <v>Journal Of Nervous And Mental Disease</v>
      </c>
      <c r="O425" s="8" t="str">
        <f>"00223018"</f>
        <v>00223018</v>
      </c>
      <c r="P425" s="8"/>
      <c r="Q425" s="8"/>
      <c r="R425" s="8" t="str">
        <f>"20040501"</f>
        <v>20040501</v>
      </c>
      <c r="S425" s="8">
        <v>192</v>
      </c>
      <c r="T425" s="8">
        <v>5</v>
      </c>
      <c r="U425" s="8">
        <v>391</v>
      </c>
      <c r="V425" s="8"/>
      <c r="W425" s="8">
        <v>2</v>
      </c>
      <c r="X425" s="8"/>
      <c r="Y425" s="8"/>
      <c r="Z425" s="8"/>
      <c r="AA425" s="8"/>
      <c r="AB425" s="8"/>
      <c r="AC425" s="8"/>
      <c r="AD425" s="8" t="s">
        <v>5819</v>
      </c>
      <c r="AE425" s="8" t="s">
        <v>5820</v>
      </c>
      <c r="AF425" s="8"/>
      <c r="AG425" s="8" t="s">
        <v>4687</v>
      </c>
      <c r="AH425" s="8"/>
      <c r="AI425" s="8"/>
      <c r="AJ425" s="8" t="s">
        <v>5822</v>
      </c>
      <c r="AK425" s="8"/>
      <c r="AL425" s="8" t="s">
        <v>5824</v>
      </c>
      <c r="AM425" s="8"/>
      <c r="AN425" s="8"/>
      <c r="AO425" s="8"/>
      <c r="AP425" s="8"/>
      <c r="AQ425" s="8"/>
      <c r="AR425" s="8"/>
      <c r="AS425" s="8"/>
      <c r="AT425" s="8"/>
      <c r="AU425" s="8"/>
      <c r="AV425" s="8"/>
      <c r="AW425" s="8"/>
      <c r="AX425" s="8"/>
      <c r="AY425" s="8"/>
      <c r="AZ425" s="8"/>
      <c r="BA425" s="8"/>
      <c r="BB425" s="8"/>
      <c r="BC425" s="8"/>
      <c r="BD425" s="8"/>
      <c r="BE425" s="8"/>
      <c r="BF425" s="8"/>
      <c r="BG425" s="8"/>
      <c r="BH425" s="8"/>
      <c r="BI425" s="8"/>
      <c r="BJ425" s="8"/>
      <c r="BK425" s="8"/>
      <c r="BL425" s="8"/>
      <c r="BM425" s="8"/>
      <c r="BN425" s="8"/>
      <c r="BO425" s="8"/>
      <c r="BP425" s="8"/>
      <c r="BQ425" s="8"/>
      <c r="BR425" s="8"/>
      <c r="BS425" s="8"/>
      <c r="BT425" s="8"/>
      <c r="BU425" s="8"/>
      <c r="BV425" s="8"/>
      <c r="BW425" s="8"/>
      <c r="BX425" s="8"/>
      <c r="BY425" s="8"/>
      <c r="BZ425" s="8"/>
    </row>
    <row r="426" spans="1:78" ht="13" customHeight="1" x14ac:dyDescent="0.15">
      <c r="A426" s="8" t="s">
        <v>6189</v>
      </c>
      <c r="B426" s="8" t="s">
        <v>4679</v>
      </c>
      <c r="C426" s="11">
        <v>2019</v>
      </c>
      <c r="D426" s="8" t="s">
        <v>5826</v>
      </c>
      <c r="E426" s="8"/>
      <c r="F426" s="8" t="s">
        <v>5825</v>
      </c>
      <c r="G426" s="8" t="str" cm="1">
        <f t="array" ref="G426">LOWER(CleanCode(F426))</f>
        <v>riskfactorsofsuicidewithreferencetothetheoryofsocialintegrationbymiledurkheim</v>
      </c>
      <c r="H426" s="8"/>
      <c r="I426" s="8"/>
      <c r="J426" s="8" t="s">
        <v>5831</v>
      </c>
      <c r="K426" s="8"/>
      <c r="L426" s="8"/>
      <c r="M426" s="8" t="s">
        <v>5827</v>
      </c>
      <c r="N426" s="8" t="str">
        <f t="shared" si="6"/>
        <v>Psychiatria Polska</v>
      </c>
      <c r="O426" s="8" t="str">
        <f>"00332674"</f>
        <v>00332674</v>
      </c>
      <c r="P426" s="8"/>
      <c r="Q426" s="8"/>
      <c r="R426" s="8" t="str">
        <f>"20190101"</f>
        <v>20190101</v>
      </c>
      <c r="S426" s="8">
        <v>53</v>
      </c>
      <c r="T426" s="8">
        <v>4</v>
      </c>
      <c r="U426" s="8">
        <v>865</v>
      </c>
      <c r="V426" s="8"/>
      <c r="W426" s="8">
        <v>17</v>
      </c>
      <c r="X426" s="8"/>
      <c r="Y426" s="8"/>
      <c r="Z426" s="8"/>
      <c r="AA426" s="8"/>
      <c r="AB426" s="8"/>
      <c r="AC426" s="8"/>
      <c r="AD426" s="8" t="s">
        <v>5828</v>
      </c>
      <c r="AE426" s="8" t="s">
        <v>1212</v>
      </c>
      <c r="AF426" s="8"/>
      <c r="AG426" s="8" t="s">
        <v>5829</v>
      </c>
      <c r="AH426" s="8"/>
      <c r="AI426" s="8"/>
      <c r="AJ426" s="8" t="s">
        <v>5830</v>
      </c>
      <c r="AK426" s="8"/>
      <c r="AL426" s="8" t="s">
        <v>5832</v>
      </c>
      <c r="AM426" s="8"/>
      <c r="AN426" s="8"/>
      <c r="AO426" s="8"/>
      <c r="AP426" s="8"/>
      <c r="AQ426" s="8"/>
      <c r="AR426" s="8"/>
      <c r="AS426" s="8"/>
      <c r="AT426" s="8"/>
      <c r="AU426" s="8"/>
      <c r="AV426" s="8"/>
      <c r="AW426" s="8"/>
      <c r="AX426" s="8"/>
      <c r="AY426" s="8"/>
      <c r="AZ426" s="8"/>
      <c r="BA426" s="8"/>
      <c r="BB426" s="8"/>
      <c r="BC426" s="8"/>
      <c r="BD426" s="8"/>
      <c r="BE426" s="8"/>
      <c r="BF426" s="8"/>
      <c r="BG426" s="8"/>
      <c r="BH426" s="8"/>
      <c r="BI426" s="8"/>
      <c r="BJ426" s="8"/>
      <c r="BK426" s="8"/>
      <c r="BL426" s="8"/>
      <c r="BM426" s="8"/>
      <c r="BN426" s="8"/>
      <c r="BO426" s="8"/>
      <c r="BP426" s="8"/>
      <c r="BQ426" s="8"/>
      <c r="BR426" s="8"/>
      <c r="BS426" s="8"/>
      <c r="BT426" s="8"/>
      <c r="BU426" s="8"/>
      <c r="BV426" s="8"/>
      <c r="BW426" s="8"/>
      <c r="BX426" s="8"/>
      <c r="BY426" s="8"/>
      <c r="BZ426" s="8"/>
    </row>
    <row r="427" spans="1:78" ht="13" customHeight="1" x14ac:dyDescent="0.15">
      <c r="A427" s="8" t="s">
        <v>6189</v>
      </c>
      <c r="B427" s="8" t="s">
        <v>4671</v>
      </c>
      <c r="C427" s="11">
        <v>2011</v>
      </c>
      <c r="D427" s="8" t="s">
        <v>5834</v>
      </c>
      <c r="E427" s="8"/>
      <c r="F427" s="8" t="s">
        <v>5833</v>
      </c>
      <c r="G427" s="8" t="str" cm="1">
        <f t="array" ref="G427">LOWER(CleanCode(F427))</f>
        <v>romanianamericanspousesperceptionofgenderrolesagroundedtheory</v>
      </c>
      <c r="H427" s="8"/>
      <c r="I427" s="8"/>
      <c r="J427" s="8" t="s">
        <v>5838</v>
      </c>
      <c r="K427" s="8"/>
      <c r="L427" s="8"/>
      <c r="M427" s="8" t="s">
        <v>4667</v>
      </c>
      <c r="N427" s="8" t="str">
        <f t="shared" si="6"/>
        <v>Dissertation Abstracts International: Section B: The Sciences And Engineering</v>
      </c>
      <c r="O427" s="8" t="str">
        <f>"04194217"</f>
        <v>04194217</v>
      </c>
      <c r="P427" s="8"/>
      <c r="Q427" s="8" t="str">
        <f>"9781124164571"</f>
        <v>9781124164571</v>
      </c>
      <c r="R427" s="8" t="str">
        <f>"20110101"</f>
        <v>20110101</v>
      </c>
      <c r="S427" s="8">
        <v>71</v>
      </c>
      <c r="T427" s="8" t="s">
        <v>5835</v>
      </c>
      <c r="U427" s="8">
        <v>5818</v>
      </c>
      <c r="V427" s="8"/>
      <c r="W427" s="8">
        <v>1</v>
      </c>
      <c r="X427" s="8"/>
      <c r="Y427" s="8"/>
      <c r="Z427" s="8"/>
      <c r="AA427" s="8"/>
      <c r="AB427" s="8"/>
      <c r="AC427" s="8"/>
      <c r="AD427" s="8" t="s">
        <v>5836</v>
      </c>
      <c r="AE427" s="8"/>
      <c r="AF427" s="8"/>
      <c r="AG427" s="8" t="s">
        <v>4670</v>
      </c>
      <c r="AH427" s="8"/>
      <c r="AI427" s="8"/>
      <c r="AJ427" s="8" t="s">
        <v>5837</v>
      </c>
      <c r="AK427" s="8"/>
      <c r="AL427" s="8" t="s">
        <v>5839</v>
      </c>
      <c r="AM427" s="8"/>
      <c r="AN427" s="8"/>
      <c r="AO427" s="8"/>
      <c r="AP427" s="8"/>
      <c r="AQ427" s="8"/>
      <c r="AR427" s="8"/>
      <c r="AS427" s="8"/>
      <c r="AT427" s="8"/>
      <c r="AU427" s="8"/>
      <c r="AV427" s="8"/>
      <c r="AW427" s="8"/>
      <c r="AX427" s="8"/>
      <c r="AY427" s="8"/>
      <c r="AZ427" s="8"/>
      <c r="BA427" s="8"/>
      <c r="BB427" s="8"/>
      <c r="BC427" s="8"/>
      <c r="BD427" s="8"/>
      <c r="BE427" s="8"/>
      <c r="BF427" s="8"/>
      <c r="BG427" s="8"/>
      <c r="BH427" s="8"/>
      <c r="BI427" s="8"/>
      <c r="BJ427" s="8"/>
      <c r="BK427" s="8"/>
      <c r="BL427" s="8"/>
      <c r="BM427" s="8"/>
      <c r="BN427" s="8"/>
      <c r="BO427" s="8"/>
      <c r="BP427" s="8"/>
      <c r="BQ427" s="8"/>
      <c r="BR427" s="8"/>
      <c r="BS427" s="8"/>
      <c r="BT427" s="8"/>
      <c r="BU427" s="8"/>
      <c r="BV427" s="8"/>
      <c r="BW427" s="8"/>
      <c r="BX427" s="8"/>
      <c r="BY427" s="8"/>
      <c r="BZ427" s="8"/>
    </row>
    <row r="428" spans="1:78" ht="13" customHeight="1" x14ac:dyDescent="0.15">
      <c r="A428" s="8" t="s">
        <v>6189</v>
      </c>
      <c r="B428" s="8" t="s">
        <v>4679</v>
      </c>
      <c r="C428" s="11">
        <v>2017</v>
      </c>
      <c r="D428" s="8" t="s">
        <v>5841</v>
      </c>
      <c r="E428" s="8"/>
      <c r="F428" s="8" t="s">
        <v>5840</v>
      </c>
      <c r="G428" s="8" t="str" cm="1">
        <f t="array" ref="G428">LOWER(CleanCode(F428))</f>
        <v>saudideafstudentspostsecondarytransitioningexperienceagroundedtheorystudy</v>
      </c>
      <c r="H428" s="8"/>
      <c r="I428" s="8"/>
      <c r="J428" s="8" t="s">
        <v>5846</v>
      </c>
      <c r="K428" s="8"/>
      <c r="L428" s="8"/>
      <c r="M428" s="8" t="s">
        <v>5842</v>
      </c>
      <c r="N428" s="8" t="str">
        <f t="shared" si="6"/>
        <v>Deafness &amp; Education International</v>
      </c>
      <c r="O428" s="8" t="str">
        <f>"14643154"</f>
        <v>14643154</v>
      </c>
      <c r="P428" s="8"/>
      <c r="Q428" s="8"/>
      <c r="R428" s="8" t="str">
        <f>"20171001"</f>
        <v>20171001</v>
      </c>
      <c r="S428" s="8">
        <v>19</v>
      </c>
      <c r="T428" s="12">
        <v>44289</v>
      </c>
      <c r="U428" s="8">
        <v>162</v>
      </c>
      <c r="V428" s="8"/>
      <c r="W428" s="8">
        <v>9</v>
      </c>
      <c r="X428" s="8"/>
      <c r="Y428" s="8"/>
      <c r="Z428" s="8"/>
      <c r="AA428" s="8"/>
      <c r="AB428" s="8"/>
      <c r="AC428" s="8"/>
      <c r="AD428" s="8" t="s">
        <v>5843</v>
      </c>
      <c r="AE428" s="8" t="s">
        <v>5844</v>
      </c>
      <c r="AF428" s="8"/>
      <c r="AG428" s="8" t="s">
        <v>4728</v>
      </c>
      <c r="AH428" s="8"/>
      <c r="AI428" s="8"/>
      <c r="AJ428" s="8" t="s">
        <v>5845</v>
      </c>
      <c r="AK428" s="8"/>
      <c r="AL428" s="8" t="s">
        <v>5847</v>
      </c>
      <c r="AM428" s="8"/>
      <c r="AN428" s="8"/>
      <c r="AO428" s="8"/>
      <c r="AP428" s="8"/>
      <c r="AQ428" s="8"/>
      <c r="AR428" s="8"/>
      <c r="AS428" s="8"/>
      <c r="AT428" s="8"/>
      <c r="AU428" s="8"/>
      <c r="AV428" s="8"/>
      <c r="AW428" s="8"/>
      <c r="AX428" s="8"/>
      <c r="AY428" s="8"/>
      <c r="AZ428" s="8"/>
      <c r="BA428" s="8"/>
      <c r="BB428" s="8"/>
      <c r="BC428" s="8"/>
      <c r="BD428" s="8"/>
      <c r="BE428" s="8"/>
      <c r="BF428" s="8"/>
      <c r="BG428" s="8"/>
      <c r="BH428" s="8"/>
      <c r="BI428" s="8"/>
      <c r="BJ428" s="8"/>
      <c r="BK428" s="8"/>
      <c r="BL428" s="8"/>
      <c r="BM428" s="8"/>
      <c r="BN428" s="8"/>
      <c r="BO428" s="8"/>
      <c r="BP428" s="8"/>
      <c r="BQ428" s="8"/>
      <c r="BR428" s="8"/>
      <c r="BS428" s="8"/>
      <c r="BT428" s="8"/>
      <c r="BU428" s="8"/>
      <c r="BV428" s="8"/>
      <c r="BW428" s="8"/>
      <c r="BX428" s="8"/>
      <c r="BY428" s="8"/>
      <c r="BZ428" s="8"/>
    </row>
    <row r="429" spans="1:78" ht="13" customHeight="1" x14ac:dyDescent="0.15">
      <c r="A429" s="8" t="s">
        <v>6189</v>
      </c>
      <c r="B429" s="8" t="s">
        <v>4679</v>
      </c>
      <c r="C429" s="11">
        <v>2009</v>
      </c>
      <c r="D429" s="8" t="s">
        <v>3652</v>
      </c>
      <c r="E429" s="8"/>
      <c r="F429" s="8" t="s">
        <v>5848</v>
      </c>
      <c r="G429" s="8" t="str" cm="1">
        <f t="array" ref="G429">LOWER(CleanCode(F429))</f>
        <v>segmentedassimilationtheoryandperinatalhealthdisparitiesamongwomenofmexicandescent</v>
      </c>
      <c r="H429" s="8"/>
      <c r="I429" s="8"/>
      <c r="J429" s="8" t="s">
        <v>5851</v>
      </c>
      <c r="K429" s="8"/>
      <c r="L429" s="8"/>
      <c r="M429" s="8" t="s">
        <v>5297</v>
      </c>
      <c r="N429" s="8" t="str">
        <f t="shared" si="6"/>
        <v>Social Science &amp; Medicine</v>
      </c>
      <c r="O429" s="8" t="str">
        <f>"02779536"</f>
        <v>02779536</v>
      </c>
      <c r="P429" s="8"/>
      <c r="Q429" s="8"/>
      <c r="R429" s="8" t="str">
        <f>"20090701"</f>
        <v>20090701</v>
      </c>
      <c r="S429" s="8">
        <v>69</v>
      </c>
      <c r="T429" s="8">
        <v>1</v>
      </c>
      <c r="U429" s="8">
        <v>101</v>
      </c>
      <c r="V429" s="8"/>
      <c r="W429" s="8">
        <v>9</v>
      </c>
      <c r="X429" s="8"/>
      <c r="Y429" s="8"/>
      <c r="Z429" s="8"/>
      <c r="AA429" s="8"/>
      <c r="AB429" s="8"/>
      <c r="AC429" s="8"/>
      <c r="AD429" s="8" t="s">
        <v>5849</v>
      </c>
      <c r="AE429" s="8" t="s">
        <v>3660</v>
      </c>
      <c r="AF429" s="8"/>
      <c r="AG429" s="8" t="s">
        <v>4735</v>
      </c>
      <c r="AH429" s="8"/>
      <c r="AI429" s="8"/>
      <c r="AJ429" s="8" t="s">
        <v>5850</v>
      </c>
      <c r="AK429" s="8"/>
      <c r="AL429" s="8" t="s">
        <v>5852</v>
      </c>
      <c r="AM429" s="8"/>
      <c r="AN429" s="8"/>
      <c r="AO429" s="8"/>
      <c r="AP429" s="8"/>
      <c r="AQ429" s="8"/>
      <c r="AR429" s="8"/>
      <c r="AS429" s="8"/>
      <c r="AT429" s="8"/>
      <c r="AU429" s="8"/>
      <c r="AV429" s="8"/>
      <c r="AW429" s="8"/>
      <c r="AX429" s="8"/>
      <c r="AY429" s="8"/>
      <c r="AZ429" s="8"/>
      <c r="BA429" s="8"/>
      <c r="BB429" s="8"/>
      <c r="BC429" s="8"/>
      <c r="BD429" s="8"/>
      <c r="BE429" s="8"/>
      <c r="BF429" s="8"/>
      <c r="BG429" s="8"/>
      <c r="BH429" s="8"/>
      <c r="BI429" s="8"/>
      <c r="BJ429" s="8"/>
      <c r="BK429" s="8"/>
      <c r="BL429" s="8"/>
      <c r="BM429" s="8"/>
      <c r="BN429" s="8"/>
      <c r="BO429" s="8"/>
      <c r="BP429" s="8"/>
      <c r="BQ429" s="8"/>
      <c r="BR429" s="8"/>
      <c r="BS429" s="8"/>
      <c r="BT429" s="8"/>
      <c r="BU429" s="8"/>
      <c r="BV429" s="8"/>
      <c r="BW429" s="8"/>
      <c r="BX429" s="8"/>
      <c r="BY429" s="8"/>
      <c r="BZ429" s="8"/>
    </row>
    <row r="430" spans="1:78" ht="13" customHeight="1" x14ac:dyDescent="0.15">
      <c r="A430" s="8" t="s">
        <v>6189</v>
      </c>
      <c r="B430" s="8" t="s">
        <v>4679</v>
      </c>
      <c r="C430" s="11">
        <v>2009</v>
      </c>
      <c r="D430" s="8" t="s">
        <v>3664</v>
      </c>
      <c r="E430" s="8"/>
      <c r="F430" s="8" t="s">
        <v>5853</v>
      </c>
      <c r="G430" s="8" t="str" cm="1">
        <f t="array" ref="G430">LOWER(CleanCode(F430))</f>
        <v>segmentedassimilationtheoryandthelifemodelanintegratedapproachtounderstandingimmigrantsandtheirchildren</v>
      </c>
      <c r="H430" s="8"/>
      <c r="I430" s="8"/>
      <c r="J430" s="8" t="s">
        <v>5856</v>
      </c>
      <c r="K430" s="8"/>
      <c r="L430" s="8"/>
      <c r="M430" s="8" t="s">
        <v>1009</v>
      </c>
      <c r="N430" s="8" t="str">
        <f t="shared" si="6"/>
        <v>Social Work</v>
      </c>
      <c r="O430" s="8" t="str">
        <f>"00378046"</f>
        <v>00378046</v>
      </c>
      <c r="P430" s="8"/>
      <c r="Q430" s="8"/>
      <c r="R430" s="8" t="str">
        <f>"20090701"</f>
        <v>20090701</v>
      </c>
      <c r="S430" s="8">
        <v>54</v>
      </c>
      <c r="T430" s="8">
        <v>3</v>
      </c>
      <c r="U430" s="8">
        <v>270</v>
      </c>
      <c r="V430" s="8"/>
      <c r="W430" s="8">
        <v>8</v>
      </c>
      <c r="X430" s="8"/>
      <c r="Y430" s="8"/>
      <c r="Z430" s="8"/>
      <c r="AA430" s="8"/>
      <c r="AB430" s="8"/>
      <c r="AC430" s="8"/>
      <c r="AD430" s="8" t="s">
        <v>5854</v>
      </c>
      <c r="AE430" s="8" t="s">
        <v>3678</v>
      </c>
      <c r="AF430" s="8"/>
      <c r="AG430" s="8" t="s">
        <v>4813</v>
      </c>
      <c r="AH430" s="8"/>
      <c r="AI430" s="8"/>
      <c r="AJ430" s="8" t="s">
        <v>5855</v>
      </c>
      <c r="AK430" s="8"/>
      <c r="AL430" s="8" t="s">
        <v>5857</v>
      </c>
      <c r="AM430" s="8"/>
      <c r="AN430" s="8"/>
      <c r="AO430" s="8"/>
      <c r="AP430" s="8"/>
      <c r="AQ430" s="8"/>
      <c r="AR430" s="8"/>
      <c r="AS430" s="8"/>
      <c r="AT430" s="8"/>
      <c r="AU430" s="8"/>
      <c r="AV430" s="8"/>
      <c r="AW430" s="8"/>
      <c r="AX430" s="8"/>
      <c r="AY430" s="8"/>
      <c r="AZ430" s="8"/>
      <c r="BA430" s="8"/>
      <c r="BB430" s="8"/>
      <c r="BC430" s="8"/>
      <c r="BD430" s="8"/>
      <c r="BE430" s="8"/>
      <c r="BF430" s="8"/>
      <c r="BG430" s="8"/>
      <c r="BH430" s="8"/>
      <c r="BI430" s="8"/>
      <c r="BJ430" s="8"/>
      <c r="BK430" s="8"/>
      <c r="BL430" s="8"/>
      <c r="BM430" s="8"/>
      <c r="BN430" s="8"/>
      <c r="BO430" s="8"/>
      <c r="BP430" s="8"/>
      <c r="BQ430" s="8"/>
      <c r="BR430" s="8"/>
      <c r="BS430" s="8"/>
      <c r="BT430" s="8"/>
      <c r="BU430" s="8"/>
      <c r="BV430" s="8"/>
      <c r="BW430" s="8"/>
      <c r="BX430" s="8"/>
      <c r="BY430" s="8"/>
      <c r="BZ430" s="8"/>
    </row>
    <row r="431" spans="1:78" ht="13" customHeight="1" x14ac:dyDescent="0.15">
      <c r="A431" s="8" t="s">
        <v>6189</v>
      </c>
      <c r="B431" s="8" t="s">
        <v>4671</v>
      </c>
      <c r="C431" s="11">
        <v>2009</v>
      </c>
      <c r="D431" s="8" t="s">
        <v>5859</v>
      </c>
      <c r="E431" s="8"/>
      <c r="F431" s="8" t="s">
        <v>5858</v>
      </c>
      <c r="G431" s="8" t="str" cm="1">
        <f t="array" ref="G431">LOWER(CleanCode(F431))</f>
        <v>segmentedpathsofimmigrantincorporationassimilationtheoryandthenewsecondgeneration</v>
      </c>
      <c r="H431" s="8"/>
      <c r="I431" s="8"/>
      <c r="J431" s="8" t="s">
        <v>5862</v>
      </c>
      <c r="K431" s="8"/>
      <c r="L431" s="8"/>
      <c r="M431" s="8" t="s">
        <v>4762</v>
      </c>
      <c r="N431" s="8" t="str">
        <f t="shared" si="6"/>
        <v>Dissertation Abstracts International Section A: Humanities And Social Sciences</v>
      </c>
      <c r="O431" s="8" t="str">
        <f>"04194209"</f>
        <v>04194209</v>
      </c>
      <c r="P431" s="8"/>
      <c r="Q431" s="8" t="str">
        <f>"9781109047370"</f>
        <v>9781109047370</v>
      </c>
      <c r="R431" s="8" t="str">
        <f>"20090101"</f>
        <v>20090101</v>
      </c>
      <c r="S431" s="8">
        <v>70</v>
      </c>
      <c r="T431" s="8" t="s">
        <v>5225</v>
      </c>
      <c r="U431" s="8">
        <v>707</v>
      </c>
      <c r="V431" s="8"/>
      <c r="W431" s="8">
        <v>1</v>
      </c>
      <c r="X431" s="8"/>
      <c r="Y431" s="8"/>
      <c r="Z431" s="8"/>
      <c r="AA431" s="8"/>
      <c r="AB431" s="8"/>
      <c r="AC431" s="8"/>
      <c r="AD431" s="8" t="s">
        <v>5860</v>
      </c>
      <c r="AE431" s="8"/>
      <c r="AF431" s="8"/>
      <c r="AG431" s="8" t="s">
        <v>4670</v>
      </c>
      <c r="AH431" s="8"/>
      <c r="AI431" s="8"/>
      <c r="AJ431" s="8" t="s">
        <v>5861</v>
      </c>
      <c r="AK431" s="8"/>
      <c r="AL431" s="8" t="s">
        <v>5863</v>
      </c>
      <c r="AM431" s="8"/>
      <c r="AN431" s="8"/>
      <c r="AO431" s="8"/>
      <c r="AP431" s="8"/>
      <c r="AQ431" s="8"/>
      <c r="AR431" s="8"/>
      <c r="AS431" s="8"/>
      <c r="AT431" s="8"/>
      <c r="AU431" s="8"/>
      <c r="AV431" s="8"/>
      <c r="AW431" s="8"/>
      <c r="AX431" s="8"/>
      <c r="AY431" s="8"/>
      <c r="AZ431" s="8"/>
      <c r="BA431" s="8"/>
      <c r="BB431" s="8"/>
      <c r="BC431" s="8"/>
      <c r="BD431" s="8"/>
      <c r="BE431" s="8"/>
      <c r="BF431" s="8"/>
      <c r="BG431" s="8"/>
      <c r="BH431" s="8"/>
      <c r="BI431" s="8"/>
      <c r="BJ431" s="8"/>
      <c r="BK431" s="8"/>
      <c r="BL431" s="8"/>
      <c r="BM431" s="8"/>
      <c r="BN431" s="8"/>
      <c r="BO431" s="8"/>
      <c r="BP431" s="8"/>
      <c r="BQ431" s="8"/>
      <c r="BR431" s="8"/>
      <c r="BS431" s="8"/>
      <c r="BT431" s="8"/>
      <c r="BU431" s="8"/>
      <c r="BV431" s="8"/>
      <c r="BW431" s="8"/>
      <c r="BX431" s="8"/>
      <c r="BY431" s="8"/>
      <c r="BZ431" s="8"/>
    </row>
    <row r="432" spans="1:78" ht="13" customHeight="1" x14ac:dyDescent="0.15">
      <c r="A432" s="8" t="s">
        <v>6189</v>
      </c>
      <c r="B432" s="8" t="s">
        <v>4679</v>
      </c>
      <c r="C432" s="11">
        <v>2013</v>
      </c>
      <c r="D432" s="8" t="s">
        <v>5865</v>
      </c>
      <c r="E432" s="8"/>
      <c r="F432" s="8" t="s">
        <v>5864</v>
      </c>
      <c r="G432" s="8" t="str" cm="1">
        <f t="array" ref="G432">LOWER(CleanCode(F432))</f>
        <v>shiftsinhmongculturecompetingmedicalframeworks</v>
      </c>
      <c r="H432" s="8"/>
      <c r="I432" s="8"/>
      <c r="J432" s="8" t="s">
        <v>5869</v>
      </c>
      <c r="K432" s="8"/>
      <c r="L432" s="8"/>
      <c r="M432" s="8" t="s">
        <v>5264</v>
      </c>
      <c r="N432" s="8" t="str">
        <f t="shared" si="6"/>
        <v>Journal Of Immigrant And Minority Health</v>
      </c>
      <c r="O432" s="8" t="str">
        <f>"15571912"</f>
        <v>15571912</v>
      </c>
      <c r="P432" s="8"/>
      <c r="Q432" s="8"/>
      <c r="R432" s="8" t="str">
        <f>"20130801"</f>
        <v>20130801</v>
      </c>
      <c r="S432" s="8">
        <v>15</v>
      </c>
      <c r="T432" s="8">
        <v>4</v>
      </c>
      <c r="U432" s="8">
        <v>829</v>
      </c>
      <c r="V432" s="8"/>
      <c r="W432" s="8">
        <v>7</v>
      </c>
      <c r="X432" s="8"/>
      <c r="Y432" s="8"/>
      <c r="Z432" s="8"/>
      <c r="AA432" s="8"/>
      <c r="AB432" s="8"/>
      <c r="AC432" s="8"/>
      <c r="AD432" s="8" t="s">
        <v>5866</v>
      </c>
      <c r="AE432" s="8" t="s">
        <v>5867</v>
      </c>
      <c r="AF432" s="8"/>
      <c r="AG432" s="8" t="s">
        <v>4696</v>
      </c>
      <c r="AH432" s="8"/>
      <c r="AI432" s="8"/>
      <c r="AJ432" s="8" t="s">
        <v>5868</v>
      </c>
      <c r="AK432" s="8"/>
      <c r="AL432" s="8" t="s">
        <v>5870</v>
      </c>
      <c r="AM432" s="8"/>
      <c r="AN432" s="8"/>
      <c r="AO432" s="8"/>
      <c r="AP432" s="8"/>
      <c r="AQ432" s="8"/>
      <c r="AR432" s="8"/>
      <c r="AS432" s="8"/>
      <c r="AT432" s="8"/>
      <c r="AU432" s="8"/>
      <c r="AV432" s="8"/>
      <c r="AW432" s="8"/>
      <c r="AX432" s="8"/>
      <c r="AY432" s="8"/>
      <c r="AZ432" s="8"/>
      <c r="BA432" s="8"/>
      <c r="BB432" s="8"/>
      <c r="BC432" s="8"/>
      <c r="BD432" s="8"/>
      <c r="BE432" s="8"/>
      <c r="BF432" s="8"/>
      <c r="BG432" s="8"/>
      <c r="BH432" s="8"/>
      <c r="BI432" s="8"/>
      <c r="BJ432" s="8"/>
      <c r="BK432" s="8"/>
      <c r="BL432" s="8"/>
      <c r="BM432" s="8"/>
      <c r="BN432" s="8"/>
      <c r="BO432" s="8"/>
      <c r="BP432" s="8"/>
      <c r="BQ432" s="8"/>
      <c r="BR432" s="8"/>
      <c r="BS432" s="8"/>
      <c r="BT432" s="8"/>
      <c r="BU432" s="8"/>
      <c r="BV432" s="8"/>
      <c r="BW432" s="8"/>
      <c r="BX432" s="8"/>
      <c r="BY432" s="8"/>
      <c r="BZ432" s="8"/>
    </row>
    <row r="433" spans="1:78" ht="13" customHeight="1" x14ac:dyDescent="0.15">
      <c r="A433" s="8" t="s">
        <v>6189</v>
      </c>
      <c r="B433" s="8" t="s">
        <v>4679</v>
      </c>
      <c r="C433" s="11">
        <v>2015</v>
      </c>
      <c r="D433" s="8" t="s">
        <v>5872</v>
      </c>
      <c r="E433" s="8"/>
      <c r="F433" s="8" t="s">
        <v>5871</v>
      </c>
      <c r="G433" s="8" t="str" cm="1">
        <f t="array" ref="G433">LOWER(CleanCode(F433))</f>
        <v>sleepanddevelopmentadvancingtheoryandresearchiiisleepassessmentmethods</v>
      </c>
      <c r="H433" s="8"/>
      <c r="I433" s="8"/>
      <c r="J433" s="8" t="s">
        <v>5877</v>
      </c>
      <c r="K433" s="8"/>
      <c r="L433" s="8"/>
      <c r="M433" s="8" t="s">
        <v>5873</v>
      </c>
      <c r="N433" s="8" t="str">
        <f t="shared" si="6"/>
        <v>Monographs Of The Society For Research In Child Development</v>
      </c>
      <c r="O433" s="8" t="str">
        <f>"0037976X"</f>
        <v>0037976X</v>
      </c>
      <c r="P433" s="8"/>
      <c r="Q433" s="8"/>
      <c r="R433" s="8" t="str">
        <f>"20150301"</f>
        <v>20150301</v>
      </c>
      <c r="S433" s="8">
        <v>80</v>
      </c>
      <c r="T433" s="8">
        <v>1</v>
      </c>
      <c r="U433" s="8">
        <v>33</v>
      </c>
      <c r="V433" s="8"/>
      <c r="W433" s="8">
        <v>16</v>
      </c>
      <c r="X433" s="8"/>
      <c r="Y433" s="8"/>
      <c r="Z433" s="8"/>
      <c r="AA433" s="8"/>
      <c r="AB433" s="8"/>
      <c r="AC433" s="8"/>
      <c r="AD433" s="8" t="s">
        <v>5874</v>
      </c>
      <c r="AE433" s="8" t="s">
        <v>5875</v>
      </c>
      <c r="AF433" s="8"/>
      <c r="AG433" s="8" t="s">
        <v>4883</v>
      </c>
      <c r="AH433" s="8"/>
      <c r="AI433" s="8"/>
      <c r="AJ433" s="8" t="s">
        <v>5876</v>
      </c>
      <c r="AK433" s="8"/>
      <c r="AL433" s="8" t="s">
        <v>5878</v>
      </c>
      <c r="AM433" s="8"/>
      <c r="AN433" s="8"/>
      <c r="AO433" s="8"/>
      <c r="AP433" s="8"/>
      <c r="AQ433" s="8"/>
      <c r="AR433" s="8"/>
      <c r="AS433" s="8"/>
      <c r="AT433" s="8"/>
      <c r="AU433" s="8"/>
      <c r="AV433" s="8"/>
      <c r="AW433" s="8"/>
      <c r="AX433" s="8"/>
      <c r="AY433" s="8"/>
      <c r="AZ433" s="8"/>
      <c r="BA433" s="8"/>
      <c r="BB433" s="8"/>
      <c r="BC433" s="8"/>
      <c r="BD433" s="8"/>
      <c r="BE433" s="8"/>
      <c r="BF433" s="8"/>
      <c r="BG433" s="8"/>
      <c r="BH433" s="8"/>
      <c r="BI433" s="8"/>
      <c r="BJ433" s="8"/>
      <c r="BK433" s="8"/>
      <c r="BL433" s="8"/>
      <c r="BM433" s="8"/>
      <c r="BN433" s="8"/>
      <c r="BO433" s="8"/>
      <c r="BP433" s="8"/>
      <c r="BQ433" s="8"/>
      <c r="BR433" s="8"/>
      <c r="BS433" s="8"/>
      <c r="BT433" s="8"/>
      <c r="BU433" s="8"/>
      <c r="BV433" s="8"/>
      <c r="BW433" s="8"/>
      <c r="BX433" s="8"/>
      <c r="BY433" s="8"/>
      <c r="BZ433" s="8"/>
    </row>
    <row r="434" spans="1:78" ht="13" customHeight="1" x14ac:dyDescent="0.15">
      <c r="A434" s="8" t="s">
        <v>6189</v>
      </c>
      <c r="B434" s="8" t="s">
        <v>4679</v>
      </c>
      <c r="C434" s="11">
        <v>1994</v>
      </c>
      <c r="D434" s="8" t="s">
        <v>5880</v>
      </c>
      <c r="E434" s="8"/>
      <c r="F434" s="8" t="s">
        <v>5879</v>
      </c>
      <c r="G434" s="8" t="str" cm="1">
        <f t="array" ref="G434">LOWER(CleanCode(F434))</f>
        <v>socialidentitiesaframeworkforstudyingtheadaptationsofimmigrantsandethnicstheadaptationsofmexicansintheunitedstates</v>
      </c>
      <c r="H434" s="8"/>
      <c r="I434" s="8"/>
      <c r="J434" s="8" t="s">
        <v>5885</v>
      </c>
      <c r="K434" s="8"/>
      <c r="L434" s="8"/>
      <c r="M434" s="8" t="s">
        <v>5881</v>
      </c>
      <c r="N434" s="8" t="str">
        <f t="shared" si="6"/>
        <v>Social Problems</v>
      </c>
      <c r="O434" s="8" t="str">
        <f>"00377791"</f>
        <v>00377791</v>
      </c>
      <c r="P434" s="8"/>
      <c r="Q434" s="8"/>
      <c r="R434" s="8" t="str">
        <f>"19940201"</f>
        <v>19940201</v>
      </c>
      <c r="S434" s="8">
        <v>41</v>
      </c>
      <c r="T434" s="8">
        <v>1</v>
      </c>
      <c r="U434" s="8">
        <v>129</v>
      </c>
      <c r="V434" s="8"/>
      <c r="W434" s="8">
        <v>23</v>
      </c>
      <c r="X434" s="8"/>
      <c r="Y434" s="8"/>
      <c r="Z434" s="8"/>
      <c r="AA434" s="8"/>
      <c r="AB434" s="8"/>
      <c r="AC434" s="8"/>
      <c r="AD434" s="8" t="s">
        <v>5882</v>
      </c>
      <c r="AE434" s="8" t="s">
        <v>5883</v>
      </c>
      <c r="AF434" s="8"/>
      <c r="AG434" s="8" t="s">
        <v>5446</v>
      </c>
      <c r="AH434" s="8"/>
      <c r="AI434" s="8"/>
      <c r="AJ434" s="8" t="s">
        <v>5884</v>
      </c>
      <c r="AK434" s="8"/>
      <c r="AL434" s="8" t="s">
        <v>5886</v>
      </c>
      <c r="AM434" s="8"/>
      <c r="AN434" s="8"/>
      <c r="AO434" s="8"/>
      <c r="AP434" s="8"/>
      <c r="AQ434" s="8"/>
      <c r="AR434" s="8"/>
      <c r="AS434" s="8"/>
      <c r="AT434" s="8"/>
      <c r="AU434" s="8"/>
      <c r="AV434" s="8"/>
      <c r="AW434" s="8"/>
      <c r="AX434" s="8"/>
      <c r="AY434" s="8"/>
      <c r="AZ434" s="8"/>
      <c r="BA434" s="8"/>
      <c r="BB434" s="8"/>
      <c r="BC434" s="8"/>
      <c r="BD434" s="8"/>
      <c r="BE434" s="8"/>
      <c r="BF434" s="8"/>
      <c r="BG434" s="8"/>
      <c r="BH434" s="8"/>
      <c r="BI434" s="8"/>
      <c r="BJ434" s="8"/>
      <c r="BK434" s="8"/>
      <c r="BL434" s="8"/>
      <c r="BM434" s="8"/>
      <c r="BN434" s="8"/>
      <c r="BO434" s="8"/>
      <c r="BP434" s="8"/>
      <c r="BQ434" s="8"/>
      <c r="BR434" s="8"/>
      <c r="BS434" s="8"/>
      <c r="BT434" s="8"/>
      <c r="BU434" s="8"/>
      <c r="BV434" s="8"/>
      <c r="BW434" s="8"/>
      <c r="BX434" s="8"/>
      <c r="BY434" s="8"/>
      <c r="BZ434" s="8"/>
    </row>
    <row r="435" spans="1:78" ht="13" customHeight="1" x14ac:dyDescent="0.15">
      <c r="A435" s="8" t="s">
        <v>6189</v>
      </c>
      <c r="B435" s="8" t="s">
        <v>4679</v>
      </c>
      <c r="C435" s="11">
        <v>2014</v>
      </c>
      <c r="D435" s="8" t="s">
        <v>3022</v>
      </c>
      <c r="E435" s="8"/>
      <c r="F435" s="8" t="s">
        <v>5887</v>
      </c>
      <c r="G435" s="8" t="str" cm="1">
        <f t="array" ref="G435">LOWER(CleanCode(F435))</f>
        <v>socialmarkersofacculturationanewresearchframeworkoninterculturaladaptation</v>
      </c>
      <c r="H435" s="8"/>
      <c r="I435" s="8"/>
      <c r="J435" s="8" t="s">
        <v>5890</v>
      </c>
      <c r="K435" s="8"/>
      <c r="L435" s="8"/>
      <c r="M435" s="8" t="s">
        <v>4733</v>
      </c>
      <c r="N435" s="8" t="str">
        <f t="shared" si="6"/>
        <v>International Journal Of Intercultural Relations</v>
      </c>
      <c r="O435" s="8" t="str">
        <f>"01471767"</f>
        <v>01471767</v>
      </c>
      <c r="P435" s="8"/>
      <c r="Q435" s="8"/>
      <c r="R435" s="8" t="str">
        <f>"20140101"</f>
        <v>20140101</v>
      </c>
      <c r="S435" s="8">
        <v>38</v>
      </c>
      <c r="T435" s="8"/>
      <c r="U435" s="8">
        <v>120</v>
      </c>
      <c r="V435" s="8"/>
      <c r="W435" s="8">
        <v>13</v>
      </c>
      <c r="X435" s="8"/>
      <c r="Y435" s="8"/>
      <c r="Z435" s="8"/>
      <c r="AA435" s="8"/>
      <c r="AB435" s="8"/>
      <c r="AC435" s="8"/>
      <c r="AD435" s="8" t="s">
        <v>5888</v>
      </c>
      <c r="AE435" s="8" t="s">
        <v>3032</v>
      </c>
      <c r="AF435" s="8"/>
      <c r="AG435" s="8" t="s">
        <v>4735</v>
      </c>
      <c r="AH435" s="8"/>
      <c r="AI435" s="8"/>
      <c r="AJ435" s="8" t="s">
        <v>5889</v>
      </c>
      <c r="AK435" s="8"/>
      <c r="AL435" s="8" t="s">
        <v>5891</v>
      </c>
      <c r="AM435" s="8"/>
      <c r="AN435" s="8"/>
      <c r="AO435" s="8"/>
      <c r="AP435" s="8"/>
      <c r="AQ435" s="8"/>
      <c r="AR435" s="8"/>
      <c r="AS435" s="8"/>
      <c r="AT435" s="8"/>
      <c r="AU435" s="8"/>
      <c r="AV435" s="8"/>
      <c r="AW435" s="8"/>
      <c r="AX435" s="8"/>
      <c r="AY435" s="8"/>
      <c r="AZ435" s="8"/>
      <c r="BA435" s="8"/>
      <c r="BB435" s="8"/>
      <c r="BC435" s="8"/>
      <c r="BD435" s="8"/>
      <c r="BE435" s="8"/>
      <c r="BF435" s="8"/>
      <c r="BG435" s="8"/>
      <c r="BH435" s="8"/>
      <c r="BI435" s="8"/>
      <c r="BJ435" s="8"/>
      <c r="BK435" s="8"/>
      <c r="BL435" s="8"/>
      <c r="BM435" s="8"/>
      <c r="BN435" s="8"/>
      <c r="BO435" s="8"/>
      <c r="BP435" s="8"/>
      <c r="BQ435" s="8"/>
      <c r="BR435" s="8"/>
      <c r="BS435" s="8"/>
      <c r="BT435" s="8"/>
      <c r="BU435" s="8"/>
      <c r="BV435" s="8"/>
      <c r="BW435" s="8"/>
      <c r="BX435" s="8"/>
      <c r="BY435" s="8"/>
      <c r="BZ435" s="8"/>
    </row>
    <row r="436" spans="1:78" ht="13" customHeight="1" x14ac:dyDescent="0.15">
      <c r="A436" s="8" t="s">
        <v>6189</v>
      </c>
      <c r="B436" s="8" t="s">
        <v>4679</v>
      </c>
      <c r="C436" s="11">
        <v>2007</v>
      </c>
      <c r="D436" s="8" t="s">
        <v>5893</v>
      </c>
      <c r="E436" s="8"/>
      <c r="F436" s="8" t="s">
        <v>5892</v>
      </c>
      <c r="G436" s="8" t="str" cm="1">
        <f t="array" ref="G436">LOWER(CleanCode(F436))</f>
        <v>socialrepresentationssocialidentityandintergroupacculturationtheoriesanintegrativemodelofadolescentimmigrantidentityconstruction</v>
      </c>
      <c r="H436" s="8"/>
      <c r="I436" s="8"/>
      <c r="J436" s="8" t="s">
        <v>5898</v>
      </c>
      <c r="K436" s="8"/>
      <c r="L436" s="8"/>
      <c r="M436" s="8" t="s">
        <v>5894</v>
      </c>
      <c r="N436" s="8" t="str">
        <f t="shared" si="6"/>
        <v>Megamot</v>
      </c>
      <c r="O436" s="8" t="str">
        <f>"00258679"</f>
        <v>00258679</v>
      </c>
      <c r="P436" s="8"/>
      <c r="Q436" s="8"/>
      <c r="R436" s="8" t="str">
        <f>"20070601"</f>
        <v>20070601</v>
      </c>
      <c r="S436" s="8">
        <v>45</v>
      </c>
      <c r="T436" s="8">
        <v>1</v>
      </c>
      <c r="U436" s="8">
        <v>24</v>
      </c>
      <c r="V436" s="8"/>
      <c r="W436" s="8">
        <v>29</v>
      </c>
      <c r="X436" s="8"/>
      <c r="Y436" s="8"/>
      <c r="Z436" s="8"/>
      <c r="AA436" s="8"/>
      <c r="AB436" s="8"/>
      <c r="AC436" s="8"/>
      <c r="AD436" s="8" t="s">
        <v>5895</v>
      </c>
      <c r="AE436" s="8"/>
      <c r="AF436" s="8"/>
      <c r="AG436" s="8" t="s">
        <v>5896</v>
      </c>
      <c r="AH436" s="8"/>
      <c r="AI436" s="8"/>
      <c r="AJ436" s="8" t="s">
        <v>5897</v>
      </c>
      <c r="AK436" s="8"/>
      <c r="AL436" s="8" t="s">
        <v>5899</v>
      </c>
      <c r="AM436" s="8"/>
      <c r="AN436" s="8"/>
      <c r="AO436" s="8"/>
      <c r="AP436" s="8"/>
      <c r="AQ436" s="8"/>
      <c r="AR436" s="8"/>
      <c r="AS436" s="8"/>
      <c r="AT436" s="8"/>
      <c r="AU436" s="8"/>
      <c r="AV436" s="8"/>
      <c r="AW436" s="8"/>
      <c r="AX436" s="8"/>
      <c r="AY436" s="8"/>
      <c r="AZ436" s="8"/>
      <c r="BA436" s="8"/>
      <c r="BB436" s="8"/>
      <c r="BC436" s="8"/>
      <c r="BD436" s="8"/>
      <c r="BE436" s="8"/>
      <c r="BF436" s="8"/>
      <c r="BG436" s="8"/>
      <c r="BH436" s="8"/>
      <c r="BI436" s="8"/>
      <c r="BJ436" s="8"/>
      <c r="BK436" s="8"/>
      <c r="BL436" s="8"/>
      <c r="BM436" s="8"/>
      <c r="BN436" s="8"/>
      <c r="BO436" s="8"/>
      <c r="BP436" s="8"/>
      <c r="BQ436" s="8"/>
      <c r="BR436" s="8"/>
      <c r="BS436" s="8"/>
      <c r="BT436" s="8"/>
      <c r="BU436" s="8"/>
      <c r="BV436" s="8"/>
      <c r="BW436" s="8"/>
      <c r="BX436" s="8"/>
      <c r="BY436" s="8"/>
      <c r="BZ436" s="8"/>
    </row>
    <row r="437" spans="1:78" ht="13" customHeight="1" x14ac:dyDescent="0.15">
      <c r="A437" s="8" t="s">
        <v>6189</v>
      </c>
      <c r="B437" s="8" t="s">
        <v>4679</v>
      </c>
      <c r="C437" s="11">
        <v>2019</v>
      </c>
      <c r="D437" s="8" t="s">
        <v>5901</v>
      </c>
      <c r="E437" s="8"/>
      <c r="F437" s="8" t="s">
        <v>5900</v>
      </c>
      <c r="G437" s="8" t="str" cm="1">
        <f t="array" ref="G437">LOWER(CleanCode(F437))</f>
        <v>socialdevelopmentalperspectiveonintergroupattitudestowardsimmigrantsandrefugeesinchildhoodandadolescencearoadmapfromtheorytopracticeforaninclusivesociety</v>
      </c>
      <c r="H437" s="8"/>
      <c r="I437" s="8"/>
      <c r="J437" s="8" t="s">
        <v>5904</v>
      </c>
      <c r="K437" s="8"/>
      <c r="L437" s="8"/>
      <c r="M437" s="8" t="s">
        <v>4825</v>
      </c>
      <c r="N437" s="8" t="str">
        <f t="shared" si="6"/>
        <v>Human Development</v>
      </c>
      <c r="O437" s="8" t="str">
        <f>"0018716X"</f>
        <v>0018716X</v>
      </c>
      <c r="P437" s="8"/>
      <c r="Q437" s="8"/>
      <c r="R437" s="8" t="str">
        <f>"20190101"</f>
        <v>20190101</v>
      </c>
      <c r="S437" s="8">
        <v>63</v>
      </c>
      <c r="T437" s="8">
        <v>2</v>
      </c>
      <c r="U437" s="8">
        <v>90</v>
      </c>
      <c r="V437" s="8"/>
      <c r="W437" s="8">
        <v>22</v>
      </c>
      <c r="X437" s="8"/>
      <c r="Y437" s="8"/>
      <c r="Z437" s="8"/>
      <c r="AA437" s="8"/>
      <c r="AB437" s="8"/>
      <c r="AC437" s="8"/>
      <c r="AD437" s="8" t="s">
        <v>5902</v>
      </c>
      <c r="AE437" s="8" t="s">
        <v>732</v>
      </c>
      <c r="AF437" s="8"/>
      <c r="AG437" s="8" t="s">
        <v>4827</v>
      </c>
      <c r="AH437" s="8"/>
      <c r="AI437" s="8"/>
      <c r="AJ437" s="8" t="s">
        <v>5903</v>
      </c>
      <c r="AK437" s="8"/>
      <c r="AL437" s="8" t="s">
        <v>5905</v>
      </c>
      <c r="AM437" s="8"/>
      <c r="AN437" s="8"/>
      <c r="AO437" s="8"/>
      <c r="AP437" s="8"/>
      <c r="AQ437" s="8"/>
      <c r="AR437" s="8"/>
      <c r="AS437" s="8"/>
      <c r="AT437" s="8"/>
      <c r="AU437" s="8"/>
      <c r="AV437" s="8"/>
      <c r="AW437" s="8"/>
      <c r="AX437" s="8"/>
      <c r="AY437" s="8"/>
      <c r="AZ437" s="8"/>
      <c r="BA437" s="8"/>
      <c r="BB437" s="8"/>
      <c r="BC437" s="8"/>
      <c r="BD437" s="8"/>
      <c r="BE437" s="8"/>
      <c r="BF437" s="8"/>
      <c r="BG437" s="8"/>
      <c r="BH437" s="8"/>
      <c r="BI437" s="8"/>
      <c r="BJ437" s="8"/>
      <c r="BK437" s="8"/>
      <c r="BL437" s="8"/>
      <c r="BM437" s="8"/>
      <c r="BN437" s="8"/>
      <c r="BO437" s="8"/>
      <c r="BP437" s="8"/>
      <c r="BQ437" s="8"/>
      <c r="BR437" s="8"/>
      <c r="BS437" s="8"/>
      <c r="BT437" s="8"/>
      <c r="BU437" s="8"/>
      <c r="BV437" s="8"/>
      <c r="BW437" s="8"/>
      <c r="BX437" s="8"/>
      <c r="BY437" s="8"/>
      <c r="BZ437" s="8"/>
    </row>
    <row r="438" spans="1:78" ht="13" customHeight="1" x14ac:dyDescent="0.15">
      <c r="A438" s="8" t="s">
        <v>6189</v>
      </c>
      <c r="B438" s="8" t="s">
        <v>4679</v>
      </c>
      <c r="C438" s="11">
        <v>2009</v>
      </c>
      <c r="D438" s="8" t="s">
        <v>5907</v>
      </c>
      <c r="E438" s="8"/>
      <c r="F438" s="8" t="s">
        <v>5906</v>
      </c>
      <c r="G438" s="8" t="str" cm="1">
        <f t="array" ref="G438">LOWER(CleanCode(F438))</f>
        <v>sociologicaltheoriesofimmigrationpathwaystointegrationforusimmigrants</v>
      </c>
      <c r="H438" s="8"/>
      <c r="I438" s="8"/>
      <c r="J438" s="8" t="s">
        <v>5911</v>
      </c>
      <c r="K438" s="8"/>
      <c r="L438" s="8"/>
      <c r="M438" s="8" t="s">
        <v>5737</v>
      </c>
      <c r="N438" s="8" t="str">
        <f t="shared" si="6"/>
        <v>Journal Of Human Behavior In The Social Environment</v>
      </c>
      <c r="O438" s="8" t="str">
        <f>"10911359"</f>
        <v>10911359</v>
      </c>
      <c r="P438" s="8"/>
      <c r="Q438" s="8"/>
      <c r="R438" s="8" t="str">
        <f>"20090901"</f>
        <v>20090901</v>
      </c>
      <c r="S438" s="8">
        <v>19</v>
      </c>
      <c r="T438" s="8">
        <v>6</v>
      </c>
      <c r="U438" s="8">
        <v>730</v>
      </c>
      <c r="V438" s="8"/>
      <c r="W438" s="8">
        <v>15</v>
      </c>
      <c r="X438" s="8"/>
      <c r="Y438" s="8"/>
      <c r="Z438" s="8"/>
      <c r="AA438" s="8"/>
      <c r="AB438" s="8"/>
      <c r="AC438" s="8"/>
      <c r="AD438" s="8" t="s">
        <v>5908</v>
      </c>
      <c r="AE438" s="8" t="s">
        <v>5909</v>
      </c>
      <c r="AF438" s="8"/>
      <c r="AG438" s="8" t="s">
        <v>4728</v>
      </c>
      <c r="AH438" s="8"/>
      <c r="AI438" s="8"/>
      <c r="AJ438" s="8" t="s">
        <v>5910</v>
      </c>
      <c r="AK438" s="8"/>
      <c r="AL438" s="8" t="s">
        <v>5912</v>
      </c>
      <c r="AM438" s="8"/>
      <c r="AN438" s="8"/>
      <c r="AO438" s="8"/>
      <c r="AP438" s="8"/>
      <c r="AQ438" s="8"/>
      <c r="AR438" s="8"/>
      <c r="AS438" s="8"/>
      <c r="AT438" s="8"/>
      <c r="AU438" s="8"/>
      <c r="AV438" s="8"/>
      <c r="AW438" s="8"/>
      <c r="AX438" s="8"/>
      <c r="AY438" s="8"/>
      <c r="AZ438" s="8"/>
      <c r="BA438" s="8"/>
      <c r="BB438" s="8"/>
      <c r="BC438" s="8"/>
      <c r="BD438" s="8"/>
      <c r="BE438" s="8"/>
      <c r="BF438" s="8"/>
      <c r="BG438" s="8"/>
      <c r="BH438" s="8"/>
      <c r="BI438" s="8"/>
      <c r="BJ438" s="8"/>
      <c r="BK438" s="8"/>
      <c r="BL438" s="8"/>
      <c r="BM438" s="8"/>
      <c r="BN438" s="8"/>
      <c r="BO438" s="8"/>
      <c r="BP438" s="8"/>
      <c r="BQ438" s="8"/>
      <c r="BR438" s="8"/>
      <c r="BS438" s="8"/>
      <c r="BT438" s="8"/>
      <c r="BU438" s="8"/>
      <c r="BV438" s="8"/>
      <c r="BW438" s="8"/>
      <c r="BX438" s="8"/>
      <c r="BY438" s="8"/>
      <c r="BZ438" s="8"/>
    </row>
    <row r="439" spans="1:78" ht="13" customHeight="1" x14ac:dyDescent="0.15">
      <c r="A439" s="8" t="s">
        <v>6189</v>
      </c>
      <c r="B439" s="8" t="s">
        <v>4671</v>
      </c>
      <c r="C439" s="11">
        <v>2021</v>
      </c>
      <c r="D439" s="8" t="s">
        <v>5914</v>
      </c>
      <c r="E439" s="8"/>
      <c r="F439" s="8" t="s">
        <v>5913</v>
      </c>
      <c r="G439" s="8" t="str" cm="1">
        <f t="array" ref="G439">LOWER(CleanCode(F439))</f>
        <v>sociostructuralbarriersproblemdrinkingbehaviorsandintimatepartnerviolencewithinabhutanesenepalirefugeecommunityaqualitativeexaminationusingageneralstraintheoryframework</v>
      </c>
      <c r="H439" s="8"/>
      <c r="I439" s="8"/>
      <c r="J439" s="8" t="s">
        <v>5917</v>
      </c>
      <c r="K439" s="8"/>
      <c r="L439" s="8"/>
      <c r="M439" s="8" t="s">
        <v>4667</v>
      </c>
      <c r="N439" s="8" t="str">
        <f t="shared" si="6"/>
        <v>Dissertation Abstracts International: Section B: The Sciences And Engineering</v>
      </c>
      <c r="O439" s="8" t="str">
        <f>"04194217"</f>
        <v>04194217</v>
      </c>
      <c r="P439" s="8"/>
      <c r="Q439" s="8" t="str">
        <f>"9798662503137"</f>
        <v>9798662503137</v>
      </c>
      <c r="R439" s="8" t="str">
        <f>"20210101"</f>
        <v>20210101</v>
      </c>
      <c r="S439" s="8">
        <v>82</v>
      </c>
      <c r="T439" s="8" t="s">
        <v>5664</v>
      </c>
      <c r="U439" s="8"/>
      <c r="V439" s="8"/>
      <c r="W439" s="8"/>
      <c r="X439" s="8"/>
      <c r="Y439" s="8"/>
      <c r="Z439" s="8"/>
      <c r="AA439" s="8"/>
      <c r="AB439" s="8"/>
      <c r="AC439" s="8"/>
      <c r="AD439" s="8" t="s">
        <v>5915</v>
      </c>
      <c r="AE439" s="8"/>
      <c r="AF439" s="8"/>
      <c r="AG439" s="8" t="s">
        <v>4670</v>
      </c>
      <c r="AH439" s="8"/>
      <c r="AI439" s="8"/>
      <c r="AJ439" s="8" t="s">
        <v>5916</v>
      </c>
      <c r="AK439" s="8"/>
      <c r="AL439" s="8" t="s">
        <v>5918</v>
      </c>
      <c r="AM439" s="8"/>
      <c r="AN439" s="8"/>
      <c r="AO439" s="8"/>
      <c r="AP439" s="8"/>
      <c r="AQ439" s="8"/>
      <c r="AR439" s="8"/>
      <c r="AS439" s="8"/>
      <c r="AT439" s="8"/>
      <c r="AU439" s="8"/>
      <c r="AV439" s="8"/>
      <c r="AW439" s="8"/>
      <c r="AX439" s="8"/>
      <c r="AY439" s="8"/>
      <c r="AZ439" s="8"/>
      <c r="BA439" s="8"/>
      <c r="BB439" s="8"/>
      <c r="BC439" s="8"/>
      <c r="BD439" s="8"/>
      <c r="BE439" s="8"/>
      <c r="BF439" s="8"/>
      <c r="BG439" s="8"/>
      <c r="BH439" s="8"/>
      <c r="BI439" s="8"/>
      <c r="BJ439" s="8"/>
      <c r="BK439" s="8"/>
      <c r="BL439" s="8"/>
      <c r="BM439" s="8"/>
      <c r="BN439" s="8"/>
      <c r="BO439" s="8"/>
      <c r="BP439" s="8"/>
      <c r="BQ439" s="8"/>
      <c r="BR439" s="8"/>
      <c r="BS439" s="8"/>
      <c r="BT439" s="8"/>
      <c r="BU439" s="8"/>
      <c r="BV439" s="8"/>
      <c r="BW439" s="8"/>
      <c r="BX439" s="8"/>
      <c r="BY439" s="8"/>
      <c r="BZ439" s="8"/>
    </row>
    <row r="440" spans="1:78" ht="13" customHeight="1" x14ac:dyDescent="0.15">
      <c r="A440" s="8" t="s">
        <v>6189</v>
      </c>
      <c r="B440" s="8" t="s">
        <v>4679</v>
      </c>
      <c r="C440" s="11">
        <v>1968</v>
      </c>
      <c r="D440" s="8" t="s">
        <v>5920</v>
      </c>
      <c r="E440" s="8"/>
      <c r="F440" s="8" t="s">
        <v>5919</v>
      </c>
      <c r="G440" s="8" t="str" cm="1">
        <f t="array" ref="G440">LOWER(CleanCode(F440))</f>
        <v>sometheoreticalproblemsinthestudyofyouth</v>
      </c>
      <c r="H440" s="8"/>
      <c r="I440" s="8"/>
      <c r="J440" s="8" t="s">
        <v>5926</v>
      </c>
      <c r="K440" s="8"/>
      <c r="L440" s="8"/>
      <c r="M440" s="8" t="s">
        <v>5921</v>
      </c>
      <c r="N440" s="8" t="str">
        <f t="shared" si="6"/>
        <v>The Sociological Review</v>
      </c>
      <c r="O440" s="8" t="str">
        <f>"00380261"</f>
        <v>00380261</v>
      </c>
      <c r="P440" s="8"/>
      <c r="Q440" s="8"/>
      <c r="R440" s="8" t="str">
        <f>"19681101"</f>
        <v>19681101</v>
      </c>
      <c r="S440" s="8">
        <v>16</v>
      </c>
      <c r="T440" s="8">
        <v>3</v>
      </c>
      <c r="U440" s="8">
        <v>319</v>
      </c>
      <c r="V440" s="8"/>
      <c r="W440" s="8">
        <v>13</v>
      </c>
      <c r="X440" s="8"/>
      <c r="Y440" s="8"/>
      <c r="Z440" s="8"/>
      <c r="AA440" s="8"/>
      <c r="AB440" s="8"/>
      <c r="AC440" s="8"/>
      <c r="AD440" s="8" t="s">
        <v>5922</v>
      </c>
      <c r="AE440" s="8" t="s">
        <v>5923</v>
      </c>
      <c r="AF440" s="8"/>
      <c r="AG440" s="8" t="s">
        <v>5924</v>
      </c>
      <c r="AH440" s="8"/>
      <c r="AI440" s="8"/>
      <c r="AJ440" s="8" t="s">
        <v>5925</v>
      </c>
      <c r="AK440" s="8"/>
      <c r="AL440" s="8" t="s">
        <v>5927</v>
      </c>
      <c r="AM440" s="8"/>
      <c r="AN440" s="8"/>
      <c r="AO440" s="8"/>
      <c r="AP440" s="8"/>
      <c r="AQ440" s="8"/>
      <c r="AR440" s="8"/>
      <c r="AS440" s="8"/>
      <c r="AT440" s="8"/>
      <c r="AU440" s="8"/>
      <c r="AV440" s="8"/>
      <c r="AW440" s="8"/>
      <c r="AX440" s="8"/>
      <c r="AY440" s="8"/>
      <c r="AZ440" s="8"/>
      <c r="BA440" s="8"/>
      <c r="BB440" s="8"/>
      <c r="BC440" s="8"/>
      <c r="BD440" s="8"/>
      <c r="BE440" s="8"/>
      <c r="BF440" s="8"/>
      <c r="BG440" s="8"/>
      <c r="BH440" s="8"/>
      <c r="BI440" s="8"/>
      <c r="BJ440" s="8"/>
      <c r="BK440" s="8"/>
      <c r="BL440" s="8"/>
      <c r="BM440" s="8"/>
      <c r="BN440" s="8"/>
      <c r="BO440" s="8"/>
      <c r="BP440" s="8"/>
      <c r="BQ440" s="8"/>
      <c r="BR440" s="8"/>
      <c r="BS440" s="8"/>
      <c r="BT440" s="8"/>
      <c r="BU440" s="8"/>
      <c r="BV440" s="8"/>
      <c r="BW440" s="8"/>
      <c r="BX440" s="8"/>
      <c r="BY440" s="8"/>
      <c r="BZ440" s="8"/>
    </row>
    <row r="441" spans="1:78" ht="13" customHeight="1" x14ac:dyDescent="0.15">
      <c r="A441" s="8" t="s">
        <v>6189</v>
      </c>
      <c r="B441" s="8" t="s">
        <v>4773</v>
      </c>
      <c r="C441" s="11">
        <v>1998</v>
      </c>
      <c r="D441" s="8" t="s">
        <v>5929</v>
      </c>
      <c r="E441" s="8"/>
      <c r="F441" s="8" t="s">
        <v>5928</v>
      </c>
      <c r="G441" s="8" t="str" cm="1">
        <f t="array" ref="G441">LOWER(CleanCode(F441))</f>
        <v>strategiesforhealtheducationtheoreticalmodels</v>
      </c>
      <c r="H441" s="8"/>
      <c r="I441" s="8"/>
      <c r="J441" s="8" t="s">
        <v>5935</v>
      </c>
      <c r="K441" s="8"/>
      <c r="L441" s="8"/>
      <c r="M441" s="8" t="s">
        <v>5930</v>
      </c>
      <c r="N441" s="8" t="str">
        <f t="shared" si="6"/>
        <v>Handbook Of Immigrant Health.</v>
      </c>
      <c r="O441" s="8"/>
      <c r="P441" s="8"/>
      <c r="Q441" s="8" t="str">
        <f>"0306459590"</f>
        <v>0306459590</v>
      </c>
      <c r="R441" s="8" t="str">
        <f>"19980101"</f>
        <v>19980101</v>
      </c>
      <c r="S441" s="8"/>
      <c r="T441" s="8"/>
      <c r="U441" s="8">
        <v>567</v>
      </c>
      <c r="V441" s="8"/>
      <c r="W441" s="8">
        <v>19</v>
      </c>
      <c r="X441" s="8"/>
      <c r="Y441" s="8"/>
      <c r="Z441" s="8"/>
      <c r="AA441" s="8"/>
      <c r="AB441" s="8"/>
      <c r="AC441" s="8"/>
      <c r="AD441" s="8" t="s">
        <v>5931</v>
      </c>
      <c r="AE441" s="8" t="s">
        <v>5932</v>
      </c>
      <c r="AF441" s="8"/>
      <c r="AG441" s="8" t="s">
        <v>5933</v>
      </c>
      <c r="AH441" s="8"/>
      <c r="AI441" s="8"/>
      <c r="AJ441" s="8" t="s">
        <v>5934</v>
      </c>
      <c r="AK441" s="8"/>
      <c r="AL441" s="8" t="s">
        <v>5936</v>
      </c>
      <c r="AM441" s="8"/>
      <c r="AN441" s="8"/>
      <c r="AO441" s="8"/>
      <c r="AP441" s="8"/>
      <c r="AQ441" s="8"/>
      <c r="AR441" s="8"/>
      <c r="AS441" s="8"/>
      <c r="AT441" s="8"/>
      <c r="AU441" s="8"/>
      <c r="AV441" s="8"/>
      <c r="AW441" s="8"/>
      <c r="AX441" s="8"/>
      <c r="AY441" s="8"/>
      <c r="AZ441" s="8"/>
      <c r="BA441" s="8"/>
      <c r="BB441" s="8"/>
      <c r="BC441" s="8"/>
      <c r="BD441" s="8"/>
      <c r="BE441" s="8"/>
      <c r="BF441" s="8"/>
      <c r="BG441" s="8"/>
      <c r="BH441" s="8"/>
      <c r="BI441" s="8"/>
      <c r="BJ441" s="8"/>
      <c r="BK441" s="8"/>
      <c r="BL441" s="8"/>
      <c r="BM441" s="8"/>
      <c r="BN441" s="8"/>
      <c r="BO441" s="8"/>
      <c r="BP441" s="8"/>
      <c r="BQ441" s="8"/>
      <c r="BR441" s="8"/>
      <c r="BS441" s="8"/>
      <c r="BT441" s="8"/>
      <c r="BU441" s="8"/>
      <c r="BV441" s="8"/>
      <c r="BW441" s="8"/>
      <c r="BX441" s="8"/>
      <c r="BY441" s="8"/>
      <c r="BZ441" s="8"/>
    </row>
    <row r="442" spans="1:78" ht="13" customHeight="1" x14ac:dyDescent="0.15">
      <c r="A442" s="8" t="s">
        <v>6189</v>
      </c>
      <c r="B442" s="8" t="s">
        <v>4679</v>
      </c>
      <c r="C442" s="11">
        <v>2010</v>
      </c>
      <c r="D442" s="8" t="s">
        <v>5938</v>
      </c>
      <c r="E442" s="8"/>
      <c r="F442" s="8" t="s">
        <v>5937</v>
      </c>
      <c r="G442" s="8" t="str" cm="1">
        <f t="array" ref="G442">LOWER(CleanCode(F442))</f>
        <v>stressandcopingstrategiesinthelivesofrecentimmigrantsagroundedtheorymodel</v>
      </c>
      <c r="H442" s="8"/>
      <c r="I442" s="8"/>
      <c r="J442" s="8" t="s">
        <v>5942</v>
      </c>
      <c r="K442" s="8"/>
      <c r="L442" s="8"/>
      <c r="M442" s="8" t="s">
        <v>5730</v>
      </c>
      <c r="N442" s="8" t="str">
        <f t="shared" si="6"/>
        <v>International Journal For The Advancement Of Counselling</v>
      </c>
      <c r="O442" s="8" t="str">
        <f>"01650653"</f>
        <v>01650653</v>
      </c>
      <c r="P442" s="8"/>
      <c r="Q442" s="8"/>
      <c r="R442" s="8" t="str">
        <f>"20101201"</f>
        <v>20101201</v>
      </c>
      <c r="S442" s="8">
        <v>32</v>
      </c>
      <c r="T442" s="8">
        <v>4</v>
      </c>
      <c r="U442" s="8">
        <v>256</v>
      </c>
      <c r="V442" s="8"/>
      <c r="W442" s="8">
        <v>18</v>
      </c>
      <c r="X442" s="8"/>
      <c r="Y442" s="8"/>
      <c r="Z442" s="8"/>
      <c r="AA442" s="8"/>
      <c r="AB442" s="8"/>
      <c r="AC442" s="8"/>
      <c r="AD442" s="8" t="s">
        <v>5939</v>
      </c>
      <c r="AE442" s="8" t="s">
        <v>5940</v>
      </c>
      <c r="AF442" s="8"/>
      <c r="AG442" s="8" t="s">
        <v>4696</v>
      </c>
      <c r="AH442" s="8"/>
      <c r="AI442" s="8"/>
      <c r="AJ442" s="8" t="s">
        <v>5941</v>
      </c>
      <c r="AK442" s="8"/>
      <c r="AL442" s="8" t="s">
        <v>5943</v>
      </c>
      <c r="AM442" s="8"/>
      <c r="AN442" s="8"/>
      <c r="AO442" s="8"/>
      <c r="AP442" s="8"/>
      <c r="AQ442" s="8"/>
      <c r="AR442" s="8"/>
      <c r="AS442" s="8"/>
      <c r="AT442" s="8"/>
      <c r="AU442" s="8"/>
      <c r="AV442" s="8"/>
      <c r="AW442" s="8"/>
      <c r="AX442" s="8"/>
      <c r="AY442" s="8"/>
      <c r="AZ442" s="8"/>
      <c r="BA442" s="8"/>
      <c r="BB442" s="8"/>
      <c r="BC442" s="8"/>
      <c r="BD442" s="8"/>
      <c r="BE442" s="8"/>
      <c r="BF442" s="8"/>
      <c r="BG442" s="8"/>
      <c r="BH442" s="8"/>
      <c r="BI442" s="8"/>
      <c r="BJ442" s="8"/>
      <c r="BK442" s="8"/>
      <c r="BL442" s="8"/>
      <c r="BM442" s="8"/>
      <c r="BN442" s="8"/>
      <c r="BO442" s="8"/>
      <c r="BP442" s="8"/>
      <c r="BQ442" s="8"/>
      <c r="BR442" s="8"/>
      <c r="BS442" s="8"/>
      <c r="BT442" s="8"/>
      <c r="BU442" s="8"/>
      <c r="BV442" s="8"/>
      <c r="BW442" s="8"/>
      <c r="BX442" s="8"/>
      <c r="BY442" s="8"/>
      <c r="BZ442" s="8"/>
    </row>
    <row r="443" spans="1:78" ht="13" customHeight="1" x14ac:dyDescent="0.15">
      <c r="A443" s="8" t="s">
        <v>6189</v>
      </c>
      <c r="B443" s="8" t="s">
        <v>4679</v>
      </c>
      <c r="C443" s="11">
        <v>2012</v>
      </c>
      <c r="D443" s="8" t="s">
        <v>3180</v>
      </c>
      <c r="E443" s="8"/>
      <c r="F443" s="8" t="s">
        <v>5944</v>
      </c>
      <c r="G443" s="8" t="str" cm="1">
        <f t="array" ref="G443">LOWER(CleanCode(F443))</f>
        <v>testofaculturalframeworkofparentingwithlatinofamiliesofyoungchildren</v>
      </c>
      <c r="H443" s="8"/>
      <c r="I443" s="8"/>
      <c r="J443" s="8" t="s">
        <v>5947</v>
      </c>
      <c r="K443" s="8"/>
      <c r="L443" s="8"/>
      <c r="M443" s="8" t="s">
        <v>5704</v>
      </c>
      <c r="N443" s="8" t="str">
        <f t="shared" si="6"/>
        <v>Cultural Diversity And Ethnic Minority Psychology</v>
      </c>
      <c r="O443" s="8" t="str">
        <f>"10999809"</f>
        <v>10999809</v>
      </c>
      <c r="P443" s="8"/>
      <c r="Q443" s="8"/>
      <c r="R443" s="8" t="str">
        <f>"20120701"</f>
        <v>20120701</v>
      </c>
      <c r="S443" s="8">
        <v>18</v>
      </c>
      <c r="T443" s="8">
        <v>3</v>
      </c>
      <c r="U443" s="8">
        <v>285</v>
      </c>
      <c r="V443" s="8"/>
      <c r="W443" s="8">
        <v>12</v>
      </c>
      <c r="X443" s="8"/>
      <c r="Y443" s="8"/>
      <c r="Z443" s="8"/>
      <c r="AA443" s="8"/>
      <c r="AB443" s="8"/>
      <c r="AC443" s="8"/>
      <c r="AD443" s="8" t="s">
        <v>5945</v>
      </c>
      <c r="AE443" s="8" t="s">
        <v>3191</v>
      </c>
      <c r="AF443" s="8"/>
      <c r="AG443" s="8" t="s">
        <v>4711</v>
      </c>
      <c r="AH443" s="8"/>
      <c r="AI443" s="8"/>
      <c r="AJ443" s="8" t="s">
        <v>5946</v>
      </c>
      <c r="AK443" s="8"/>
      <c r="AL443" s="8" t="s">
        <v>5948</v>
      </c>
      <c r="AM443" s="8"/>
      <c r="AN443" s="8"/>
      <c r="AO443" s="8"/>
      <c r="AP443" s="8"/>
      <c r="AQ443" s="8"/>
      <c r="AR443" s="8"/>
      <c r="AS443" s="8"/>
      <c r="AT443" s="8"/>
      <c r="AU443" s="8"/>
      <c r="AV443" s="8"/>
      <c r="AW443" s="8"/>
      <c r="AX443" s="8"/>
      <c r="AY443" s="8"/>
      <c r="AZ443" s="8"/>
      <c r="BA443" s="8"/>
      <c r="BB443" s="8"/>
      <c r="BC443" s="8"/>
      <c r="BD443" s="8"/>
      <c r="BE443" s="8"/>
      <c r="BF443" s="8"/>
      <c r="BG443" s="8"/>
      <c r="BH443" s="8"/>
      <c r="BI443" s="8"/>
      <c r="BJ443" s="8"/>
      <c r="BK443" s="8"/>
      <c r="BL443" s="8"/>
      <c r="BM443" s="8"/>
      <c r="BN443" s="8"/>
      <c r="BO443" s="8"/>
      <c r="BP443" s="8"/>
      <c r="BQ443" s="8"/>
      <c r="BR443" s="8"/>
      <c r="BS443" s="8"/>
      <c r="BT443" s="8"/>
      <c r="BU443" s="8"/>
      <c r="BV443" s="8"/>
      <c r="BW443" s="8"/>
      <c r="BX443" s="8"/>
      <c r="BY443" s="8"/>
      <c r="BZ443" s="8"/>
    </row>
    <row r="444" spans="1:78" ht="13" customHeight="1" x14ac:dyDescent="0.15">
      <c r="A444" s="8" t="s">
        <v>6189</v>
      </c>
      <c r="B444" s="8" t="s">
        <v>4679</v>
      </c>
      <c r="C444" s="11">
        <v>2018</v>
      </c>
      <c r="D444" s="8" t="s">
        <v>5950</v>
      </c>
      <c r="E444" s="8"/>
      <c r="F444" s="8" t="s">
        <v>5949</v>
      </c>
      <c r="G444" s="8" t="str" cm="1">
        <f t="array" ref="G444">LOWER(CleanCode(F444))</f>
        <v>testingtheinfluenceofculturaldeterminantsonhelpseekingtheory</v>
      </c>
      <c r="H444" s="8"/>
      <c r="I444" s="8"/>
      <c r="J444" s="8" t="s">
        <v>5954</v>
      </c>
      <c r="K444" s="8"/>
      <c r="L444" s="8"/>
      <c r="M444" s="8" t="s">
        <v>4708</v>
      </c>
      <c r="N444" s="8" t="str">
        <f t="shared" si="6"/>
        <v>American Journal Of Orthopsychiatry</v>
      </c>
      <c r="O444" s="8" t="str">
        <f>"00029432"</f>
        <v>00029432</v>
      </c>
      <c r="P444" s="8"/>
      <c r="Q444" s="8"/>
      <c r="R444" s="8" t="str">
        <f>"20180101"</f>
        <v>20180101</v>
      </c>
      <c r="S444" s="8">
        <v>88</v>
      </c>
      <c r="T444" s="8">
        <v>6</v>
      </c>
      <c r="U444" s="8">
        <v>650</v>
      </c>
      <c r="V444" s="8"/>
      <c r="W444" s="8">
        <v>11</v>
      </c>
      <c r="X444" s="8"/>
      <c r="Y444" s="8"/>
      <c r="Z444" s="8"/>
      <c r="AA444" s="8"/>
      <c r="AB444" s="8"/>
      <c r="AC444" s="8"/>
      <c r="AD444" s="8" t="s">
        <v>5951</v>
      </c>
      <c r="AE444" s="8" t="s">
        <v>5952</v>
      </c>
      <c r="AF444" s="8"/>
      <c r="AG444" s="8" t="s">
        <v>4711</v>
      </c>
      <c r="AH444" s="8"/>
      <c r="AI444" s="8"/>
      <c r="AJ444" s="8" t="s">
        <v>5953</v>
      </c>
      <c r="AK444" s="8"/>
      <c r="AL444" s="8" t="s">
        <v>5955</v>
      </c>
      <c r="AM444" s="8"/>
      <c r="AN444" s="8"/>
      <c r="AO444" s="8"/>
      <c r="AP444" s="8"/>
      <c r="AQ444" s="8"/>
      <c r="AR444" s="8"/>
      <c r="AS444" s="8"/>
      <c r="AT444" s="8"/>
      <c r="AU444" s="8"/>
      <c r="AV444" s="8"/>
      <c r="AW444" s="8"/>
      <c r="AX444" s="8"/>
      <c r="AY444" s="8"/>
      <c r="AZ444" s="8"/>
      <c r="BA444" s="8"/>
      <c r="BB444" s="8"/>
      <c r="BC444" s="8"/>
      <c r="BD444" s="8"/>
      <c r="BE444" s="8"/>
      <c r="BF444" s="8"/>
      <c r="BG444" s="8"/>
      <c r="BH444" s="8"/>
      <c r="BI444" s="8"/>
      <c r="BJ444" s="8"/>
      <c r="BK444" s="8"/>
      <c r="BL444" s="8"/>
      <c r="BM444" s="8"/>
      <c r="BN444" s="8"/>
      <c r="BO444" s="8"/>
      <c r="BP444" s="8"/>
      <c r="BQ444" s="8"/>
      <c r="BR444" s="8"/>
      <c r="BS444" s="8"/>
      <c r="BT444" s="8"/>
      <c r="BU444" s="8"/>
      <c r="BV444" s="8"/>
      <c r="BW444" s="8"/>
      <c r="BX444" s="8"/>
      <c r="BY444" s="8"/>
      <c r="BZ444" s="8"/>
    </row>
    <row r="445" spans="1:78" ht="13" customHeight="1" x14ac:dyDescent="0.15">
      <c r="A445" s="8" t="s">
        <v>6189</v>
      </c>
      <c r="B445" s="8" t="s">
        <v>4773</v>
      </c>
      <c r="C445" s="11">
        <v>2019</v>
      </c>
      <c r="D445" s="8" t="s">
        <v>5957</v>
      </c>
      <c r="E445" s="8"/>
      <c r="F445" s="8" t="s">
        <v>5956</v>
      </c>
      <c r="G445" s="8" t="str" cm="1">
        <f t="array" ref="G445">LOWER(CleanCode(F445))</f>
        <v>thecomplexitiesofimmigrationandfamiliestheoreticalperspectivesandcurrentissues</v>
      </c>
      <c r="H445" s="8"/>
      <c r="I445" s="8"/>
      <c r="J445" s="8" t="s">
        <v>5962</v>
      </c>
      <c r="K445" s="8"/>
      <c r="L445" s="8"/>
      <c r="M445" s="8" t="s">
        <v>5958</v>
      </c>
      <c r="N445" s="8" t="str">
        <f t="shared" si="6"/>
        <v>Apa Handbook Of Contemporary Family Psychology: Applications And Broad Impact Of Family Psychology., Vol. 2.</v>
      </c>
      <c r="O445" s="8"/>
      <c r="P445" s="8"/>
      <c r="Q445" s="8" t="str">
        <f>"9781433829673; 1433829681; 9781433829680"</f>
        <v>9781433829673; 1433829681; 9781433829680</v>
      </c>
      <c r="R445" s="8" t="str">
        <f>"20190101"</f>
        <v>20190101</v>
      </c>
      <c r="S445" s="8"/>
      <c r="T445" s="8"/>
      <c r="U445" s="8">
        <v>437</v>
      </c>
      <c r="V445" s="8"/>
      <c r="W445" s="8">
        <v>19</v>
      </c>
      <c r="X445" s="8"/>
      <c r="Y445" s="8"/>
      <c r="Z445" s="8"/>
      <c r="AA445" s="8"/>
      <c r="AB445" s="8"/>
      <c r="AC445" s="8"/>
      <c r="AD445" s="8" t="s">
        <v>5959</v>
      </c>
      <c r="AE445" s="8" t="s">
        <v>5960</v>
      </c>
      <c r="AF445" s="8"/>
      <c r="AG445" s="8" t="s">
        <v>4899</v>
      </c>
      <c r="AH445" s="8"/>
      <c r="AI445" s="8"/>
      <c r="AJ445" s="8" t="s">
        <v>5961</v>
      </c>
      <c r="AK445" s="8"/>
      <c r="AL445" s="8" t="s">
        <v>5963</v>
      </c>
      <c r="AM445" s="8"/>
      <c r="AN445" s="8"/>
      <c r="AO445" s="8"/>
      <c r="AP445" s="8"/>
      <c r="AQ445" s="8"/>
      <c r="AR445" s="8"/>
      <c r="AS445" s="8"/>
      <c r="AT445" s="8"/>
      <c r="AU445" s="8"/>
      <c r="AV445" s="8"/>
      <c r="AW445" s="8"/>
      <c r="AX445" s="8"/>
      <c r="AY445" s="8"/>
      <c r="AZ445" s="8"/>
      <c r="BA445" s="8"/>
      <c r="BB445" s="8"/>
      <c r="BC445" s="8"/>
      <c r="BD445" s="8"/>
      <c r="BE445" s="8"/>
      <c r="BF445" s="8"/>
      <c r="BG445" s="8"/>
      <c r="BH445" s="8"/>
      <c r="BI445" s="8"/>
      <c r="BJ445" s="8"/>
      <c r="BK445" s="8"/>
      <c r="BL445" s="8"/>
      <c r="BM445" s="8"/>
      <c r="BN445" s="8"/>
      <c r="BO445" s="8"/>
      <c r="BP445" s="8"/>
      <c r="BQ445" s="8"/>
      <c r="BR445" s="8"/>
      <c r="BS445" s="8"/>
      <c r="BT445" s="8"/>
      <c r="BU445" s="8"/>
      <c r="BV445" s="8"/>
      <c r="BW445" s="8"/>
      <c r="BX445" s="8"/>
      <c r="BY445" s="8"/>
      <c r="BZ445" s="8"/>
    </row>
    <row r="446" spans="1:78" ht="13" customHeight="1" x14ac:dyDescent="0.15">
      <c r="A446" s="8" t="s">
        <v>6189</v>
      </c>
      <c r="B446" s="8" t="s">
        <v>4671</v>
      </c>
      <c r="C446" s="11">
        <v>2015</v>
      </c>
      <c r="D446" s="8" t="s">
        <v>5965</v>
      </c>
      <c r="E446" s="8"/>
      <c r="F446" s="8" t="s">
        <v>5964</v>
      </c>
      <c r="G446" s="8" t="str" cm="1">
        <f t="array" ref="G446">LOWER(CleanCode(F446))</f>
        <v>theconceptualizationofdepressionandacculturativestressamonglatinoimmigrantsacomparisonofscoresfromnonhispanicwhitesandpersonsofmexicanoriginonthecenterforepidemiologicstudiesdepressionscalerevisedcesdr</v>
      </c>
      <c r="H446" s="8"/>
      <c r="I446" s="8"/>
      <c r="J446" s="8" t="s">
        <v>5969</v>
      </c>
      <c r="K446" s="8"/>
      <c r="L446" s="8"/>
      <c r="M446" s="8" t="s">
        <v>4667</v>
      </c>
      <c r="N446" s="8" t="str">
        <f t="shared" si="6"/>
        <v>Dissertation Abstracts International: Section B: The Sciences And Engineering</v>
      </c>
      <c r="O446" s="8" t="str">
        <f>"04194217"</f>
        <v>04194217</v>
      </c>
      <c r="P446" s="8"/>
      <c r="Q446" s="8" t="str">
        <f>"9781321143225"</f>
        <v>9781321143225</v>
      </c>
      <c r="R446" s="8" t="str">
        <f>"20150101"</f>
        <v>20150101</v>
      </c>
      <c r="S446" s="8">
        <v>76</v>
      </c>
      <c r="T446" s="8" t="s">
        <v>5966</v>
      </c>
      <c r="U446" s="8"/>
      <c r="V446" s="8"/>
      <c r="W446" s="8"/>
      <c r="X446" s="8"/>
      <c r="Y446" s="8"/>
      <c r="Z446" s="8"/>
      <c r="AA446" s="8"/>
      <c r="AB446" s="8"/>
      <c r="AC446" s="8"/>
      <c r="AD446" s="8" t="s">
        <v>5967</v>
      </c>
      <c r="AE446" s="8"/>
      <c r="AF446" s="8"/>
      <c r="AG446" s="8" t="s">
        <v>4670</v>
      </c>
      <c r="AH446" s="8"/>
      <c r="AI446" s="8"/>
      <c r="AJ446" s="8" t="s">
        <v>5968</v>
      </c>
      <c r="AK446" s="8"/>
      <c r="AL446" s="8" t="s">
        <v>5970</v>
      </c>
      <c r="AM446" s="8"/>
      <c r="AN446" s="8"/>
      <c r="AO446" s="8"/>
      <c r="AP446" s="8"/>
      <c r="AQ446" s="8"/>
      <c r="AR446" s="8"/>
      <c r="AS446" s="8"/>
      <c r="AT446" s="8"/>
      <c r="AU446" s="8"/>
      <c r="AV446" s="8"/>
      <c r="AW446" s="8"/>
      <c r="AX446" s="8"/>
      <c r="AY446" s="8"/>
      <c r="AZ446" s="8"/>
      <c r="BA446" s="8"/>
      <c r="BB446" s="8"/>
      <c r="BC446" s="8"/>
      <c r="BD446" s="8"/>
      <c r="BE446" s="8"/>
      <c r="BF446" s="8"/>
      <c r="BG446" s="8"/>
      <c r="BH446" s="8"/>
      <c r="BI446" s="8"/>
      <c r="BJ446" s="8"/>
      <c r="BK446" s="8"/>
      <c r="BL446" s="8"/>
      <c r="BM446" s="8"/>
      <c r="BN446" s="8"/>
      <c r="BO446" s="8"/>
      <c r="BP446" s="8"/>
      <c r="BQ446" s="8"/>
      <c r="BR446" s="8"/>
      <c r="BS446" s="8"/>
      <c r="BT446" s="8"/>
      <c r="BU446" s="8"/>
      <c r="BV446" s="8"/>
      <c r="BW446" s="8"/>
      <c r="BX446" s="8"/>
      <c r="BY446" s="8"/>
      <c r="BZ446" s="8"/>
    </row>
    <row r="447" spans="1:78" ht="13" customHeight="1" x14ac:dyDescent="0.15">
      <c r="A447" s="8" t="s">
        <v>6189</v>
      </c>
      <c r="B447" s="8" t="s">
        <v>4679</v>
      </c>
      <c r="C447" s="11">
        <v>2002</v>
      </c>
      <c r="D447" s="8" t="s">
        <v>5972</v>
      </c>
      <c r="E447" s="8"/>
      <c r="F447" s="8" t="s">
        <v>5971</v>
      </c>
      <c r="G447" s="8" t="str" cm="1">
        <f t="array" ref="G447">LOWER(CleanCode(F447))</f>
        <v>thecultureofmexicanmigrationatheoreticalandempiricalanalysis</v>
      </c>
      <c r="H447" s="8"/>
      <c r="I447" s="8"/>
      <c r="J447" s="8" t="s">
        <v>5978</v>
      </c>
      <c r="K447" s="8"/>
      <c r="L447" s="8"/>
      <c r="M447" s="8" t="s">
        <v>5973</v>
      </c>
      <c r="N447" s="8" t="str">
        <f t="shared" si="6"/>
        <v>Social Forces</v>
      </c>
      <c r="O447" s="8" t="str">
        <f>"00377732"</f>
        <v>00377732</v>
      </c>
      <c r="P447" s="8"/>
      <c r="Q447" s="8"/>
      <c r="R447" s="8" t="str">
        <f>"20020301"</f>
        <v>20020301</v>
      </c>
      <c r="S447" s="8">
        <v>80</v>
      </c>
      <c r="T447" s="8">
        <v>3</v>
      </c>
      <c r="U447" s="8">
        <v>981</v>
      </c>
      <c r="V447" s="8"/>
      <c r="W447" s="8">
        <v>24</v>
      </c>
      <c r="X447" s="8"/>
      <c r="Y447" s="8"/>
      <c r="Z447" s="8"/>
      <c r="AA447" s="8"/>
      <c r="AB447" s="8"/>
      <c r="AC447" s="8"/>
      <c r="AD447" s="8" t="s">
        <v>5974</v>
      </c>
      <c r="AE447" s="8" t="s">
        <v>5975</v>
      </c>
      <c r="AF447" s="8"/>
      <c r="AG447" s="8" t="s">
        <v>5976</v>
      </c>
      <c r="AH447" s="8"/>
      <c r="AI447" s="8"/>
      <c r="AJ447" s="8" t="s">
        <v>5977</v>
      </c>
      <c r="AK447" s="8"/>
      <c r="AL447" s="8" t="s">
        <v>5979</v>
      </c>
      <c r="AM447" s="8"/>
      <c r="AN447" s="8"/>
      <c r="AO447" s="8"/>
      <c r="AP447" s="8"/>
      <c r="AQ447" s="8"/>
      <c r="AR447" s="8"/>
      <c r="AS447" s="8"/>
      <c r="AT447" s="8"/>
      <c r="AU447" s="8"/>
      <c r="AV447" s="8"/>
      <c r="AW447" s="8"/>
      <c r="AX447" s="8"/>
      <c r="AY447" s="8"/>
      <c r="AZ447" s="8"/>
      <c r="BA447" s="8"/>
      <c r="BB447" s="8"/>
      <c r="BC447" s="8"/>
      <c r="BD447" s="8"/>
      <c r="BE447" s="8"/>
      <c r="BF447" s="8"/>
      <c r="BG447" s="8"/>
      <c r="BH447" s="8"/>
      <c r="BI447" s="8"/>
      <c r="BJ447" s="8"/>
      <c r="BK447" s="8"/>
      <c r="BL447" s="8"/>
      <c r="BM447" s="8"/>
      <c r="BN447" s="8"/>
      <c r="BO447" s="8"/>
      <c r="BP447" s="8"/>
      <c r="BQ447" s="8"/>
      <c r="BR447" s="8"/>
      <c r="BS447" s="8"/>
      <c r="BT447" s="8"/>
      <c r="BU447" s="8"/>
      <c r="BV447" s="8"/>
      <c r="BW447" s="8"/>
      <c r="BX447" s="8"/>
      <c r="BY447" s="8"/>
      <c r="BZ447" s="8"/>
    </row>
    <row r="448" spans="1:78" ht="13" customHeight="1" x14ac:dyDescent="0.15">
      <c r="A448" s="8" t="s">
        <v>6189</v>
      </c>
      <c r="B448" s="8" t="s">
        <v>4671</v>
      </c>
      <c r="C448" s="11">
        <v>2007</v>
      </c>
      <c r="D448" s="8" t="s">
        <v>5981</v>
      </c>
      <c r="E448" s="8"/>
      <c r="F448" s="8" t="s">
        <v>5980</v>
      </c>
      <c r="G448" s="8" t="str" cm="1">
        <f t="array" ref="G448">LOWER(CleanCode(F448))</f>
        <v>theemergenceofselfinthebiculturalspaceamongpolishimmigrantwomenacriticalintegrationofselfpsychologyandwinnicottstheorydwwinnicott</v>
      </c>
      <c r="H448" s="8"/>
      <c r="I448" s="8"/>
      <c r="J448" s="8" t="s">
        <v>5985</v>
      </c>
      <c r="K448" s="8"/>
      <c r="L448" s="8"/>
      <c r="M448" s="8" t="s">
        <v>4667</v>
      </c>
      <c r="N448" s="8" t="str">
        <f t="shared" si="6"/>
        <v>Dissertation Abstracts International: Section B: The Sciences And Engineering</v>
      </c>
      <c r="O448" s="8" t="str">
        <f>"04194217"</f>
        <v>04194217</v>
      </c>
      <c r="P448" s="8"/>
      <c r="Q448" s="8"/>
      <c r="R448" s="8" t="str">
        <f>"20070101"</f>
        <v>20070101</v>
      </c>
      <c r="S448" s="8">
        <v>68</v>
      </c>
      <c r="T448" s="8" t="s">
        <v>5982</v>
      </c>
      <c r="U448" s="8">
        <v>2684</v>
      </c>
      <c r="V448" s="8"/>
      <c r="W448" s="8">
        <v>1</v>
      </c>
      <c r="X448" s="8"/>
      <c r="Y448" s="8"/>
      <c r="Z448" s="8"/>
      <c r="AA448" s="8"/>
      <c r="AB448" s="8"/>
      <c r="AC448" s="8"/>
      <c r="AD448" s="8" t="s">
        <v>5983</v>
      </c>
      <c r="AE448" s="8"/>
      <c r="AF448" s="8"/>
      <c r="AG448" s="8" t="s">
        <v>4670</v>
      </c>
      <c r="AH448" s="8"/>
      <c r="AI448" s="8"/>
      <c r="AJ448" s="8" t="s">
        <v>5984</v>
      </c>
      <c r="AK448" s="8"/>
      <c r="AL448" s="8" t="s">
        <v>5986</v>
      </c>
      <c r="AM448" s="8"/>
      <c r="AN448" s="8"/>
      <c r="AO448" s="8"/>
      <c r="AP448" s="8"/>
      <c r="AQ448" s="8"/>
      <c r="AR448" s="8"/>
      <c r="AS448" s="8"/>
      <c r="AT448" s="8"/>
      <c r="AU448" s="8"/>
      <c r="AV448" s="8"/>
      <c r="AW448" s="8"/>
      <c r="AX448" s="8"/>
      <c r="AY448" s="8"/>
      <c r="AZ448" s="8"/>
      <c r="BA448" s="8"/>
      <c r="BB448" s="8"/>
      <c r="BC448" s="8"/>
      <c r="BD448" s="8"/>
      <c r="BE448" s="8"/>
      <c r="BF448" s="8"/>
      <c r="BG448" s="8"/>
      <c r="BH448" s="8"/>
      <c r="BI448" s="8"/>
      <c r="BJ448" s="8"/>
      <c r="BK448" s="8"/>
      <c r="BL448" s="8"/>
      <c r="BM448" s="8"/>
      <c r="BN448" s="8"/>
      <c r="BO448" s="8"/>
      <c r="BP448" s="8"/>
      <c r="BQ448" s="8"/>
      <c r="BR448" s="8"/>
      <c r="BS448" s="8"/>
      <c r="BT448" s="8"/>
      <c r="BU448" s="8"/>
      <c r="BV448" s="8"/>
      <c r="BW448" s="8"/>
      <c r="BX448" s="8"/>
      <c r="BY448" s="8"/>
      <c r="BZ448" s="8"/>
    </row>
    <row r="449" spans="1:78" ht="13" customHeight="1" x14ac:dyDescent="0.15">
      <c r="A449" s="8" t="s">
        <v>6189</v>
      </c>
      <c r="B449" s="8" t="s">
        <v>4679</v>
      </c>
      <c r="C449" s="11">
        <v>2004</v>
      </c>
      <c r="D449" s="8" t="s">
        <v>5988</v>
      </c>
      <c r="E449" s="8"/>
      <c r="F449" s="8" t="s">
        <v>5987</v>
      </c>
      <c r="G449" s="8" t="str" cm="1">
        <f t="array" ref="G449">LOWER(CleanCode(F449))</f>
        <v>theexperiencesofyoungkoreanimmigrantsagroundedtheoryofnegotiatingsocialculturalandgenerationalboundaries</v>
      </c>
      <c r="H449" s="8"/>
      <c r="I449" s="8"/>
      <c r="J449" s="8" t="s">
        <v>5992</v>
      </c>
      <c r="K449" s="8"/>
      <c r="L449" s="8"/>
      <c r="M449" s="8" t="s">
        <v>5619</v>
      </c>
      <c r="N449" s="8" t="str">
        <f t="shared" si="6"/>
        <v>Issues In Mental Health Nursing</v>
      </c>
      <c r="O449" s="8" t="str">
        <f>"01612840"</f>
        <v>01612840</v>
      </c>
      <c r="P449" s="8"/>
      <c r="Q449" s="8"/>
      <c r="R449" s="8" t="str">
        <f>"20040701"</f>
        <v>20040701</v>
      </c>
      <c r="S449" s="8">
        <v>25</v>
      </c>
      <c r="T449" s="8">
        <v>5</v>
      </c>
      <c r="U449" s="8">
        <v>517</v>
      </c>
      <c r="V449" s="8"/>
      <c r="W449" s="8">
        <v>21</v>
      </c>
      <c r="X449" s="8"/>
      <c r="Y449" s="8"/>
      <c r="Z449" s="8"/>
      <c r="AA449" s="8"/>
      <c r="AB449" s="8"/>
      <c r="AC449" s="8"/>
      <c r="AD449" s="8" t="s">
        <v>5989</v>
      </c>
      <c r="AE449" s="8" t="s">
        <v>5990</v>
      </c>
      <c r="AF449" s="8"/>
      <c r="AG449" s="8" t="s">
        <v>4728</v>
      </c>
      <c r="AH449" s="8"/>
      <c r="AI449" s="8"/>
      <c r="AJ449" s="8" t="s">
        <v>5991</v>
      </c>
      <c r="AK449" s="8"/>
      <c r="AL449" s="8" t="s">
        <v>5993</v>
      </c>
      <c r="AM449" s="8"/>
      <c r="AN449" s="8"/>
      <c r="AO449" s="8"/>
      <c r="AP449" s="8"/>
      <c r="AQ449" s="8"/>
      <c r="AR449" s="8"/>
      <c r="AS449" s="8"/>
      <c r="AT449" s="8"/>
      <c r="AU449" s="8"/>
      <c r="AV449" s="8"/>
      <c r="AW449" s="8"/>
      <c r="AX449" s="8"/>
      <c r="AY449" s="8"/>
      <c r="AZ449" s="8"/>
      <c r="BA449" s="8"/>
      <c r="BB449" s="8"/>
      <c r="BC449" s="8"/>
      <c r="BD449" s="8"/>
      <c r="BE449" s="8"/>
      <c r="BF449" s="8"/>
      <c r="BG449" s="8"/>
      <c r="BH449" s="8"/>
      <c r="BI449" s="8"/>
      <c r="BJ449" s="8"/>
      <c r="BK449" s="8"/>
      <c r="BL449" s="8"/>
      <c r="BM449" s="8"/>
      <c r="BN449" s="8"/>
      <c r="BO449" s="8"/>
      <c r="BP449" s="8"/>
      <c r="BQ449" s="8"/>
      <c r="BR449" s="8"/>
      <c r="BS449" s="8"/>
      <c r="BT449" s="8"/>
      <c r="BU449" s="8"/>
      <c r="BV449" s="8"/>
      <c r="BW449" s="8"/>
      <c r="BX449" s="8"/>
      <c r="BY449" s="8"/>
      <c r="BZ449" s="8"/>
    </row>
    <row r="450" spans="1:78" ht="13" customHeight="1" x14ac:dyDescent="0.15">
      <c r="A450" s="8" t="s">
        <v>6189</v>
      </c>
      <c r="B450" s="8" t="s">
        <v>4679</v>
      </c>
      <c r="C450" s="11">
        <v>2015</v>
      </c>
      <c r="D450" s="8" t="s">
        <v>2788</v>
      </c>
      <c r="E450" s="8"/>
      <c r="F450" s="8" t="s">
        <v>5994</v>
      </c>
      <c r="G450" s="8" t="str" cm="1">
        <f t="array" ref="G450">LOWER(CleanCode(F450))</f>
        <v>theimpactoftheassimilationofmigrantsonthewellbeingofnativeinhabitantsatheory</v>
      </c>
      <c r="H450" s="8"/>
      <c r="I450" s="8"/>
      <c r="J450" s="8" t="s">
        <v>5998</v>
      </c>
      <c r="K450" s="8"/>
      <c r="L450" s="8"/>
      <c r="M450" s="8" t="s">
        <v>5995</v>
      </c>
      <c r="N450" s="8" t="str">
        <f t="shared" si="6"/>
        <v>Journal Of Economic Behavior &amp; Organization</v>
      </c>
      <c r="O450" s="8" t="str">
        <f>"01672681"</f>
        <v>01672681</v>
      </c>
      <c r="P450" s="8"/>
      <c r="Q450" s="8"/>
      <c r="R450" s="8" t="str">
        <f>"20150301"</f>
        <v>20150301</v>
      </c>
      <c r="S450" s="8">
        <v>111</v>
      </c>
      <c r="T450" s="8"/>
      <c r="U450" s="8">
        <v>71</v>
      </c>
      <c r="V450" s="8"/>
      <c r="W450" s="8">
        <v>8</v>
      </c>
      <c r="X450" s="8"/>
      <c r="Y450" s="8"/>
      <c r="Z450" s="8"/>
      <c r="AA450" s="8"/>
      <c r="AB450" s="8"/>
      <c r="AC450" s="8"/>
      <c r="AD450" s="8" t="s">
        <v>5996</v>
      </c>
      <c r="AE450" s="8" t="s">
        <v>2804</v>
      </c>
      <c r="AF450" s="8"/>
      <c r="AG450" s="8" t="s">
        <v>4735</v>
      </c>
      <c r="AH450" s="8"/>
      <c r="AI450" s="8"/>
      <c r="AJ450" s="8" t="s">
        <v>5997</v>
      </c>
      <c r="AK450" s="8"/>
      <c r="AL450" s="8" t="s">
        <v>5999</v>
      </c>
      <c r="AM450" s="8"/>
      <c r="AN450" s="8"/>
      <c r="AO450" s="8"/>
      <c r="AP450" s="8"/>
      <c r="AQ450" s="8"/>
      <c r="AR450" s="8"/>
      <c r="AS450" s="8"/>
      <c r="AT450" s="8"/>
      <c r="AU450" s="8"/>
      <c r="AV450" s="8"/>
      <c r="AW450" s="8"/>
      <c r="AX450" s="8"/>
      <c r="AY450" s="8"/>
      <c r="AZ450" s="8"/>
      <c r="BA450" s="8"/>
      <c r="BB450" s="8"/>
      <c r="BC450" s="8"/>
      <c r="BD450" s="8"/>
      <c r="BE450" s="8"/>
      <c r="BF450" s="8"/>
      <c r="BG450" s="8"/>
      <c r="BH450" s="8"/>
      <c r="BI450" s="8"/>
      <c r="BJ450" s="8"/>
      <c r="BK450" s="8"/>
      <c r="BL450" s="8"/>
      <c r="BM450" s="8"/>
      <c r="BN450" s="8"/>
      <c r="BO450" s="8"/>
      <c r="BP450" s="8"/>
      <c r="BQ450" s="8"/>
      <c r="BR450" s="8"/>
      <c r="BS450" s="8"/>
      <c r="BT450" s="8"/>
      <c r="BU450" s="8"/>
      <c r="BV450" s="8"/>
      <c r="BW450" s="8"/>
      <c r="BX450" s="8"/>
      <c r="BY450" s="8"/>
      <c r="BZ450" s="8"/>
    </row>
    <row r="451" spans="1:78" ht="13" customHeight="1" x14ac:dyDescent="0.15">
      <c r="A451" s="8" t="s">
        <v>6189</v>
      </c>
      <c r="B451" s="8" t="s">
        <v>4679</v>
      </c>
      <c r="C451" s="11">
        <v>1987</v>
      </c>
      <c r="D451" s="8" t="s">
        <v>6001</v>
      </c>
      <c r="E451" s="8"/>
      <c r="F451" s="8" t="s">
        <v>6000</v>
      </c>
      <c r="G451" s="8" t="str" cm="1">
        <f t="array" ref="G451">LOWER(CleanCode(F451))</f>
        <v>theprocessofacculturationtheoreticalperspectivesandanempiricalinvestigationinperu</v>
      </c>
      <c r="H451" s="8"/>
      <c r="I451" s="8"/>
      <c r="J451" s="8" t="s">
        <v>6005</v>
      </c>
      <c r="K451" s="8"/>
      <c r="L451" s="8"/>
      <c r="M451" s="8" t="s">
        <v>5297</v>
      </c>
      <c r="N451" s="8" t="str">
        <f t="shared" ref="N451:N478" si="7">PROPER(M451)</f>
        <v>Social Science &amp; Medicine</v>
      </c>
      <c r="O451" s="8" t="str">
        <f>"02779536"</f>
        <v>02779536</v>
      </c>
      <c r="P451" s="8"/>
      <c r="Q451" s="8"/>
      <c r="R451" s="8" t="str">
        <f>"19870101"</f>
        <v>19870101</v>
      </c>
      <c r="S451" s="8">
        <v>25</v>
      </c>
      <c r="T451" s="8">
        <v>7</v>
      </c>
      <c r="U451" s="8">
        <v>839</v>
      </c>
      <c r="V451" s="8"/>
      <c r="W451" s="8">
        <v>9</v>
      </c>
      <c r="X451" s="8"/>
      <c r="Y451" s="8"/>
      <c r="Z451" s="8"/>
      <c r="AA451" s="8"/>
      <c r="AB451" s="8"/>
      <c r="AC451" s="8"/>
      <c r="AD451" s="8" t="s">
        <v>6002</v>
      </c>
      <c r="AE451" s="8" t="s">
        <v>6003</v>
      </c>
      <c r="AF451" s="8"/>
      <c r="AG451" s="8" t="s">
        <v>4735</v>
      </c>
      <c r="AH451" s="8"/>
      <c r="AI451" s="8"/>
      <c r="AJ451" s="8" t="s">
        <v>6004</v>
      </c>
      <c r="AK451" s="8"/>
      <c r="AL451" s="8" t="s">
        <v>6006</v>
      </c>
      <c r="AM451" s="8"/>
      <c r="AN451" s="8"/>
      <c r="AO451" s="8"/>
      <c r="AP451" s="8"/>
      <c r="AQ451" s="8"/>
      <c r="AR451" s="8"/>
      <c r="AS451" s="8"/>
      <c r="AT451" s="8"/>
      <c r="AU451" s="8"/>
      <c r="AV451" s="8"/>
      <c r="AW451" s="8"/>
      <c r="AX451" s="8"/>
      <c r="AY451" s="8"/>
      <c r="AZ451" s="8"/>
      <c r="BA451" s="8"/>
      <c r="BB451" s="8"/>
      <c r="BC451" s="8"/>
      <c r="BD451" s="8"/>
      <c r="BE451" s="8"/>
      <c r="BF451" s="8"/>
      <c r="BG451" s="8"/>
      <c r="BH451" s="8"/>
      <c r="BI451" s="8"/>
      <c r="BJ451" s="8"/>
      <c r="BK451" s="8"/>
      <c r="BL451" s="8"/>
      <c r="BM451" s="8"/>
      <c r="BN451" s="8"/>
      <c r="BO451" s="8"/>
      <c r="BP451" s="8"/>
      <c r="BQ451" s="8"/>
      <c r="BR451" s="8"/>
      <c r="BS451" s="8"/>
      <c r="BT451" s="8"/>
      <c r="BU451" s="8"/>
      <c r="BV451" s="8"/>
      <c r="BW451" s="8"/>
      <c r="BX451" s="8"/>
      <c r="BY451" s="8"/>
      <c r="BZ451" s="8"/>
    </row>
    <row r="452" spans="1:78" ht="13" customHeight="1" x14ac:dyDescent="0.15">
      <c r="A452" s="8" t="s">
        <v>6189</v>
      </c>
      <c r="B452" s="8" t="s">
        <v>4679</v>
      </c>
      <c r="C452" s="11">
        <v>1985</v>
      </c>
      <c r="D452" s="8" t="s">
        <v>6008</v>
      </c>
      <c r="E452" s="8"/>
      <c r="F452" s="8" t="s">
        <v>6007</v>
      </c>
      <c r="G452" s="8" t="str" cm="1">
        <f t="array" ref="G452">LOWER(CleanCode(F452))</f>
        <v>thepsychosocialadjustmentofthesoutheastasianrefugeeanoverviewofempiricalfindingsandtheoreticalmodels</v>
      </c>
      <c r="H452" s="8"/>
      <c r="I452" s="8"/>
      <c r="J452" s="8" t="s">
        <v>6012</v>
      </c>
      <c r="K452" s="8"/>
      <c r="L452" s="8"/>
      <c r="M452" s="8" t="s">
        <v>4866</v>
      </c>
      <c r="N452" s="8" t="str">
        <f t="shared" si="7"/>
        <v>Journal Of Cross-Cultural Psychology</v>
      </c>
      <c r="O452" s="8" t="str">
        <f>"00220221"</f>
        <v>00220221</v>
      </c>
      <c r="P452" s="8"/>
      <c r="Q452" s="8"/>
      <c r="R452" s="8" t="str">
        <f>"19850601"</f>
        <v>19850601</v>
      </c>
      <c r="S452" s="8">
        <v>16</v>
      </c>
      <c r="T452" s="8">
        <v>2</v>
      </c>
      <c r="U452" s="8">
        <v>153</v>
      </c>
      <c r="V452" s="8"/>
      <c r="W452" s="8">
        <v>21</v>
      </c>
      <c r="X452" s="8"/>
      <c r="Y452" s="8"/>
      <c r="Z452" s="8"/>
      <c r="AA452" s="8"/>
      <c r="AB452" s="8"/>
      <c r="AC452" s="8"/>
      <c r="AD452" s="8" t="s">
        <v>6009</v>
      </c>
      <c r="AE452" s="8" t="s">
        <v>6010</v>
      </c>
      <c r="AF452" s="8"/>
      <c r="AG452" s="8" t="s">
        <v>4678</v>
      </c>
      <c r="AH452" s="8"/>
      <c r="AI452" s="8"/>
      <c r="AJ452" s="8" t="s">
        <v>6011</v>
      </c>
      <c r="AK452" s="8"/>
      <c r="AL452" s="8" t="s">
        <v>6013</v>
      </c>
      <c r="AM452" s="8"/>
      <c r="AN452" s="8"/>
      <c r="AO452" s="8"/>
      <c r="AP452" s="8"/>
      <c r="AQ452" s="8"/>
      <c r="AR452" s="8"/>
      <c r="AS452" s="8"/>
      <c r="AT452" s="8"/>
      <c r="AU452" s="8"/>
      <c r="AV452" s="8"/>
      <c r="AW452" s="8"/>
      <c r="AX452" s="8"/>
      <c r="AY452" s="8"/>
      <c r="AZ452" s="8"/>
      <c r="BA452" s="8"/>
      <c r="BB452" s="8"/>
      <c r="BC452" s="8"/>
      <c r="BD452" s="8"/>
      <c r="BE452" s="8"/>
      <c r="BF452" s="8"/>
      <c r="BG452" s="8"/>
      <c r="BH452" s="8"/>
      <c r="BI452" s="8"/>
      <c r="BJ452" s="8"/>
      <c r="BK452" s="8"/>
      <c r="BL452" s="8"/>
      <c r="BM452" s="8"/>
      <c r="BN452" s="8"/>
      <c r="BO452" s="8"/>
      <c r="BP452" s="8"/>
      <c r="BQ452" s="8"/>
      <c r="BR452" s="8"/>
      <c r="BS452" s="8"/>
      <c r="BT452" s="8"/>
      <c r="BU452" s="8"/>
      <c r="BV452" s="8"/>
      <c r="BW452" s="8"/>
      <c r="BX452" s="8"/>
      <c r="BY452" s="8"/>
      <c r="BZ452" s="8"/>
    </row>
    <row r="453" spans="1:78" ht="13" customHeight="1" x14ac:dyDescent="0.15">
      <c r="A453" s="8" t="s">
        <v>6189</v>
      </c>
      <c r="B453" s="8" t="s">
        <v>4679</v>
      </c>
      <c r="C453" s="11">
        <v>2004</v>
      </c>
      <c r="D453" s="8" t="s">
        <v>6015</v>
      </c>
      <c r="E453" s="8"/>
      <c r="F453" s="8" t="s">
        <v>6014</v>
      </c>
      <c r="G453" s="8" t="str" cm="1">
        <f t="array" ref="G453">LOWER(CleanCode(F453))</f>
        <v>theretreatofmulticulturalismintheliberalstatetheoryandpolicy</v>
      </c>
      <c r="H453" s="8"/>
      <c r="I453" s="8"/>
      <c r="J453" s="8" t="s">
        <v>6020</v>
      </c>
      <c r="K453" s="8"/>
      <c r="L453" s="8"/>
      <c r="M453" s="8" t="s">
        <v>6016</v>
      </c>
      <c r="N453" s="8" t="str">
        <f t="shared" si="7"/>
        <v>British Journal Of Sociology</v>
      </c>
      <c r="O453" s="8" t="str">
        <f>"00071315"</f>
        <v>00071315</v>
      </c>
      <c r="P453" s="8"/>
      <c r="Q453" s="8"/>
      <c r="R453" s="8" t="str">
        <f>"20040601"</f>
        <v>20040601</v>
      </c>
      <c r="S453" s="8">
        <v>55</v>
      </c>
      <c r="T453" s="8">
        <v>2</v>
      </c>
      <c r="U453" s="8">
        <v>237</v>
      </c>
      <c r="V453" s="8"/>
      <c r="W453" s="8">
        <v>21</v>
      </c>
      <c r="X453" s="8"/>
      <c r="Y453" s="8"/>
      <c r="Z453" s="8"/>
      <c r="AA453" s="8"/>
      <c r="AB453" s="8"/>
      <c r="AC453" s="8"/>
      <c r="AD453" s="8" t="s">
        <v>6017</v>
      </c>
      <c r="AE453" s="8" t="s">
        <v>6018</v>
      </c>
      <c r="AF453" s="8"/>
      <c r="AG453" s="8" t="s">
        <v>5186</v>
      </c>
      <c r="AH453" s="8"/>
      <c r="AI453" s="8"/>
      <c r="AJ453" s="8" t="s">
        <v>6019</v>
      </c>
      <c r="AK453" s="8"/>
      <c r="AL453" s="8" t="s">
        <v>6021</v>
      </c>
      <c r="AM453" s="8"/>
      <c r="AN453" s="8"/>
      <c r="AO453" s="8"/>
      <c r="AP453" s="8"/>
      <c r="AQ453" s="8"/>
      <c r="AR453" s="8"/>
      <c r="AS453" s="8"/>
      <c r="AT453" s="8"/>
      <c r="AU453" s="8"/>
      <c r="AV453" s="8"/>
      <c r="AW453" s="8"/>
      <c r="AX453" s="8"/>
      <c r="AY453" s="8"/>
      <c r="AZ453" s="8"/>
      <c r="BA453" s="8"/>
      <c r="BB453" s="8"/>
      <c r="BC453" s="8"/>
      <c r="BD453" s="8"/>
      <c r="BE453" s="8"/>
      <c r="BF453" s="8"/>
      <c r="BG453" s="8"/>
      <c r="BH453" s="8"/>
      <c r="BI453" s="8"/>
      <c r="BJ453" s="8"/>
      <c r="BK453" s="8"/>
      <c r="BL453" s="8"/>
      <c r="BM453" s="8"/>
      <c r="BN453" s="8"/>
      <c r="BO453" s="8"/>
      <c r="BP453" s="8"/>
      <c r="BQ453" s="8"/>
      <c r="BR453" s="8"/>
      <c r="BS453" s="8"/>
      <c r="BT453" s="8"/>
      <c r="BU453" s="8"/>
      <c r="BV453" s="8"/>
      <c r="BW453" s="8"/>
      <c r="BX453" s="8"/>
      <c r="BY453" s="8"/>
      <c r="BZ453" s="8"/>
    </row>
    <row r="454" spans="1:78" ht="13" customHeight="1" x14ac:dyDescent="0.15">
      <c r="A454" s="8" t="s">
        <v>6189</v>
      </c>
      <c r="B454" s="8" t="s">
        <v>4671</v>
      </c>
      <c r="C454" s="11">
        <v>2018</v>
      </c>
      <c r="D454" s="8" t="s">
        <v>6023</v>
      </c>
      <c r="E454" s="8"/>
      <c r="F454" s="8" t="s">
        <v>6022</v>
      </c>
      <c r="G454" s="8" t="str" cm="1">
        <f t="array" ref="G454">LOWER(CleanCode(F454))</f>
        <v>theroleofculturalvariablesinthevictimizationdelinquencyoverlapamonglatinoyouthageneralstraintheoryperspective</v>
      </c>
      <c r="H454" s="8"/>
      <c r="I454" s="8"/>
      <c r="J454" s="8" t="s">
        <v>6027</v>
      </c>
      <c r="K454" s="8"/>
      <c r="L454" s="8"/>
      <c r="M454" s="8" t="s">
        <v>4762</v>
      </c>
      <c r="N454" s="8" t="str">
        <f t="shared" si="7"/>
        <v>Dissertation Abstracts International Section A: Humanities And Social Sciences</v>
      </c>
      <c r="O454" s="8" t="str">
        <f>"04194209"</f>
        <v>04194209</v>
      </c>
      <c r="P454" s="8"/>
      <c r="Q454" s="8" t="str">
        <f>"9781369663303"</f>
        <v>9781369663303</v>
      </c>
      <c r="R454" s="8" t="str">
        <f>"20180101"</f>
        <v>20180101</v>
      </c>
      <c r="S454" s="8">
        <v>78</v>
      </c>
      <c r="T454" s="8" t="s">
        <v>6024</v>
      </c>
      <c r="U454" s="8"/>
      <c r="V454" s="8"/>
      <c r="W454" s="8"/>
      <c r="X454" s="8"/>
      <c r="Y454" s="8"/>
      <c r="Z454" s="8"/>
      <c r="AA454" s="8"/>
      <c r="AB454" s="8"/>
      <c r="AC454" s="8"/>
      <c r="AD454" s="8" t="s">
        <v>6025</v>
      </c>
      <c r="AE454" s="8"/>
      <c r="AF454" s="8"/>
      <c r="AG454" s="8" t="s">
        <v>4670</v>
      </c>
      <c r="AH454" s="8"/>
      <c r="AI454" s="8"/>
      <c r="AJ454" s="8" t="s">
        <v>6026</v>
      </c>
      <c r="AK454" s="8"/>
      <c r="AL454" s="8" t="s">
        <v>6028</v>
      </c>
      <c r="AM454" s="8"/>
      <c r="AN454" s="8"/>
      <c r="AO454" s="8"/>
      <c r="AP454" s="8"/>
      <c r="AQ454" s="8"/>
      <c r="AR454" s="8"/>
      <c r="AS454" s="8"/>
      <c r="AT454" s="8"/>
      <c r="AU454" s="8"/>
      <c r="AV454" s="8"/>
      <c r="AW454" s="8"/>
      <c r="AX454" s="8"/>
      <c r="AY454" s="8"/>
      <c r="AZ454" s="8"/>
      <c r="BA454" s="8"/>
      <c r="BB454" s="8"/>
      <c r="BC454" s="8"/>
      <c r="BD454" s="8"/>
      <c r="BE454" s="8"/>
      <c r="BF454" s="8"/>
      <c r="BG454" s="8"/>
      <c r="BH454" s="8"/>
      <c r="BI454" s="8"/>
      <c r="BJ454" s="8"/>
      <c r="BK454" s="8"/>
      <c r="BL454" s="8"/>
      <c r="BM454" s="8"/>
      <c r="BN454" s="8"/>
      <c r="BO454" s="8"/>
      <c r="BP454" s="8"/>
      <c r="BQ454" s="8"/>
      <c r="BR454" s="8"/>
      <c r="BS454" s="8"/>
      <c r="BT454" s="8"/>
      <c r="BU454" s="8"/>
      <c r="BV454" s="8"/>
      <c r="BW454" s="8"/>
      <c r="BX454" s="8"/>
      <c r="BY454" s="8"/>
      <c r="BZ454" s="8"/>
    </row>
    <row r="455" spans="1:78" ht="13" customHeight="1" x14ac:dyDescent="0.15">
      <c r="A455" s="8" t="s">
        <v>6189</v>
      </c>
      <c r="B455" s="8" t="s">
        <v>4679</v>
      </c>
      <c r="C455" s="11">
        <v>2006</v>
      </c>
      <c r="D455" s="8" t="s">
        <v>6030</v>
      </c>
      <c r="E455" s="8"/>
      <c r="F455" s="8" t="s">
        <v>6029</v>
      </c>
      <c r="G455" s="8" t="str" cm="1">
        <f t="array" ref="G455">LOWER(CleanCode(F455))</f>
        <v>theroleofidentityinacculturationamongimmigrantpeopletheoreticalpropositionsempiricalquestionsandappliedrecommendations</v>
      </c>
      <c r="H455" s="8"/>
      <c r="I455" s="8"/>
      <c r="J455" s="8" t="s">
        <v>6032</v>
      </c>
      <c r="K455" s="8"/>
      <c r="L455" s="8"/>
      <c r="M455" s="8" t="s">
        <v>4825</v>
      </c>
      <c r="N455" s="8" t="str">
        <f t="shared" si="7"/>
        <v>Human Development</v>
      </c>
      <c r="O455" s="8" t="str">
        <f>"0018716X"</f>
        <v>0018716X</v>
      </c>
      <c r="P455" s="8"/>
      <c r="Q455" s="8"/>
      <c r="R455" s="8" t="str">
        <f>"20060201"</f>
        <v>20060201</v>
      </c>
      <c r="S455" s="8">
        <v>49</v>
      </c>
      <c r="T455" s="8">
        <v>1</v>
      </c>
      <c r="U455" s="8">
        <v>1</v>
      </c>
      <c r="V455" s="8"/>
      <c r="W455" s="8">
        <v>30</v>
      </c>
      <c r="X455" s="8"/>
      <c r="Y455" s="8"/>
      <c r="Z455" s="8"/>
      <c r="AA455" s="8"/>
      <c r="AB455" s="8"/>
      <c r="AC455" s="8"/>
      <c r="AD455" s="8" t="s">
        <v>6031</v>
      </c>
      <c r="AE455" s="8" t="s">
        <v>4005</v>
      </c>
      <c r="AF455" s="8"/>
      <c r="AG455" s="8" t="s">
        <v>4827</v>
      </c>
      <c r="AH455" s="8"/>
      <c r="AI455" s="8"/>
      <c r="AJ455" s="8" t="s">
        <v>4829</v>
      </c>
      <c r="AK455" s="8"/>
      <c r="AL455" s="8" t="s">
        <v>6033</v>
      </c>
      <c r="AM455" s="8"/>
      <c r="AN455" s="8"/>
      <c r="AO455" s="8"/>
      <c r="AP455" s="8"/>
      <c r="AQ455" s="8"/>
      <c r="AR455" s="8"/>
      <c r="AS455" s="8"/>
      <c r="AT455" s="8"/>
      <c r="AU455" s="8"/>
      <c r="AV455" s="8"/>
      <c r="AW455" s="8"/>
      <c r="AX455" s="8"/>
      <c r="AY455" s="8"/>
      <c r="AZ455" s="8"/>
      <c r="BA455" s="8"/>
      <c r="BB455" s="8"/>
      <c r="BC455" s="8"/>
      <c r="BD455" s="8"/>
      <c r="BE455" s="8"/>
      <c r="BF455" s="8"/>
      <c r="BG455" s="8"/>
      <c r="BH455" s="8"/>
      <c r="BI455" s="8"/>
      <c r="BJ455" s="8"/>
      <c r="BK455" s="8"/>
      <c r="BL455" s="8"/>
      <c r="BM455" s="8"/>
      <c r="BN455" s="8"/>
      <c r="BO455" s="8"/>
      <c r="BP455" s="8"/>
      <c r="BQ455" s="8"/>
      <c r="BR455" s="8"/>
      <c r="BS455" s="8"/>
      <c r="BT455" s="8"/>
      <c r="BU455" s="8"/>
      <c r="BV455" s="8"/>
      <c r="BW455" s="8"/>
      <c r="BX455" s="8"/>
      <c r="BY455" s="8"/>
      <c r="BZ455" s="8"/>
    </row>
    <row r="456" spans="1:78" ht="13" customHeight="1" x14ac:dyDescent="0.15">
      <c r="A456" s="8" t="s">
        <v>6189</v>
      </c>
      <c r="B456" s="8" t="s">
        <v>4679</v>
      </c>
      <c r="C456" s="11">
        <v>2011</v>
      </c>
      <c r="D456" s="8" t="s">
        <v>3372</v>
      </c>
      <c r="E456" s="8"/>
      <c r="F456" s="8" t="s">
        <v>6034</v>
      </c>
      <c r="G456" s="8" t="str" cm="1">
        <f t="array" ref="G456">LOWER(CleanCode(F456))</f>
        <v>thesocialcontextofassimilationtestingimplicationsofsegmentedassimilationtheory</v>
      </c>
      <c r="H456" s="8"/>
      <c r="I456" s="8"/>
      <c r="J456" s="8" t="s">
        <v>6037</v>
      </c>
      <c r="K456" s="8"/>
      <c r="L456" s="8"/>
      <c r="M456" s="8" t="s">
        <v>5578</v>
      </c>
      <c r="N456" s="8" t="str">
        <f t="shared" si="7"/>
        <v>Social Science Research</v>
      </c>
      <c r="O456" s="8" t="str">
        <f>"0049089X"</f>
        <v>0049089X</v>
      </c>
      <c r="P456" s="8"/>
      <c r="Q456" s="8"/>
      <c r="R456" s="8" t="str">
        <f>"20110501"</f>
        <v>20110501</v>
      </c>
      <c r="S456" s="8">
        <v>40</v>
      </c>
      <c r="T456" s="8">
        <v>3</v>
      </c>
      <c r="U456" s="8">
        <v>965</v>
      </c>
      <c r="V456" s="8"/>
      <c r="W456" s="8">
        <v>20</v>
      </c>
      <c r="X456" s="8"/>
      <c r="Y456" s="8"/>
      <c r="Z456" s="8"/>
      <c r="AA456" s="8"/>
      <c r="AB456" s="8"/>
      <c r="AC456" s="8"/>
      <c r="AD456" s="8" t="s">
        <v>6035</v>
      </c>
      <c r="AE456" s="8" t="s">
        <v>3381</v>
      </c>
      <c r="AF456" s="8"/>
      <c r="AG456" s="8" t="s">
        <v>4735</v>
      </c>
      <c r="AH456" s="8"/>
      <c r="AI456" s="8"/>
      <c r="AJ456" s="8" t="s">
        <v>6036</v>
      </c>
      <c r="AK456" s="8"/>
      <c r="AL456" s="8" t="s">
        <v>6038</v>
      </c>
      <c r="AM456" s="8"/>
      <c r="AN456" s="8"/>
      <c r="AO456" s="8"/>
      <c r="AP456" s="8"/>
      <c r="AQ456" s="8"/>
      <c r="AR456" s="8"/>
      <c r="AS456" s="8"/>
      <c r="AT456" s="8"/>
      <c r="AU456" s="8"/>
      <c r="AV456" s="8"/>
      <c r="AW456" s="8"/>
      <c r="AX456" s="8"/>
      <c r="AY456" s="8"/>
      <c r="AZ456" s="8"/>
      <c r="BA456" s="8"/>
      <c r="BB456" s="8"/>
      <c r="BC456" s="8"/>
      <c r="BD456" s="8"/>
      <c r="BE456" s="8"/>
      <c r="BF456" s="8"/>
      <c r="BG456" s="8"/>
      <c r="BH456" s="8"/>
      <c r="BI456" s="8"/>
      <c r="BJ456" s="8"/>
      <c r="BK456" s="8"/>
      <c r="BL456" s="8"/>
      <c r="BM456" s="8"/>
      <c r="BN456" s="8"/>
      <c r="BO456" s="8"/>
      <c r="BP456" s="8"/>
      <c r="BQ456" s="8"/>
      <c r="BR456" s="8"/>
      <c r="BS456" s="8"/>
      <c r="BT456" s="8"/>
      <c r="BU456" s="8"/>
      <c r="BV456" s="8"/>
      <c r="BW456" s="8"/>
      <c r="BX456" s="8"/>
      <c r="BY456" s="8"/>
      <c r="BZ456" s="8"/>
    </row>
    <row r="457" spans="1:78" ht="13" customHeight="1" x14ac:dyDescent="0.15">
      <c r="A457" s="8" t="s">
        <v>6189</v>
      </c>
      <c r="B457" s="8" t="s">
        <v>4679</v>
      </c>
      <c r="C457" s="11">
        <v>2015</v>
      </c>
      <c r="D457" s="8" t="s">
        <v>2679</v>
      </c>
      <c r="E457" s="8"/>
      <c r="F457" s="8" t="s">
        <v>6039</v>
      </c>
      <c r="G457" s="8" t="str" cm="1">
        <f t="array" ref="G457">LOWER(CleanCode(F457))</f>
        <v>thespectreofjapantheinfluenceofforeignrelationsonracerelationstheory190524</v>
      </c>
      <c r="H457" s="8"/>
      <c r="I457" s="8"/>
      <c r="J457" s="8" t="s">
        <v>6043</v>
      </c>
      <c r="K457" s="8"/>
      <c r="L457" s="8"/>
      <c r="M457" s="8" t="s">
        <v>6040</v>
      </c>
      <c r="N457" s="8" t="str">
        <f t="shared" si="7"/>
        <v>Patterns Of Prejudice</v>
      </c>
      <c r="O457" s="8" t="str">
        <f>"0031322X"</f>
        <v>0031322X</v>
      </c>
      <c r="P457" s="8"/>
      <c r="Q457" s="8"/>
      <c r="R457" s="8" t="str">
        <f>"20150801"</f>
        <v>20150801</v>
      </c>
      <c r="S457" s="8">
        <v>49</v>
      </c>
      <c r="T457" s="8">
        <v>4</v>
      </c>
      <c r="U457" s="8">
        <v>317</v>
      </c>
      <c r="V457" s="8"/>
      <c r="W457" s="8">
        <v>26</v>
      </c>
      <c r="X457" s="8"/>
      <c r="Y457" s="8"/>
      <c r="Z457" s="8"/>
      <c r="AA457" s="8"/>
      <c r="AB457" s="8"/>
      <c r="AC457" s="8"/>
      <c r="AD457" s="8" t="s">
        <v>6041</v>
      </c>
      <c r="AE457" s="8" t="s">
        <v>2693</v>
      </c>
      <c r="AF457" s="8"/>
      <c r="AG457" s="8" t="s">
        <v>4728</v>
      </c>
      <c r="AH457" s="8"/>
      <c r="AI457" s="8"/>
      <c r="AJ457" s="8" t="s">
        <v>6042</v>
      </c>
      <c r="AK457" s="8"/>
      <c r="AL457" s="8" t="s">
        <v>6044</v>
      </c>
      <c r="AM457" s="8"/>
      <c r="AN457" s="8"/>
      <c r="AO457" s="8"/>
      <c r="AP457" s="8"/>
      <c r="AQ457" s="8"/>
      <c r="AR457" s="8"/>
      <c r="AS457" s="8"/>
      <c r="AT457" s="8"/>
      <c r="AU457" s="8"/>
      <c r="AV457" s="8"/>
      <c r="AW457" s="8"/>
      <c r="AX457" s="8"/>
      <c r="AY457" s="8"/>
      <c r="AZ457" s="8"/>
      <c r="BA457" s="8"/>
      <c r="BB457" s="8"/>
      <c r="BC457" s="8"/>
      <c r="BD457" s="8"/>
      <c r="BE457" s="8"/>
      <c r="BF457" s="8"/>
      <c r="BG457" s="8"/>
      <c r="BH457" s="8"/>
      <c r="BI457" s="8"/>
      <c r="BJ457" s="8"/>
      <c r="BK457" s="8"/>
      <c r="BL457" s="8"/>
      <c r="BM457" s="8"/>
      <c r="BN457" s="8"/>
      <c r="BO457" s="8"/>
      <c r="BP457" s="8"/>
      <c r="BQ457" s="8"/>
      <c r="BR457" s="8"/>
      <c r="BS457" s="8"/>
      <c r="BT457" s="8"/>
      <c r="BU457" s="8"/>
      <c r="BV457" s="8"/>
      <c r="BW457" s="8"/>
      <c r="BX457" s="8"/>
      <c r="BY457" s="8"/>
      <c r="BZ457" s="8"/>
    </row>
    <row r="458" spans="1:78" ht="13" customHeight="1" x14ac:dyDescent="0.15">
      <c r="A458" s="8" t="s">
        <v>6189</v>
      </c>
      <c r="B458" s="8" t="s">
        <v>4773</v>
      </c>
      <c r="C458" s="11">
        <v>2013</v>
      </c>
      <c r="D458" s="8" t="s">
        <v>6046</v>
      </c>
      <c r="E458" s="8"/>
      <c r="F458" s="8" t="s">
        <v>6045</v>
      </c>
      <c r="G458" s="8" t="str" cm="1">
        <f t="array" ref="G458">LOWER(CleanCode(F458))</f>
        <v>theoreticalperspectivesonacculturationandimmigration</v>
      </c>
      <c r="H458" s="8"/>
      <c r="I458" s="8"/>
      <c r="J458" s="8" t="s">
        <v>6050</v>
      </c>
      <c r="K458" s="8"/>
      <c r="L458" s="8"/>
      <c r="M458" s="8" t="s">
        <v>6047</v>
      </c>
      <c r="N458" s="8" t="str">
        <f t="shared" si="7"/>
        <v>Handbook Of Family Theories: A Content-Based Approach.</v>
      </c>
      <c r="O458" s="8"/>
      <c r="P458" s="8"/>
      <c r="Q458" s="8" t="str">
        <f>"9780415657228; 9780415879453; 9780203075180"</f>
        <v>9780415657228; 9780415879453; 9780203075180</v>
      </c>
      <c r="R458" s="8" t="str">
        <f>"20130101"</f>
        <v>20130101</v>
      </c>
      <c r="S458" s="8"/>
      <c r="T458" s="8"/>
      <c r="U458" s="8">
        <v>316</v>
      </c>
      <c r="V458" s="8"/>
      <c r="W458" s="8">
        <v>22</v>
      </c>
      <c r="X458" s="8"/>
      <c r="Y458" s="8"/>
      <c r="Z458" s="8"/>
      <c r="AA458" s="8"/>
      <c r="AB458" s="8"/>
      <c r="AC458" s="8"/>
      <c r="AD458" s="8" t="s">
        <v>6048</v>
      </c>
      <c r="AE458" s="8"/>
      <c r="AF458" s="8"/>
      <c r="AG458" s="8" t="s">
        <v>5194</v>
      </c>
      <c r="AH458" s="8"/>
      <c r="AI458" s="8"/>
      <c r="AJ458" s="8" t="s">
        <v>6049</v>
      </c>
      <c r="AK458" s="8"/>
      <c r="AL458" s="8" t="s">
        <v>6051</v>
      </c>
      <c r="AM458" s="8"/>
      <c r="AN458" s="8"/>
      <c r="AO458" s="8"/>
      <c r="AP458" s="8"/>
      <c r="AQ458" s="8"/>
      <c r="AR458" s="8"/>
      <c r="AS458" s="8"/>
      <c r="AT458" s="8"/>
      <c r="AU458" s="8"/>
      <c r="AV458" s="8"/>
      <c r="AW458" s="8"/>
      <c r="AX458" s="8"/>
      <c r="AY458" s="8"/>
      <c r="AZ458" s="8"/>
      <c r="BA458" s="8"/>
      <c r="BB458" s="8"/>
      <c r="BC458" s="8"/>
      <c r="BD458" s="8"/>
      <c r="BE458" s="8"/>
      <c r="BF458" s="8"/>
      <c r="BG458" s="8"/>
      <c r="BH458" s="8"/>
      <c r="BI458" s="8"/>
      <c r="BJ458" s="8"/>
      <c r="BK458" s="8"/>
      <c r="BL458" s="8"/>
      <c r="BM458" s="8"/>
      <c r="BN458" s="8"/>
      <c r="BO458" s="8"/>
      <c r="BP458" s="8"/>
      <c r="BQ458" s="8"/>
      <c r="BR458" s="8"/>
      <c r="BS458" s="8"/>
      <c r="BT458" s="8"/>
      <c r="BU458" s="8"/>
      <c r="BV458" s="8"/>
      <c r="BW458" s="8"/>
      <c r="BX458" s="8"/>
      <c r="BY458" s="8"/>
      <c r="BZ458" s="8"/>
    </row>
    <row r="459" spans="1:78" ht="13" customHeight="1" x14ac:dyDescent="0.15">
      <c r="A459" s="8" t="s">
        <v>6189</v>
      </c>
      <c r="B459" s="8" t="s">
        <v>4679</v>
      </c>
      <c r="C459" s="11">
        <v>2017</v>
      </c>
      <c r="D459" s="8" t="s">
        <v>1964</v>
      </c>
      <c r="E459" s="8"/>
      <c r="F459" s="8" t="s">
        <v>6052</v>
      </c>
      <c r="G459" s="8" t="str" cm="1">
        <f t="array" ref="G459">LOWER(CleanCode(F459))</f>
        <v>theoreticalperspectivesonissuesandinterventionsrelatedtomigrantresettlementincanada</v>
      </c>
      <c r="H459" s="8"/>
      <c r="I459" s="8"/>
      <c r="J459" s="8" t="s">
        <v>6055</v>
      </c>
      <c r="K459" s="8"/>
      <c r="L459" s="8"/>
      <c r="M459" s="8" t="s">
        <v>4747</v>
      </c>
      <c r="N459" s="8" t="str">
        <f t="shared" si="7"/>
        <v>Journal Of Transcultural Nursing</v>
      </c>
      <c r="O459" s="8" t="str">
        <f>"10436596"</f>
        <v>10436596</v>
      </c>
      <c r="P459" s="8"/>
      <c r="Q459" s="8"/>
      <c r="R459" s="8" t="str">
        <f>"20170501"</f>
        <v>20170501</v>
      </c>
      <c r="S459" s="8">
        <v>28</v>
      </c>
      <c r="T459" s="8">
        <v>3</v>
      </c>
      <c r="U459" s="8">
        <v>230</v>
      </c>
      <c r="V459" s="8"/>
      <c r="W459" s="8">
        <v>6</v>
      </c>
      <c r="X459" s="8"/>
      <c r="Y459" s="8"/>
      <c r="Z459" s="8"/>
      <c r="AA459" s="8"/>
      <c r="AB459" s="8"/>
      <c r="AC459" s="8"/>
      <c r="AD459" s="8" t="s">
        <v>6053</v>
      </c>
      <c r="AE459" s="8" t="s">
        <v>1978</v>
      </c>
      <c r="AF459" s="8"/>
      <c r="AG459" s="8" t="s">
        <v>4678</v>
      </c>
      <c r="AH459" s="8"/>
      <c r="AI459" s="8"/>
      <c r="AJ459" s="8" t="s">
        <v>6054</v>
      </c>
      <c r="AK459" s="8"/>
      <c r="AL459" s="8" t="s">
        <v>6056</v>
      </c>
      <c r="AM459" s="8"/>
      <c r="AN459" s="8"/>
      <c r="AO459" s="8"/>
      <c r="AP459" s="8"/>
      <c r="AQ459" s="8"/>
      <c r="AR459" s="8"/>
      <c r="AS459" s="8"/>
      <c r="AT459" s="8"/>
      <c r="AU459" s="8"/>
      <c r="AV459" s="8"/>
      <c r="AW459" s="8"/>
      <c r="AX459" s="8"/>
      <c r="AY459" s="8"/>
      <c r="AZ459" s="8"/>
      <c r="BA459" s="8"/>
      <c r="BB459" s="8"/>
      <c r="BC459" s="8"/>
      <c r="BD459" s="8"/>
      <c r="BE459" s="8"/>
      <c r="BF459" s="8"/>
      <c r="BG459" s="8"/>
      <c r="BH459" s="8"/>
      <c r="BI459" s="8"/>
      <c r="BJ459" s="8"/>
      <c r="BK459" s="8"/>
      <c r="BL459" s="8"/>
      <c r="BM459" s="8"/>
      <c r="BN459" s="8"/>
      <c r="BO459" s="8"/>
      <c r="BP459" s="8"/>
      <c r="BQ459" s="8"/>
      <c r="BR459" s="8"/>
      <c r="BS459" s="8"/>
      <c r="BT459" s="8"/>
      <c r="BU459" s="8"/>
      <c r="BV459" s="8"/>
      <c r="BW459" s="8"/>
      <c r="BX459" s="8"/>
      <c r="BY459" s="8"/>
      <c r="BZ459" s="8"/>
    </row>
    <row r="460" spans="1:78" ht="13" customHeight="1" x14ac:dyDescent="0.15">
      <c r="A460" s="8" t="s">
        <v>6189</v>
      </c>
      <c r="B460" s="8"/>
      <c r="C460" s="11">
        <v>2019</v>
      </c>
      <c r="D460" s="8" t="s">
        <v>992</v>
      </c>
      <c r="E460" s="8"/>
      <c r="F460" s="8" t="s">
        <v>6057</v>
      </c>
      <c r="G460" s="8" t="str" cm="1">
        <f t="array" ref="G460">LOWER(CleanCode(F460))</f>
        <v>theoreticalempiricalandpracticeliteratureonlanguagebrokeringfamilyacademicandpsychologicaloutcomes</v>
      </c>
      <c r="H460" s="8"/>
      <c r="I460" s="8"/>
      <c r="J460" s="8" t="s">
        <v>6059</v>
      </c>
      <c r="K460" s="8"/>
      <c r="L460" s="8"/>
      <c r="M460" s="8" t="s">
        <v>5737</v>
      </c>
      <c r="N460" s="8" t="str">
        <f t="shared" si="7"/>
        <v>Journal Of Human Behavior In The Social Environment</v>
      </c>
      <c r="O460" s="8" t="str">
        <f>"10911359"</f>
        <v>10911359</v>
      </c>
      <c r="P460" s="8"/>
      <c r="Q460" s="8"/>
      <c r="R460" s="8" t="str">
        <f>"20190615"</f>
        <v>20190615</v>
      </c>
      <c r="S460" s="8"/>
      <c r="T460" s="8"/>
      <c r="U460" s="8"/>
      <c r="V460" s="8"/>
      <c r="W460" s="8"/>
      <c r="X460" s="8"/>
      <c r="Y460" s="8"/>
      <c r="Z460" s="8"/>
      <c r="AA460" s="8"/>
      <c r="AB460" s="8"/>
      <c r="AC460" s="8"/>
      <c r="AD460" s="8" t="s">
        <v>6058</v>
      </c>
      <c r="AE460" s="8" t="s">
        <v>1007</v>
      </c>
      <c r="AF460" s="8"/>
      <c r="AG460" s="8" t="s">
        <v>4728</v>
      </c>
      <c r="AH460" s="8"/>
      <c r="AI460" s="8"/>
      <c r="AJ460" s="8" t="s">
        <v>5171</v>
      </c>
      <c r="AK460" s="8"/>
      <c r="AL460" s="8" t="s">
        <v>6060</v>
      </c>
      <c r="AM460" s="8"/>
      <c r="AN460" s="8"/>
      <c r="AO460" s="8"/>
      <c r="AP460" s="8"/>
      <c r="AQ460" s="8"/>
      <c r="AR460" s="8"/>
      <c r="AS460" s="8"/>
      <c r="AT460" s="8"/>
      <c r="AU460" s="8"/>
      <c r="AV460" s="8"/>
      <c r="AW460" s="8"/>
      <c r="AX460" s="8"/>
      <c r="AY460" s="8"/>
      <c r="AZ460" s="8"/>
      <c r="BA460" s="8"/>
      <c r="BB460" s="8"/>
      <c r="BC460" s="8"/>
      <c r="BD460" s="8"/>
      <c r="BE460" s="8"/>
      <c r="BF460" s="8"/>
      <c r="BG460" s="8"/>
      <c r="BH460" s="8"/>
      <c r="BI460" s="8"/>
      <c r="BJ460" s="8"/>
      <c r="BK460" s="8"/>
      <c r="BL460" s="8"/>
      <c r="BM460" s="8"/>
      <c r="BN460" s="8"/>
      <c r="BO460" s="8"/>
      <c r="BP460" s="8"/>
      <c r="BQ460" s="8"/>
      <c r="BR460" s="8"/>
      <c r="BS460" s="8"/>
      <c r="BT460" s="8"/>
      <c r="BU460" s="8"/>
      <c r="BV460" s="8"/>
      <c r="BW460" s="8"/>
      <c r="BX460" s="8"/>
      <c r="BY460" s="8"/>
      <c r="BZ460" s="8"/>
    </row>
    <row r="461" spans="1:78" ht="13" customHeight="1" x14ac:dyDescent="0.15">
      <c r="A461" s="8" t="s">
        <v>6189</v>
      </c>
      <c r="B461" s="8" t="s">
        <v>4773</v>
      </c>
      <c r="C461" s="11">
        <v>2011</v>
      </c>
      <c r="D461" s="8" t="s">
        <v>6062</v>
      </c>
      <c r="E461" s="8"/>
      <c r="F461" s="8" t="s">
        <v>6061</v>
      </c>
      <c r="G461" s="8" t="str" cm="1">
        <f t="array" ref="G461">LOWER(CleanCode(F461))</f>
        <v>theoriesofacculturationandculturalidentity</v>
      </c>
      <c r="H461" s="8"/>
      <c r="I461" s="8"/>
      <c r="J461" s="8" t="s">
        <v>6066</v>
      </c>
      <c r="K461" s="8"/>
      <c r="L461" s="8"/>
      <c r="M461" s="8" t="s">
        <v>6063</v>
      </c>
      <c r="N461" s="8" t="str">
        <f t="shared" si="7"/>
        <v>Working With Immigrant Families: A Practical Guide For Counselors.</v>
      </c>
      <c r="O461" s="8"/>
      <c r="P461" s="8"/>
      <c r="Q461" s="8" t="str">
        <f>"9780415800617"</f>
        <v>9780415800617</v>
      </c>
      <c r="R461" s="8" t="str">
        <f>"20110101"</f>
        <v>20110101</v>
      </c>
      <c r="S461" s="8"/>
      <c r="T461" s="8"/>
      <c r="U461" s="8">
        <v>21</v>
      </c>
      <c r="V461" s="8"/>
      <c r="W461" s="8">
        <v>17</v>
      </c>
      <c r="X461" s="8"/>
      <c r="Y461" s="8"/>
      <c r="Z461" s="8"/>
      <c r="AA461" s="8"/>
      <c r="AB461" s="8"/>
      <c r="AC461" s="8"/>
      <c r="AD461" s="8" t="s">
        <v>6064</v>
      </c>
      <c r="AE461" s="8"/>
      <c r="AF461" s="8"/>
      <c r="AG461" s="8" t="s">
        <v>5194</v>
      </c>
      <c r="AH461" s="8"/>
      <c r="AI461" s="8"/>
      <c r="AJ461" s="8" t="s">
        <v>6065</v>
      </c>
      <c r="AK461" s="8"/>
      <c r="AL461" s="8" t="s">
        <v>6067</v>
      </c>
      <c r="AM461" s="8"/>
      <c r="AN461" s="8"/>
      <c r="AO461" s="8"/>
      <c r="AP461" s="8"/>
      <c r="AQ461" s="8"/>
      <c r="AR461" s="8"/>
      <c r="AS461" s="8"/>
      <c r="AT461" s="8"/>
      <c r="AU461" s="8"/>
      <c r="AV461" s="8"/>
      <c r="AW461" s="8"/>
      <c r="AX461" s="8"/>
      <c r="AY461" s="8"/>
      <c r="AZ461" s="8"/>
      <c r="BA461" s="8"/>
      <c r="BB461" s="8"/>
      <c r="BC461" s="8"/>
      <c r="BD461" s="8"/>
      <c r="BE461" s="8"/>
      <c r="BF461" s="8"/>
      <c r="BG461" s="8"/>
      <c r="BH461" s="8"/>
      <c r="BI461" s="8"/>
      <c r="BJ461" s="8"/>
      <c r="BK461" s="8"/>
      <c r="BL461" s="8"/>
      <c r="BM461" s="8"/>
      <c r="BN461" s="8"/>
      <c r="BO461" s="8"/>
      <c r="BP461" s="8"/>
      <c r="BQ461" s="8"/>
      <c r="BR461" s="8"/>
      <c r="BS461" s="8"/>
      <c r="BT461" s="8"/>
      <c r="BU461" s="8"/>
      <c r="BV461" s="8"/>
      <c r="BW461" s="8"/>
      <c r="BX461" s="8"/>
      <c r="BY461" s="8"/>
      <c r="BZ461" s="8"/>
    </row>
    <row r="462" spans="1:78" ht="13" customHeight="1" x14ac:dyDescent="0.15">
      <c r="A462" s="8" t="s">
        <v>6189</v>
      </c>
      <c r="B462" s="8" t="s">
        <v>4773</v>
      </c>
      <c r="C462" s="11">
        <v>2011</v>
      </c>
      <c r="D462" s="8" t="s">
        <v>6069</v>
      </c>
      <c r="E462" s="8"/>
      <c r="F462" s="8" t="s">
        <v>6068</v>
      </c>
      <c r="G462" s="8" t="str" cm="1">
        <f t="array" ref="G462">LOWER(CleanCode(F462))</f>
        <v>theoriesoffamilytherapy</v>
      </c>
      <c r="H462" s="8"/>
      <c r="I462" s="8"/>
      <c r="J462" s="8" t="s">
        <v>6072</v>
      </c>
      <c r="K462" s="8"/>
      <c r="L462" s="8"/>
      <c r="M462" s="8" t="s">
        <v>6063</v>
      </c>
      <c r="N462" s="8" t="str">
        <f t="shared" si="7"/>
        <v>Working With Immigrant Families: A Practical Guide For Counselors.</v>
      </c>
      <c r="O462" s="8"/>
      <c r="P462" s="8"/>
      <c r="Q462" s="8" t="str">
        <f>"9780415800617"</f>
        <v>9780415800617</v>
      </c>
      <c r="R462" s="8" t="str">
        <f>"20110101"</f>
        <v>20110101</v>
      </c>
      <c r="S462" s="8"/>
      <c r="T462" s="8"/>
      <c r="U462" s="8">
        <v>39</v>
      </c>
      <c r="V462" s="8"/>
      <c r="W462" s="8">
        <v>19</v>
      </c>
      <c r="X462" s="8"/>
      <c r="Y462" s="8"/>
      <c r="Z462" s="8"/>
      <c r="AA462" s="8"/>
      <c r="AB462" s="8"/>
      <c r="AC462" s="8"/>
      <c r="AD462" s="8" t="s">
        <v>6070</v>
      </c>
      <c r="AE462" s="8"/>
      <c r="AF462" s="8"/>
      <c r="AG462" s="8" t="s">
        <v>5194</v>
      </c>
      <c r="AH462" s="8"/>
      <c r="AI462" s="8"/>
      <c r="AJ462" s="8" t="s">
        <v>6071</v>
      </c>
      <c r="AK462" s="8"/>
      <c r="AL462" s="8" t="s">
        <v>6073</v>
      </c>
      <c r="AM462" s="8"/>
      <c r="AN462" s="8"/>
      <c r="AO462" s="8"/>
      <c r="AP462" s="8"/>
      <c r="AQ462" s="8"/>
      <c r="AR462" s="8"/>
      <c r="AS462" s="8"/>
      <c r="AT462" s="8"/>
      <c r="AU462" s="8"/>
      <c r="AV462" s="8"/>
      <c r="AW462" s="8"/>
      <c r="AX462" s="8"/>
      <c r="AY462" s="8"/>
      <c r="AZ462" s="8"/>
      <c r="BA462" s="8"/>
      <c r="BB462" s="8"/>
      <c r="BC462" s="8"/>
      <c r="BD462" s="8"/>
      <c r="BE462" s="8"/>
      <c r="BF462" s="8"/>
      <c r="BG462" s="8"/>
      <c r="BH462" s="8"/>
      <c r="BI462" s="8"/>
      <c r="BJ462" s="8"/>
      <c r="BK462" s="8"/>
      <c r="BL462" s="8"/>
      <c r="BM462" s="8"/>
      <c r="BN462" s="8"/>
      <c r="BO462" s="8"/>
      <c r="BP462" s="8"/>
      <c r="BQ462" s="8"/>
      <c r="BR462" s="8"/>
      <c r="BS462" s="8"/>
      <c r="BT462" s="8"/>
      <c r="BU462" s="8"/>
      <c r="BV462" s="8"/>
      <c r="BW462" s="8"/>
      <c r="BX462" s="8"/>
      <c r="BY462" s="8"/>
      <c r="BZ462" s="8"/>
    </row>
    <row r="463" spans="1:78" ht="13" customHeight="1" x14ac:dyDescent="0.15">
      <c r="A463" s="8" t="s">
        <v>6189</v>
      </c>
      <c r="B463" s="8" t="s">
        <v>4679</v>
      </c>
      <c r="C463" s="11">
        <v>2006</v>
      </c>
      <c r="D463" s="8" t="s">
        <v>6075</v>
      </c>
      <c r="E463" s="8"/>
      <c r="F463" s="8" t="s">
        <v>6074</v>
      </c>
      <c r="G463" s="8" t="str" cm="1">
        <f t="array" ref="G463">LOWER(CleanCode(F463))</f>
        <v>theoriesonimmigrantwomenshealth</v>
      </c>
      <c r="H463" s="8"/>
      <c r="I463" s="8"/>
      <c r="J463" s="8" t="s">
        <v>6080</v>
      </c>
      <c r="K463" s="8"/>
      <c r="L463" s="8"/>
      <c r="M463" s="8" t="s">
        <v>6076</v>
      </c>
      <c r="N463" s="8" t="str">
        <f t="shared" si="7"/>
        <v>Health Care For Women International</v>
      </c>
      <c r="O463" s="8" t="str">
        <f>"07399332"</f>
        <v>07399332</v>
      </c>
      <c r="P463" s="8"/>
      <c r="Q463" s="8"/>
      <c r="R463" s="8" t="str">
        <f>"20060901"</f>
        <v>20060901</v>
      </c>
      <c r="S463" s="8">
        <v>27</v>
      </c>
      <c r="T463" s="8">
        <v>8</v>
      </c>
      <c r="U463" s="8">
        <v>666</v>
      </c>
      <c r="V463" s="8"/>
      <c r="W463" s="8">
        <v>16</v>
      </c>
      <c r="X463" s="8"/>
      <c r="Y463" s="8"/>
      <c r="Z463" s="8"/>
      <c r="AA463" s="8"/>
      <c r="AB463" s="8"/>
      <c r="AC463" s="8"/>
      <c r="AD463" s="8" t="s">
        <v>6077</v>
      </c>
      <c r="AE463" s="8" t="s">
        <v>6078</v>
      </c>
      <c r="AF463" s="8"/>
      <c r="AG463" s="8" t="s">
        <v>4728</v>
      </c>
      <c r="AH463" s="8"/>
      <c r="AI463" s="8"/>
      <c r="AJ463" s="8" t="s">
        <v>6079</v>
      </c>
      <c r="AK463" s="8"/>
      <c r="AL463" s="8" t="s">
        <v>6081</v>
      </c>
      <c r="AM463" s="8"/>
      <c r="AN463" s="8"/>
      <c r="AO463" s="8"/>
      <c r="AP463" s="8"/>
      <c r="AQ463" s="8"/>
      <c r="AR463" s="8"/>
      <c r="AS463" s="8"/>
      <c r="AT463" s="8"/>
      <c r="AU463" s="8"/>
      <c r="AV463" s="8"/>
      <c r="AW463" s="8"/>
      <c r="AX463" s="8"/>
      <c r="AY463" s="8"/>
      <c r="AZ463" s="8"/>
      <c r="BA463" s="8"/>
      <c r="BB463" s="8"/>
      <c r="BC463" s="8"/>
      <c r="BD463" s="8"/>
      <c r="BE463" s="8"/>
      <c r="BF463" s="8"/>
      <c r="BG463" s="8"/>
      <c r="BH463" s="8"/>
      <c r="BI463" s="8"/>
      <c r="BJ463" s="8"/>
      <c r="BK463" s="8"/>
      <c r="BL463" s="8"/>
      <c r="BM463" s="8"/>
      <c r="BN463" s="8"/>
      <c r="BO463" s="8"/>
      <c r="BP463" s="8"/>
      <c r="BQ463" s="8"/>
      <c r="BR463" s="8"/>
      <c r="BS463" s="8"/>
      <c r="BT463" s="8"/>
      <c r="BU463" s="8"/>
      <c r="BV463" s="8"/>
      <c r="BW463" s="8"/>
      <c r="BX463" s="8"/>
      <c r="BY463" s="8"/>
      <c r="BZ463" s="8"/>
    </row>
    <row r="464" spans="1:78" ht="13" customHeight="1" x14ac:dyDescent="0.15">
      <c r="A464" s="8" t="s">
        <v>6189</v>
      </c>
      <c r="B464" s="8" t="s">
        <v>4679</v>
      </c>
      <c r="C464" s="11">
        <v>2009</v>
      </c>
      <c r="D464" s="8" t="s">
        <v>3726</v>
      </c>
      <c r="E464" s="8"/>
      <c r="F464" s="8" t="s">
        <v>6082</v>
      </c>
      <c r="G464" s="8" t="str" cm="1">
        <f t="array" ref="G464">LOWER(CleanCode(F464))</f>
        <v>theorizingidentityintransnationalanddiasporaculturesacriticalapproachtoacculturation</v>
      </c>
      <c r="H464" s="8"/>
      <c r="I464" s="8"/>
      <c r="J464" s="8" t="s">
        <v>6084</v>
      </c>
      <c r="K464" s="8"/>
      <c r="L464" s="8"/>
      <c r="M464" s="8" t="s">
        <v>4733</v>
      </c>
      <c r="N464" s="8" t="str">
        <f t="shared" si="7"/>
        <v>International Journal Of Intercultural Relations</v>
      </c>
      <c r="O464" s="8" t="str">
        <f>"01471767"</f>
        <v>01471767</v>
      </c>
      <c r="P464" s="8"/>
      <c r="Q464" s="8"/>
      <c r="R464" s="8" t="str">
        <f>"20090301"</f>
        <v>20090301</v>
      </c>
      <c r="S464" s="8">
        <v>33</v>
      </c>
      <c r="T464" s="8">
        <v>2</v>
      </c>
      <c r="U464" s="8">
        <v>140</v>
      </c>
      <c r="V464" s="8"/>
      <c r="W464" s="8">
        <v>10</v>
      </c>
      <c r="X464" s="8"/>
      <c r="Y464" s="8"/>
      <c r="Z464" s="8"/>
      <c r="AA464" s="8"/>
      <c r="AB464" s="8"/>
      <c r="AC464" s="8"/>
      <c r="AD464" s="8" t="s">
        <v>6083</v>
      </c>
      <c r="AE464" s="8" t="s">
        <v>3733</v>
      </c>
      <c r="AF464" s="8"/>
      <c r="AG464" s="8" t="s">
        <v>4735</v>
      </c>
      <c r="AH464" s="8"/>
      <c r="AI464" s="8"/>
      <c r="AJ464" s="8" t="s">
        <v>4814</v>
      </c>
      <c r="AK464" s="8"/>
      <c r="AL464" s="8" t="s">
        <v>6085</v>
      </c>
      <c r="AM464" s="8"/>
      <c r="AN464" s="8"/>
      <c r="AO464" s="8"/>
      <c r="AP464" s="8"/>
      <c r="AQ464" s="8"/>
      <c r="AR464" s="8"/>
      <c r="AS464" s="8"/>
      <c r="AT464" s="8"/>
      <c r="AU464" s="8"/>
      <c r="AV464" s="8"/>
      <c r="AW464" s="8"/>
      <c r="AX464" s="8"/>
      <c r="AY464" s="8"/>
      <c r="AZ464" s="8"/>
      <c r="BA464" s="8"/>
      <c r="BB464" s="8"/>
      <c r="BC464" s="8"/>
      <c r="BD464" s="8"/>
      <c r="BE464" s="8"/>
      <c r="BF464" s="8"/>
      <c r="BG464" s="8"/>
      <c r="BH464" s="8"/>
      <c r="BI464" s="8"/>
      <c r="BJ464" s="8"/>
      <c r="BK464" s="8"/>
      <c r="BL464" s="8"/>
      <c r="BM464" s="8"/>
      <c r="BN464" s="8"/>
      <c r="BO464" s="8"/>
      <c r="BP464" s="8"/>
      <c r="BQ464" s="8"/>
      <c r="BR464" s="8"/>
      <c r="BS464" s="8"/>
      <c r="BT464" s="8"/>
      <c r="BU464" s="8"/>
      <c r="BV464" s="8"/>
      <c r="BW464" s="8"/>
      <c r="BX464" s="8"/>
      <c r="BY464" s="8"/>
      <c r="BZ464" s="8"/>
    </row>
    <row r="465" spans="1:78" ht="13" customHeight="1" x14ac:dyDescent="0.15">
      <c r="A465" s="8" t="s">
        <v>6189</v>
      </c>
      <c r="B465" s="8" t="s">
        <v>4679</v>
      </c>
      <c r="C465" s="11">
        <v>1978</v>
      </c>
      <c r="D465" s="8" t="s">
        <v>6087</v>
      </c>
      <c r="E465" s="8"/>
      <c r="F465" s="8" t="s">
        <v>6086</v>
      </c>
      <c r="G465" s="8" t="str" cm="1">
        <f t="array" ref="G465">LOWER(CleanCode(F465))</f>
        <v>theoryandmeasurementofacculturation</v>
      </c>
      <c r="H465" s="8"/>
      <c r="I465" s="8"/>
      <c r="J465" s="8" t="s">
        <v>6092</v>
      </c>
      <c r="K465" s="8"/>
      <c r="L465" s="8"/>
      <c r="M465" s="8" t="s">
        <v>6088</v>
      </c>
      <c r="N465" s="8" t="str">
        <f t="shared" si="7"/>
        <v>Revista Interamericana De Psicología</v>
      </c>
      <c r="O465" s="8" t="str">
        <f>"00349690"</f>
        <v>00349690</v>
      </c>
      <c r="P465" s="8"/>
      <c r="Q465" s="8"/>
      <c r="R465" s="8" t="str">
        <f>"19780101"</f>
        <v>19780101</v>
      </c>
      <c r="S465" s="8">
        <v>12</v>
      </c>
      <c r="T465" s="8">
        <v>2</v>
      </c>
      <c r="U465" s="8">
        <v>113</v>
      </c>
      <c r="V465" s="8"/>
      <c r="W465" s="8">
        <v>18</v>
      </c>
      <c r="X465" s="8"/>
      <c r="Y465" s="8"/>
      <c r="Z465" s="8"/>
      <c r="AA465" s="8"/>
      <c r="AB465" s="8"/>
      <c r="AC465" s="8"/>
      <c r="AD465" s="8" t="s">
        <v>6089</v>
      </c>
      <c r="AE465" s="8"/>
      <c r="AF465" s="8"/>
      <c r="AG465" s="8" t="s">
        <v>6090</v>
      </c>
      <c r="AH465" s="8"/>
      <c r="AI465" s="8"/>
      <c r="AJ465" s="8" t="s">
        <v>6091</v>
      </c>
      <c r="AK465" s="8"/>
      <c r="AL465" s="8" t="s">
        <v>6093</v>
      </c>
      <c r="AM465" s="8"/>
      <c r="AN465" s="8"/>
      <c r="AO465" s="8"/>
      <c r="AP465" s="8"/>
      <c r="AQ465" s="8"/>
      <c r="AR465" s="8"/>
      <c r="AS465" s="8"/>
      <c r="AT465" s="8"/>
      <c r="AU465" s="8"/>
      <c r="AV465" s="8"/>
      <c r="AW465" s="8"/>
      <c r="AX465" s="8"/>
      <c r="AY465" s="8"/>
      <c r="AZ465" s="8"/>
      <c r="BA465" s="8"/>
      <c r="BB465" s="8"/>
      <c r="BC465" s="8"/>
      <c r="BD465" s="8"/>
      <c r="BE465" s="8"/>
      <c r="BF465" s="8"/>
      <c r="BG465" s="8"/>
      <c r="BH465" s="8"/>
      <c r="BI465" s="8"/>
      <c r="BJ465" s="8"/>
      <c r="BK465" s="8"/>
      <c r="BL465" s="8"/>
      <c r="BM465" s="8"/>
      <c r="BN465" s="8"/>
      <c r="BO465" s="8"/>
      <c r="BP465" s="8"/>
      <c r="BQ465" s="8"/>
      <c r="BR465" s="8"/>
      <c r="BS465" s="8"/>
      <c r="BT465" s="8"/>
      <c r="BU465" s="8"/>
      <c r="BV465" s="8"/>
      <c r="BW465" s="8"/>
      <c r="BX465" s="8"/>
      <c r="BY465" s="8"/>
      <c r="BZ465" s="8"/>
    </row>
    <row r="466" spans="1:78" ht="13" customHeight="1" x14ac:dyDescent="0.15">
      <c r="A466" s="8" t="s">
        <v>6189</v>
      </c>
      <c r="B466" s="8" t="s">
        <v>4773</v>
      </c>
      <c r="C466" s="11">
        <v>2017</v>
      </c>
      <c r="D466" s="8" t="s">
        <v>6095</v>
      </c>
      <c r="E466" s="8"/>
      <c r="F466" s="8" t="s">
        <v>6094</v>
      </c>
      <c r="G466" s="8" t="str" cm="1">
        <f t="array" ref="G466">LOWER(CleanCode(F466))</f>
        <v>theoryandmeasurementofforeignerobjectification</v>
      </c>
      <c r="H466" s="8"/>
      <c r="I466" s="8"/>
      <c r="J466" s="8" t="s">
        <v>6098</v>
      </c>
      <c r="K466" s="8"/>
      <c r="L466" s="8"/>
      <c r="M466" s="8" t="s">
        <v>5277</v>
      </c>
      <c r="N466" s="8" t="str">
        <f t="shared" si="7"/>
        <v>The Oxford Handbook Of Acculturation And Health.</v>
      </c>
      <c r="O466" s="8"/>
      <c r="P466" s="8"/>
      <c r="Q466" s="8" t="str">
        <f>"9780190215217"</f>
        <v>9780190215217</v>
      </c>
      <c r="R466" s="8" t="str">
        <f>"20170101"</f>
        <v>20170101</v>
      </c>
      <c r="S466" s="8"/>
      <c r="T466" s="8"/>
      <c r="U466" s="8">
        <v>143</v>
      </c>
      <c r="V466" s="8"/>
      <c r="W466" s="8">
        <v>13</v>
      </c>
      <c r="X466" s="8"/>
      <c r="Y466" s="8"/>
      <c r="Z466" s="8"/>
      <c r="AA466" s="8"/>
      <c r="AB466" s="8"/>
      <c r="AC466" s="8"/>
      <c r="AD466" s="8" t="s">
        <v>6096</v>
      </c>
      <c r="AE466" s="8"/>
      <c r="AF466" s="8"/>
      <c r="AG466" s="8" t="s">
        <v>4813</v>
      </c>
      <c r="AH466" s="8"/>
      <c r="AI466" s="8"/>
      <c r="AJ466" s="8" t="s">
        <v>6097</v>
      </c>
      <c r="AK466" s="8"/>
      <c r="AL466" s="8" t="s">
        <v>6099</v>
      </c>
      <c r="AM466" s="8"/>
      <c r="AN466" s="8"/>
      <c r="AO466" s="8"/>
      <c r="AP466" s="8"/>
      <c r="AQ466" s="8"/>
      <c r="AR466" s="8"/>
      <c r="AS466" s="8"/>
      <c r="AT466" s="8"/>
      <c r="AU466" s="8"/>
      <c r="AV466" s="8"/>
      <c r="AW466" s="8"/>
      <c r="AX466" s="8"/>
      <c r="AY466" s="8"/>
      <c r="AZ466" s="8"/>
      <c r="BA466" s="8"/>
      <c r="BB466" s="8"/>
      <c r="BC466" s="8"/>
      <c r="BD466" s="8"/>
      <c r="BE466" s="8"/>
      <c r="BF466" s="8"/>
      <c r="BG466" s="8"/>
      <c r="BH466" s="8"/>
      <c r="BI466" s="8"/>
      <c r="BJ466" s="8"/>
      <c r="BK466" s="8"/>
      <c r="BL466" s="8"/>
      <c r="BM466" s="8"/>
      <c r="BN466" s="8"/>
      <c r="BO466" s="8"/>
      <c r="BP466" s="8"/>
      <c r="BQ466" s="8"/>
      <c r="BR466" s="8"/>
      <c r="BS466" s="8"/>
      <c r="BT466" s="8"/>
      <c r="BU466" s="8"/>
      <c r="BV466" s="8"/>
      <c r="BW466" s="8"/>
      <c r="BX466" s="8"/>
      <c r="BY466" s="8"/>
      <c r="BZ466" s="8"/>
    </row>
    <row r="467" spans="1:78" ht="13" customHeight="1" x14ac:dyDescent="0.15">
      <c r="A467" s="8" t="s">
        <v>6189</v>
      </c>
      <c r="B467" s="8" t="s">
        <v>4679</v>
      </c>
      <c r="C467" s="11">
        <v>1978</v>
      </c>
      <c r="D467" s="8" t="s">
        <v>6101</v>
      </c>
      <c r="E467" s="8"/>
      <c r="F467" s="8" t="s">
        <v>6100</v>
      </c>
      <c r="G467" s="8" t="str" cm="1">
        <f t="array" ref="G467">LOWER(CleanCode(F467))</f>
        <v>theoryandpracticeinmatchingtreatmenttothespecialcharacteristicsandproblemsofcubanimmigrants</v>
      </c>
      <c r="H467" s="8"/>
      <c r="I467" s="8"/>
      <c r="J467" s="8" t="s">
        <v>6106</v>
      </c>
      <c r="K467" s="8"/>
      <c r="L467" s="8"/>
      <c r="M467" s="8" t="s">
        <v>6102</v>
      </c>
      <c r="N467" s="8" t="str">
        <f t="shared" si="7"/>
        <v>Journal Of Community Psychology</v>
      </c>
      <c r="O467" s="8" t="str">
        <f>"00904392"</f>
        <v>00904392</v>
      </c>
      <c r="P467" s="8"/>
      <c r="Q467" s="8"/>
      <c r="R467" s="8" t="str">
        <f>"19780401"</f>
        <v>19780401</v>
      </c>
      <c r="S467" s="8">
        <v>6</v>
      </c>
      <c r="T467" s="8">
        <v>2</v>
      </c>
      <c r="U467" s="8">
        <v>112</v>
      </c>
      <c r="V467" s="8"/>
      <c r="W467" s="8">
        <v>11</v>
      </c>
      <c r="X467" s="8"/>
      <c r="Y467" s="8"/>
      <c r="Z467" s="8"/>
      <c r="AA467" s="8"/>
      <c r="AB467" s="8"/>
      <c r="AC467" s="8"/>
      <c r="AD467" s="8" t="s">
        <v>6103</v>
      </c>
      <c r="AE467" s="8" t="s">
        <v>6104</v>
      </c>
      <c r="AF467" s="8"/>
      <c r="AG467" s="8" t="s">
        <v>5638</v>
      </c>
      <c r="AH467" s="8"/>
      <c r="AI467" s="8"/>
      <c r="AJ467" s="8" t="s">
        <v>6105</v>
      </c>
      <c r="AK467" s="8"/>
      <c r="AL467" s="8" t="s">
        <v>6107</v>
      </c>
      <c r="AM467" s="8"/>
      <c r="AN467" s="8"/>
      <c r="AO467" s="8"/>
      <c r="AP467" s="8"/>
      <c r="AQ467" s="8"/>
      <c r="AR467" s="8"/>
      <c r="AS467" s="8"/>
      <c r="AT467" s="8"/>
      <c r="AU467" s="8"/>
      <c r="AV467" s="8"/>
      <c r="AW467" s="8"/>
      <c r="AX467" s="8"/>
      <c r="AY467" s="8"/>
      <c r="AZ467" s="8"/>
      <c r="BA467" s="8"/>
      <c r="BB467" s="8"/>
      <c r="BC467" s="8"/>
      <c r="BD467" s="8"/>
      <c r="BE467" s="8"/>
      <c r="BF467" s="8"/>
      <c r="BG467" s="8"/>
      <c r="BH467" s="8"/>
      <c r="BI467" s="8"/>
      <c r="BJ467" s="8"/>
      <c r="BK467" s="8"/>
      <c r="BL467" s="8"/>
      <c r="BM467" s="8"/>
      <c r="BN467" s="8"/>
      <c r="BO467" s="8"/>
      <c r="BP467" s="8"/>
      <c r="BQ467" s="8"/>
      <c r="BR467" s="8"/>
      <c r="BS467" s="8"/>
      <c r="BT467" s="8"/>
      <c r="BU467" s="8"/>
      <c r="BV467" s="8"/>
      <c r="BW467" s="8"/>
      <c r="BX467" s="8"/>
      <c r="BY467" s="8"/>
      <c r="BZ467" s="8"/>
    </row>
    <row r="468" spans="1:78" ht="13" customHeight="1" x14ac:dyDescent="0.15">
      <c r="A468" s="8" t="s">
        <v>6189</v>
      </c>
      <c r="B468" s="8" t="s">
        <v>4671</v>
      </c>
      <c r="C468" s="11">
        <v>2007</v>
      </c>
      <c r="D468" s="8" t="s">
        <v>6109</v>
      </c>
      <c r="E468" s="8"/>
      <c r="F468" s="8" t="s">
        <v>6108</v>
      </c>
      <c r="G468" s="8" t="str" cm="1">
        <f t="array" ref="G468">LOWER(CleanCode(F468))</f>
        <v>theoryofmindabilityinthepreadolescentlanguagebrokerconnectionsbetweenlanguagebrokeringsocialcognitionandacademicachievement</v>
      </c>
      <c r="H468" s="8"/>
      <c r="I468" s="8"/>
      <c r="J468" s="8" t="s">
        <v>6113</v>
      </c>
      <c r="K468" s="8"/>
      <c r="L468" s="8"/>
      <c r="M468" s="8" t="s">
        <v>4667</v>
      </c>
      <c r="N468" s="8" t="str">
        <f t="shared" si="7"/>
        <v>Dissertation Abstracts International: Section B: The Sciences And Engineering</v>
      </c>
      <c r="O468" s="8" t="str">
        <f>"04194217"</f>
        <v>04194217</v>
      </c>
      <c r="P468" s="8"/>
      <c r="Q468" s="8"/>
      <c r="R468" s="8" t="str">
        <f>"20070101"</f>
        <v>20070101</v>
      </c>
      <c r="S468" s="8">
        <v>68</v>
      </c>
      <c r="T468" s="8" t="s">
        <v>6110</v>
      </c>
      <c r="U468" s="8">
        <v>651</v>
      </c>
      <c r="V468" s="8"/>
      <c r="W468" s="8">
        <v>1</v>
      </c>
      <c r="X468" s="8"/>
      <c r="Y468" s="8"/>
      <c r="Z468" s="8"/>
      <c r="AA468" s="8"/>
      <c r="AB468" s="8"/>
      <c r="AC468" s="8"/>
      <c r="AD468" s="8" t="s">
        <v>6111</v>
      </c>
      <c r="AE468" s="8"/>
      <c r="AF468" s="8"/>
      <c r="AG468" s="8" t="s">
        <v>4670</v>
      </c>
      <c r="AH468" s="8"/>
      <c r="AI468" s="8"/>
      <c r="AJ468" s="8" t="s">
        <v>6112</v>
      </c>
      <c r="AK468" s="8"/>
      <c r="AL468" s="8" t="s">
        <v>6114</v>
      </c>
      <c r="AM468" s="8"/>
      <c r="AN468" s="8"/>
      <c r="AO468" s="8"/>
      <c r="AP468" s="8"/>
      <c r="AQ468" s="8"/>
      <c r="AR468" s="8"/>
      <c r="AS468" s="8"/>
      <c r="AT468" s="8"/>
      <c r="AU468" s="8"/>
      <c r="AV468" s="8"/>
      <c r="AW468" s="8"/>
      <c r="AX468" s="8"/>
      <c r="AY468" s="8"/>
      <c r="AZ468" s="8"/>
      <c r="BA468" s="8"/>
      <c r="BB468" s="8"/>
      <c r="BC468" s="8"/>
      <c r="BD468" s="8"/>
      <c r="BE468" s="8"/>
      <c r="BF468" s="8"/>
      <c r="BG468" s="8"/>
      <c r="BH468" s="8"/>
      <c r="BI468" s="8"/>
      <c r="BJ468" s="8"/>
      <c r="BK468" s="8"/>
      <c r="BL468" s="8"/>
      <c r="BM468" s="8"/>
      <c r="BN468" s="8"/>
      <c r="BO468" s="8"/>
      <c r="BP468" s="8"/>
      <c r="BQ468" s="8"/>
      <c r="BR468" s="8"/>
      <c r="BS468" s="8"/>
      <c r="BT468" s="8"/>
      <c r="BU468" s="8"/>
      <c r="BV468" s="8"/>
      <c r="BW468" s="8"/>
      <c r="BX468" s="8"/>
      <c r="BY468" s="8"/>
      <c r="BZ468" s="8"/>
    </row>
    <row r="469" spans="1:78" ht="13" customHeight="1" x14ac:dyDescent="0.15">
      <c r="A469" s="8" t="s">
        <v>6189</v>
      </c>
      <c r="B469" s="8" t="s">
        <v>4679</v>
      </c>
      <c r="C469" s="11">
        <v>2001</v>
      </c>
      <c r="D469" s="8" t="s">
        <v>6116</v>
      </c>
      <c r="E469" s="8"/>
      <c r="F469" s="8" t="s">
        <v>6115</v>
      </c>
      <c r="G469" s="8" t="str" cm="1">
        <f t="array" ref="G469">LOWER(CleanCode(F469))</f>
        <v>theoryofsegmentedassimilationandtheadoptionofmarijuanauseanddelinquentbehaviorbyasianpacificyouth</v>
      </c>
      <c r="H469" s="8"/>
      <c r="I469" s="8"/>
      <c r="J469" s="8" t="s">
        <v>6120</v>
      </c>
      <c r="K469" s="8"/>
      <c r="L469" s="8"/>
      <c r="M469" s="8" t="s">
        <v>6117</v>
      </c>
      <c r="N469" s="8" t="str">
        <f t="shared" si="7"/>
        <v>The Sociological Quarterly</v>
      </c>
      <c r="O469" s="8" t="str">
        <f>"00380253"</f>
        <v>00380253</v>
      </c>
      <c r="P469" s="8"/>
      <c r="Q469" s="8"/>
      <c r="R469" s="8" t="str">
        <f>"20010601"</f>
        <v>20010601</v>
      </c>
      <c r="S469" s="8">
        <v>42</v>
      </c>
      <c r="T469" s="8">
        <v>3</v>
      </c>
      <c r="U469" s="8">
        <v>351</v>
      </c>
      <c r="V469" s="8"/>
      <c r="W469" s="8">
        <v>22</v>
      </c>
      <c r="X469" s="8"/>
      <c r="Y469" s="8"/>
      <c r="Z469" s="8"/>
      <c r="AA469" s="8"/>
      <c r="AB469" s="8"/>
      <c r="AC469" s="8"/>
      <c r="AD469" s="8" t="s">
        <v>6118</v>
      </c>
      <c r="AE469" s="8" t="s">
        <v>4397</v>
      </c>
      <c r="AF469" s="8"/>
      <c r="AG469" s="8" t="s">
        <v>5186</v>
      </c>
      <c r="AH469" s="8"/>
      <c r="AI469" s="8"/>
      <c r="AJ469" s="8" t="s">
        <v>6119</v>
      </c>
      <c r="AK469" s="8"/>
      <c r="AL469" s="8" t="s">
        <v>6121</v>
      </c>
      <c r="AM469" s="8"/>
      <c r="AN469" s="8"/>
      <c r="AO469" s="8"/>
      <c r="AP469" s="8"/>
      <c r="AQ469" s="8"/>
      <c r="AR469" s="8"/>
      <c r="AS469" s="8"/>
      <c r="AT469" s="8"/>
      <c r="AU469" s="8"/>
      <c r="AV469" s="8"/>
      <c r="AW469" s="8"/>
      <c r="AX469" s="8"/>
      <c r="AY469" s="8"/>
      <c r="AZ469" s="8"/>
      <c r="BA469" s="8"/>
      <c r="BB469" s="8"/>
      <c r="BC469" s="8"/>
      <c r="BD469" s="8"/>
      <c r="BE469" s="8"/>
      <c r="BF469" s="8"/>
      <c r="BG469" s="8"/>
      <c r="BH469" s="8"/>
      <c r="BI469" s="8"/>
      <c r="BJ469" s="8"/>
      <c r="BK469" s="8"/>
      <c r="BL469" s="8"/>
      <c r="BM469" s="8"/>
      <c r="BN469" s="8"/>
      <c r="BO469" s="8"/>
      <c r="BP469" s="8"/>
      <c r="BQ469" s="8"/>
      <c r="BR469" s="8"/>
      <c r="BS469" s="8"/>
      <c r="BT469" s="8"/>
      <c r="BU469" s="8"/>
      <c r="BV469" s="8"/>
      <c r="BW469" s="8"/>
      <c r="BX469" s="8"/>
      <c r="BY469" s="8"/>
      <c r="BZ469" s="8"/>
    </row>
    <row r="470" spans="1:78" ht="13" customHeight="1" x14ac:dyDescent="0.15">
      <c r="A470" s="8" t="s">
        <v>6189</v>
      </c>
      <c r="B470" s="8" t="s">
        <v>4679</v>
      </c>
      <c r="C470" s="11">
        <v>2006</v>
      </c>
      <c r="D470" s="8" t="s">
        <v>6123</v>
      </c>
      <c r="E470" s="8"/>
      <c r="F470" s="8" t="s">
        <v>6122</v>
      </c>
      <c r="G470" s="8" t="str" cm="1">
        <f t="array" ref="G470">LOWER(CleanCode(F470))</f>
        <v>towardatheorydrivenmodelofacculturationinpublichealthresearch</v>
      </c>
      <c r="H470" s="8"/>
      <c r="I470" s="8"/>
      <c r="J470" s="8" t="s">
        <v>6129</v>
      </c>
      <c r="K470" s="8"/>
      <c r="L470" s="8"/>
      <c r="M470" s="8" t="s">
        <v>6124</v>
      </c>
      <c r="N470" s="8" t="str">
        <f t="shared" si="7"/>
        <v>American Journal Of Public Health</v>
      </c>
      <c r="O470" s="8" t="str">
        <f>"00900036"</f>
        <v>00900036</v>
      </c>
      <c r="P470" s="8"/>
      <c r="Q470" s="8"/>
      <c r="R470" s="8" t="str">
        <f>"20060801"</f>
        <v>20060801</v>
      </c>
      <c r="S470" s="8">
        <v>96</v>
      </c>
      <c r="T470" s="8">
        <v>8</v>
      </c>
      <c r="U470" s="8">
        <v>1342</v>
      </c>
      <c r="V470" s="8"/>
      <c r="W470" s="8">
        <v>5</v>
      </c>
      <c r="X470" s="8"/>
      <c r="Y470" s="8"/>
      <c r="Z470" s="8"/>
      <c r="AA470" s="8"/>
      <c r="AB470" s="8"/>
      <c r="AC470" s="8"/>
      <c r="AD470" s="8" t="s">
        <v>6125</v>
      </c>
      <c r="AE470" s="8" t="s">
        <v>6126</v>
      </c>
      <c r="AF470" s="8"/>
      <c r="AG470" s="8" t="s">
        <v>6127</v>
      </c>
      <c r="AH470" s="8"/>
      <c r="AI470" s="8"/>
      <c r="AJ470" s="8" t="s">
        <v>6128</v>
      </c>
      <c r="AK470" s="8"/>
      <c r="AL470" s="8" t="s">
        <v>6130</v>
      </c>
      <c r="AM470" s="8"/>
      <c r="AN470" s="8"/>
      <c r="AO470" s="8"/>
      <c r="AP470" s="8"/>
      <c r="AQ470" s="8"/>
      <c r="AR470" s="8"/>
      <c r="AS470" s="8"/>
      <c r="AT470" s="8"/>
      <c r="AU470" s="8"/>
      <c r="AV470" s="8"/>
      <c r="AW470" s="8"/>
      <c r="AX470" s="8"/>
      <c r="AY470" s="8"/>
      <c r="AZ470" s="8"/>
      <c r="BA470" s="8"/>
      <c r="BB470" s="8"/>
      <c r="BC470" s="8"/>
      <c r="BD470" s="8"/>
      <c r="BE470" s="8"/>
      <c r="BF470" s="8"/>
      <c r="BG470" s="8"/>
      <c r="BH470" s="8"/>
      <c r="BI470" s="8"/>
      <c r="BJ470" s="8"/>
      <c r="BK470" s="8"/>
      <c r="BL470" s="8"/>
      <c r="BM470" s="8"/>
      <c r="BN470" s="8"/>
      <c r="BO470" s="8"/>
      <c r="BP470" s="8"/>
      <c r="BQ470" s="8"/>
      <c r="BR470" s="8"/>
      <c r="BS470" s="8"/>
      <c r="BT470" s="8"/>
      <c r="BU470" s="8"/>
      <c r="BV470" s="8"/>
      <c r="BW470" s="8"/>
      <c r="BX470" s="8"/>
      <c r="BY470" s="8"/>
      <c r="BZ470" s="8"/>
    </row>
    <row r="471" spans="1:78" ht="13" customHeight="1" x14ac:dyDescent="0.15">
      <c r="A471" s="8" t="s">
        <v>6189</v>
      </c>
      <c r="B471" s="8" t="s">
        <v>4679</v>
      </c>
      <c r="C471" s="11">
        <v>1995</v>
      </c>
      <c r="D471" s="8" t="s">
        <v>5471</v>
      </c>
      <c r="E471" s="8"/>
      <c r="F471" s="8" t="s">
        <v>6131</v>
      </c>
      <c r="G471" s="8" t="str" cm="1">
        <f t="array" ref="G471">LOWER(CleanCode(F471))</f>
        <v>trainingtothinkculturallyamultidimensionalcomparativeframework</v>
      </c>
      <c r="H471" s="8"/>
      <c r="I471" s="8"/>
      <c r="J471" s="8" t="s">
        <v>6135</v>
      </c>
      <c r="K471" s="8"/>
      <c r="L471" s="8"/>
      <c r="M471" s="8" t="s">
        <v>6132</v>
      </c>
      <c r="N471" s="8" t="str">
        <f t="shared" si="7"/>
        <v>Family Process</v>
      </c>
      <c r="O471" s="8" t="str">
        <f>"00147370"</f>
        <v>00147370</v>
      </c>
      <c r="P471" s="8"/>
      <c r="Q471" s="8"/>
      <c r="R471" s="8" t="str">
        <f>"19951201"</f>
        <v>19951201</v>
      </c>
      <c r="S471" s="8">
        <v>34</v>
      </c>
      <c r="T471" s="8">
        <v>4</v>
      </c>
      <c r="U471" s="8">
        <v>373</v>
      </c>
      <c r="V471" s="8"/>
      <c r="W471" s="8">
        <v>16</v>
      </c>
      <c r="X471" s="8"/>
      <c r="Y471" s="8"/>
      <c r="Z471" s="8"/>
      <c r="AA471" s="8"/>
      <c r="AB471" s="8"/>
      <c r="AC471" s="8"/>
      <c r="AD471" s="8" t="s">
        <v>6133</v>
      </c>
      <c r="AE471" s="8" t="s">
        <v>4619</v>
      </c>
      <c r="AF471" s="8"/>
      <c r="AG471" s="8" t="s">
        <v>5186</v>
      </c>
      <c r="AH471" s="8"/>
      <c r="AI471" s="8"/>
      <c r="AJ471" s="8" t="s">
        <v>6134</v>
      </c>
      <c r="AK471" s="8"/>
      <c r="AL471" s="8" t="s">
        <v>6136</v>
      </c>
      <c r="AM471" s="8"/>
      <c r="AN471" s="8"/>
      <c r="AO471" s="8"/>
      <c r="AP471" s="8"/>
      <c r="AQ471" s="8"/>
      <c r="AR471" s="8"/>
      <c r="AS471" s="8"/>
      <c r="AT471" s="8"/>
      <c r="AU471" s="8"/>
      <c r="AV471" s="8"/>
      <c r="AW471" s="8"/>
      <c r="AX471" s="8"/>
      <c r="AY471" s="8"/>
      <c r="AZ471" s="8"/>
      <c r="BA471" s="8"/>
      <c r="BB471" s="8"/>
      <c r="BC471" s="8"/>
      <c r="BD471" s="8"/>
      <c r="BE471" s="8"/>
      <c r="BF471" s="8"/>
      <c r="BG471" s="8"/>
      <c r="BH471" s="8"/>
      <c r="BI471" s="8"/>
      <c r="BJ471" s="8"/>
      <c r="BK471" s="8"/>
      <c r="BL471" s="8"/>
      <c r="BM471" s="8"/>
      <c r="BN471" s="8"/>
      <c r="BO471" s="8"/>
      <c r="BP471" s="8"/>
      <c r="BQ471" s="8"/>
      <c r="BR471" s="8"/>
      <c r="BS471" s="8"/>
      <c r="BT471" s="8"/>
      <c r="BU471" s="8"/>
      <c r="BV471" s="8"/>
      <c r="BW471" s="8"/>
      <c r="BX471" s="8"/>
      <c r="BY471" s="8"/>
      <c r="BZ471" s="8"/>
    </row>
    <row r="472" spans="1:78" ht="13" customHeight="1" x14ac:dyDescent="0.15">
      <c r="A472" s="8" t="s">
        <v>6189</v>
      </c>
      <c r="B472" s="8" t="s">
        <v>4773</v>
      </c>
      <c r="C472" s="11">
        <v>2003</v>
      </c>
      <c r="D472" s="8" t="s">
        <v>6138</v>
      </c>
      <c r="E472" s="8"/>
      <c r="F472" s="8" t="s">
        <v>6137</v>
      </c>
      <c r="G472" s="8" t="str" cm="1">
        <f t="array" ref="G472">LOWER(CleanCode(F472))</f>
        <v>understandingimmigrantsacculturationtheoryandresearch</v>
      </c>
      <c r="H472" s="8"/>
      <c r="I472" s="8"/>
      <c r="J472" s="8" t="s">
        <v>6143</v>
      </c>
      <c r="K472" s="8"/>
      <c r="L472" s="8"/>
      <c r="M472" s="8" t="s">
        <v>6139</v>
      </c>
      <c r="N472" s="8" t="str">
        <f t="shared" si="7"/>
        <v>Culture And Counseling: New Approaches.</v>
      </c>
      <c r="O472" s="8"/>
      <c r="P472" s="8"/>
      <c r="Q472" s="8" t="str">
        <f>"0205359019"</f>
        <v>0205359019</v>
      </c>
      <c r="R472" s="8" t="str">
        <f>"20030101"</f>
        <v>20030101</v>
      </c>
      <c r="S472" s="8"/>
      <c r="T472" s="8"/>
      <c r="U472" s="8">
        <v>164</v>
      </c>
      <c r="V472" s="8"/>
      <c r="W472" s="8">
        <v>22</v>
      </c>
      <c r="X472" s="8"/>
      <c r="Y472" s="8"/>
      <c r="Z472" s="8"/>
      <c r="AA472" s="8"/>
      <c r="AB472" s="8"/>
      <c r="AC472" s="8"/>
      <c r="AD472" s="8" t="s">
        <v>6140</v>
      </c>
      <c r="AE472" s="8"/>
      <c r="AF472" s="8"/>
      <c r="AG472" s="8" t="s">
        <v>6141</v>
      </c>
      <c r="AH472" s="8"/>
      <c r="AI472" s="8"/>
      <c r="AJ472" s="8" t="s">
        <v>6142</v>
      </c>
      <c r="AK472" s="8"/>
      <c r="AL472" s="8" t="s">
        <v>6144</v>
      </c>
      <c r="AM472" s="8"/>
      <c r="AN472" s="8"/>
      <c r="AO472" s="8"/>
      <c r="AP472" s="8"/>
      <c r="AQ472" s="8"/>
      <c r="AR472" s="8"/>
      <c r="AS472" s="8"/>
      <c r="AT472" s="8"/>
      <c r="AU472" s="8"/>
      <c r="AV472" s="8"/>
      <c r="AW472" s="8"/>
      <c r="AX472" s="8"/>
      <c r="AY472" s="8"/>
      <c r="AZ472" s="8"/>
      <c r="BA472" s="8"/>
      <c r="BB472" s="8"/>
      <c r="BC472" s="8"/>
      <c r="BD472" s="8"/>
      <c r="BE472" s="8"/>
      <c r="BF472" s="8"/>
      <c r="BG472" s="8"/>
      <c r="BH472" s="8"/>
      <c r="BI472" s="8"/>
      <c r="BJ472" s="8"/>
      <c r="BK472" s="8"/>
      <c r="BL472" s="8"/>
      <c r="BM472" s="8"/>
      <c r="BN472" s="8"/>
      <c r="BO472" s="8"/>
      <c r="BP472" s="8"/>
      <c r="BQ472" s="8"/>
      <c r="BR472" s="8"/>
      <c r="BS472" s="8"/>
      <c r="BT472" s="8"/>
      <c r="BU472" s="8"/>
      <c r="BV472" s="8"/>
      <c r="BW472" s="8"/>
      <c r="BX472" s="8"/>
      <c r="BY472" s="8"/>
      <c r="BZ472" s="8"/>
    </row>
    <row r="473" spans="1:78" ht="13" customHeight="1" x14ac:dyDescent="0.15">
      <c r="A473" s="8" t="s">
        <v>6189</v>
      </c>
      <c r="B473" s="8"/>
      <c r="C473" s="11">
        <v>2020</v>
      </c>
      <c r="D473" s="8" t="s">
        <v>292</v>
      </c>
      <c r="E473" s="8"/>
      <c r="F473" s="8" t="s">
        <v>6145</v>
      </c>
      <c r="G473" s="8" t="str" cm="1">
        <f t="array" ref="G473">LOWER(CleanCode(F473))</f>
        <v>understandingintimatepartnerviolenceamongimmigrantandrefugeewomenagroundedtheoryanalysis</v>
      </c>
      <c r="H473" s="8"/>
      <c r="I473" s="8"/>
      <c r="J473" s="8" t="s">
        <v>6148</v>
      </c>
      <c r="K473" s="8"/>
      <c r="L473" s="8"/>
      <c r="M473" s="8" t="s">
        <v>6146</v>
      </c>
      <c r="N473" s="8" t="str">
        <f t="shared" si="7"/>
        <v>Journal Of Aggression, Maltreatment &amp; Trauma</v>
      </c>
      <c r="O473" s="8" t="str">
        <f>"10926771"</f>
        <v>10926771</v>
      </c>
      <c r="P473" s="8"/>
      <c r="Q473" s="8"/>
      <c r="R473" s="8" t="str">
        <f>"20200923"</f>
        <v>20200923</v>
      </c>
      <c r="S473" s="8"/>
      <c r="T473" s="8"/>
      <c r="U473" s="8"/>
      <c r="V473" s="8"/>
      <c r="W473" s="8"/>
      <c r="X473" s="8"/>
      <c r="Y473" s="8"/>
      <c r="Z473" s="8"/>
      <c r="AA473" s="8"/>
      <c r="AB473" s="8"/>
      <c r="AC473" s="8"/>
      <c r="AD473" s="8" t="s">
        <v>6147</v>
      </c>
      <c r="AE473" s="8" t="s">
        <v>308</v>
      </c>
      <c r="AF473" s="8"/>
      <c r="AG473" s="8" t="s">
        <v>4728</v>
      </c>
      <c r="AH473" s="8"/>
      <c r="AI473" s="8"/>
      <c r="AJ473" s="8" t="s">
        <v>5171</v>
      </c>
      <c r="AK473" s="8"/>
      <c r="AL473" s="8" t="s">
        <v>6149</v>
      </c>
      <c r="AM473" s="8"/>
      <c r="AN473" s="8"/>
      <c r="AO473" s="8"/>
      <c r="AP473" s="8"/>
      <c r="AQ473" s="8"/>
      <c r="AR473" s="8"/>
      <c r="AS473" s="8"/>
      <c r="AT473" s="8"/>
      <c r="AU473" s="8"/>
      <c r="AV473" s="8"/>
      <c r="AW473" s="8"/>
      <c r="AX473" s="8"/>
      <c r="AY473" s="8"/>
      <c r="AZ473" s="8"/>
      <c r="BA473" s="8"/>
      <c r="BB473" s="8"/>
      <c r="BC473" s="8"/>
      <c r="BD473" s="8"/>
      <c r="BE473" s="8"/>
      <c r="BF473" s="8"/>
      <c r="BG473" s="8"/>
      <c r="BH473" s="8"/>
      <c r="BI473" s="8"/>
      <c r="BJ473" s="8"/>
      <c r="BK473" s="8"/>
      <c r="BL473" s="8"/>
      <c r="BM473" s="8"/>
      <c r="BN473" s="8"/>
      <c r="BO473" s="8"/>
      <c r="BP473" s="8"/>
      <c r="BQ473" s="8"/>
      <c r="BR473" s="8"/>
      <c r="BS473" s="8"/>
      <c r="BT473" s="8"/>
      <c r="BU473" s="8"/>
      <c r="BV473" s="8"/>
      <c r="BW473" s="8"/>
      <c r="BX473" s="8"/>
      <c r="BY473" s="8"/>
      <c r="BZ473" s="8"/>
    </row>
    <row r="474" spans="1:78" ht="13" customHeight="1" x14ac:dyDescent="0.15">
      <c r="A474" s="8" t="s">
        <v>6189</v>
      </c>
      <c r="B474" s="8" t="s">
        <v>4679</v>
      </c>
      <c r="C474" s="11">
        <v>2018</v>
      </c>
      <c r="D474" s="8" t="s">
        <v>1341</v>
      </c>
      <c r="E474" s="8"/>
      <c r="F474" s="8" t="s">
        <v>6150</v>
      </c>
      <c r="G474" s="8" t="str" cm="1">
        <f t="array" ref="G474">LOWER(CleanCode(F474))</f>
        <v>understandingthedynamicsamongacculturativestresscopingandgrowthagroundedtheoryofthekoreanimmigrantadolescentexperience</v>
      </c>
      <c r="H474" s="8"/>
      <c r="I474" s="8"/>
      <c r="J474" s="8" t="s">
        <v>6154</v>
      </c>
      <c r="K474" s="8"/>
      <c r="L474" s="8"/>
      <c r="M474" s="8" t="s">
        <v>6151</v>
      </c>
      <c r="N474" s="8" t="str">
        <f t="shared" si="7"/>
        <v>Children And Youth Services Review</v>
      </c>
      <c r="O474" s="8" t="str">
        <f>"01907409"</f>
        <v>01907409</v>
      </c>
      <c r="P474" s="8"/>
      <c r="Q474" s="8"/>
      <c r="R474" s="8" t="str">
        <f>"20181101"</f>
        <v>20181101</v>
      </c>
      <c r="S474" s="8">
        <v>94</v>
      </c>
      <c r="T474" s="8"/>
      <c r="U474" s="8">
        <v>105</v>
      </c>
      <c r="V474" s="8"/>
      <c r="W474" s="8">
        <v>10</v>
      </c>
      <c r="X474" s="8"/>
      <c r="Y474" s="8"/>
      <c r="Z474" s="8"/>
      <c r="AA474" s="8"/>
      <c r="AB474" s="8"/>
      <c r="AC474" s="8"/>
      <c r="AD474" s="8" t="s">
        <v>6152</v>
      </c>
      <c r="AE474" s="8" t="s">
        <v>1356</v>
      </c>
      <c r="AF474" s="8"/>
      <c r="AG474" s="8" t="s">
        <v>4735</v>
      </c>
      <c r="AH474" s="8"/>
      <c r="AI474" s="8"/>
      <c r="AJ474" s="8" t="s">
        <v>6153</v>
      </c>
      <c r="AK474" s="8"/>
      <c r="AL474" s="8" t="s">
        <v>6155</v>
      </c>
      <c r="AM474" s="8"/>
      <c r="AN474" s="8"/>
      <c r="AO474" s="8"/>
      <c r="AP474" s="8"/>
      <c r="AQ474" s="8"/>
      <c r="AR474" s="8"/>
      <c r="AS474" s="8"/>
      <c r="AT474" s="8"/>
      <c r="AU474" s="8"/>
      <c r="AV474" s="8"/>
      <c r="AW474" s="8"/>
      <c r="AX474" s="8"/>
      <c r="AY474" s="8"/>
      <c r="AZ474" s="8"/>
      <c r="BA474" s="8"/>
      <c r="BB474" s="8"/>
      <c r="BC474" s="8"/>
      <c r="BD474" s="8"/>
      <c r="BE474" s="8"/>
      <c r="BF474" s="8"/>
      <c r="BG474" s="8"/>
      <c r="BH474" s="8"/>
      <c r="BI474" s="8"/>
      <c r="BJ474" s="8"/>
      <c r="BK474" s="8"/>
      <c r="BL474" s="8"/>
      <c r="BM474" s="8"/>
      <c r="BN474" s="8"/>
      <c r="BO474" s="8"/>
      <c r="BP474" s="8"/>
      <c r="BQ474" s="8"/>
      <c r="BR474" s="8"/>
      <c r="BS474" s="8"/>
      <c r="BT474" s="8"/>
      <c r="BU474" s="8"/>
      <c r="BV474" s="8"/>
      <c r="BW474" s="8"/>
      <c r="BX474" s="8"/>
      <c r="BY474" s="8"/>
      <c r="BZ474" s="8"/>
    </row>
    <row r="475" spans="1:78" ht="13" customHeight="1" x14ac:dyDescent="0.15">
      <c r="A475" s="8" t="s">
        <v>6189</v>
      </c>
      <c r="B475" s="8" t="s">
        <v>4679</v>
      </c>
      <c r="C475" s="11">
        <v>2001</v>
      </c>
      <c r="D475" s="8" t="s">
        <v>6157</v>
      </c>
      <c r="E475" s="8"/>
      <c r="F475" s="8" t="s">
        <v>6156</v>
      </c>
      <c r="G475" s="8" t="str" cm="1">
        <f t="array" ref="G475">LOWER(CleanCode(F475))</f>
        <v>usefulnessofpsychosocialtheoryvariablesinexplainingfatrelateddietarybehaviorinchineseamericansassociationwithdegreeofacculturation</v>
      </c>
      <c r="H475" s="8"/>
      <c r="I475" s="8"/>
      <c r="J475" s="8" t="s">
        <v>6162</v>
      </c>
      <c r="K475" s="8"/>
      <c r="L475" s="8"/>
      <c r="M475" s="8" t="s">
        <v>6158</v>
      </c>
      <c r="N475" s="8" t="str">
        <f t="shared" si="7"/>
        <v>Journal Of Nutrition Education</v>
      </c>
      <c r="O475" s="8" t="str">
        <f>"00223182"</f>
        <v>00223182</v>
      </c>
      <c r="P475" s="8"/>
      <c r="Q475" s="8"/>
      <c r="R475" s="8" t="str">
        <f>"20011101"</f>
        <v>20011101</v>
      </c>
      <c r="S475" s="8">
        <v>33</v>
      </c>
      <c r="T475" s="8">
        <v>6</v>
      </c>
      <c r="U475" s="8">
        <v>322</v>
      </c>
      <c r="V475" s="8"/>
      <c r="W475" s="8">
        <v>10</v>
      </c>
      <c r="X475" s="8"/>
      <c r="Y475" s="8"/>
      <c r="Z475" s="8"/>
      <c r="AA475" s="8"/>
      <c r="AB475" s="8"/>
      <c r="AC475" s="8"/>
      <c r="AD475" s="8" t="s">
        <v>6159</v>
      </c>
      <c r="AE475" s="8" t="s">
        <v>4312</v>
      </c>
      <c r="AF475" s="8"/>
      <c r="AG475" s="8" t="s">
        <v>6160</v>
      </c>
      <c r="AH475" s="8"/>
      <c r="AI475" s="8"/>
      <c r="AJ475" s="8" t="s">
        <v>6161</v>
      </c>
      <c r="AK475" s="8"/>
      <c r="AL475" s="8" t="s">
        <v>6163</v>
      </c>
      <c r="AM475" s="8"/>
      <c r="AN475" s="8"/>
      <c r="AO475" s="8"/>
      <c r="AP475" s="8"/>
      <c r="AQ475" s="8"/>
      <c r="AR475" s="8"/>
      <c r="AS475" s="8"/>
      <c r="AT475" s="8"/>
      <c r="AU475" s="8"/>
      <c r="AV475" s="8"/>
      <c r="AW475" s="8"/>
      <c r="AX475" s="8"/>
      <c r="AY475" s="8"/>
      <c r="AZ475" s="8"/>
      <c r="BA475" s="8"/>
      <c r="BB475" s="8"/>
      <c r="BC475" s="8"/>
      <c r="BD475" s="8"/>
      <c r="BE475" s="8"/>
      <c r="BF475" s="8"/>
      <c r="BG475" s="8"/>
      <c r="BH475" s="8"/>
      <c r="BI475" s="8"/>
      <c r="BJ475" s="8"/>
      <c r="BK475" s="8"/>
      <c r="BL475" s="8"/>
      <c r="BM475" s="8"/>
      <c r="BN475" s="8"/>
      <c r="BO475" s="8"/>
      <c r="BP475" s="8"/>
      <c r="BQ475" s="8"/>
      <c r="BR475" s="8"/>
      <c r="BS475" s="8"/>
      <c r="BT475" s="8"/>
      <c r="BU475" s="8"/>
      <c r="BV475" s="8"/>
      <c r="BW475" s="8"/>
      <c r="BX475" s="8"/>
      <c r="BY475" s="8"/>
      <c r="BZ475" s="8"/>
    </row>
    <row r="476" spans="1:78" ht="13" customHeight="1" x14ac:dyDescent="0.15">
      <c r="A476" s="8" t="s">
        <v>6189</v>
      </c>
      <c r="B476" s="8" t="s">
        <v>4679</v>
      </c>
      <c r="C476" s="11">
        <v>2020</v>
      </c>
      <c r="D476" s="8" t="s">
        <v>6165</v>
      </c>
      <c r="E476" s="8"/>
      <c r="F476" s="8" t="s">
        <v>6164</v>
      </c>
      <c r="G476" s="8" t="str" cm="1">
        <f t="array" ref="G476">LOWER(CleanCode(F476))</f>
        <v>usingculturallyappropriatetraumainformedsupporttopromotebiculturalselfefficacyamongresettledrefugeesaconceptualmodel</v>
      </c>
      <c r="H476" s="8"/>
      <c r="I476" s="8"/>
      <c r="J476" s="8" t="s">
        <v>6170</v>
      </c>
      <c r="K476" s="8"/>
      <c r="L476" s="8"/>
      <c r="M476" s="8" t="s">
        <v>6166</v>
      </c>
      <c r="N476" s="8" t="str">
        <f t="shared" si="7"/>
        <v>Journal Of Ethnic &amp; Cultural Diversity In Social Work: Innovation In Theory, Research &amp; Practice</v>
      </c>
      <c r="O476" s="8" t="str">
        <f>"15313204"</f>
        <v>15313204</v>
      </c>
      <c r="P476" s="8"/>
      <c r="Q476" s="8"/>
      <c r="R476" s="8" t="str">
        <f>"20200101"</f>
        <v>20200101</v>
      </c>
      <c r="S476" s="8">
        <v>29</v>
      </c>
      <c r="T476" s="12">
        <v>44256</v>
      </c>
      <c r="U476" s="8">
        <v>23</v>
      </c>
      <c r="V476" s="8"/>
      <c r="W476" s="8">
        <v>20</v>
      </c>
      <c r="X476" s="8"/>
      <c r="Y476" s="8"/>
      <c r="Z476" s="8"/>
      <c r="AA476" s="8"/>
      <c r="AB476" s="8"/>
      <c r="AC476" s="8"/>
      <c r="AD476" s="8" t="s">
        <v>6167</v>
      </c>
      <c r="AE476" s="8" t="s">
        <v>6168</v>
      </c>
      <c r="AF476" s="8"/>
      <c r="AG476" s="8" t="s">
        <v>4728</v>
      </c>
      <c r="AH476" s="8"/>
      <c r="AI476" s="8"/>
      <c r="AJ476" s="8" t="s">
        <v>6169</v>
      </c>
      <c r="AK476" s="8"/>
      <c r="AL476" s="8" t="s">
        <v>6171</v>
      </c>
      <c r="AM476" s="8"/>
      <c r="AN476" s="8"/>
      <c r="AO476" s="8"/>
      <c r="AP476" s="8"/>
      <c r="AQ476" s="8"/>
      <c r="AR476" s="8"/>
      <c r="AS476" s="8"/>
      <c r="AT476" s="8"/>
      <c r="AU476" s="8"/>
      <c r="AV476" s="8"/>
      <c r="AW476" s="8"/>
      <c r="AX476" s="8"/>
      <c r="AY476" s="8"/>
      <c r="AZ476" s="8"/>
      <c r="BA476" s="8"/>
      <c r="BB476" s="8"/>
      <c r="BC476" s="8"/>
      <c r="BD476" s="8"/>
      <c r="BE476" s="8"/>
      <c r="BF476" s="8"/>
      <c r="BG476" s="8"/>
      <c r="BH476" s="8"/>
      <c r="BI476" s="8"/>
      <c r="BJ476" s="8"/>
      <c r="BK476" s="8"/>
      <c r="BL476" s="8"/>
      <c r="BM476" s="8"/>
      <c r="BN476" s="8"/>
      <c r="BO476" s="8"/>
      <c r="BP476" s="8"/>
      <c r="BQ476" s="8"/>
      <c r="BR476" s="8"/>
      <c r="BS476" s="8"/>
      <c r="BT476" s="8"/>
      <c r="BU476" s="8"/>
      <c r="BV476" s="8"/>
      <c r="BW476" s="8"/>
      <c r="BX476" s="8"/>
      <c r="BY476" s="8"/>
      <c r="BZ476" s="8"/>
    </row>
    <row r="477" spans="1:78" ht="13" customHeight="1" x14ac:dyDescent="0.15">
      <c r="A477" s="8" t="s">
        <v>6189</v>
      </c>
      <c r="B477" s="8" t="s">
        <v>4679</v>
      </c>
      <c r="C477" s="11">
        <v>1997</v>
      </c>
      <c r="D477" s="8" t="s">
        <v>6173</v>
      </c>
      <c r="E477" s="8"/>
      <c r="F477" s="8" t="s">
        <v>6172</v>
      </c>
      <c r="G477" s="8" t="str" cm="1">
        <f t="array" ref="G477">LOWER(CleanCode(F477))</f>
        <v>viewingalcoholandotherdrugusecrossculturallyaculturalframeworkforclinicalpractice</v>
      </c>
      <c r="H477" s="8"/>
      <c r="I477" s="8"/>
      <c r="J477" s="8" t="s">
        <v>6176</v>
      </c>
      <c r="K477" s="8"/>
      <c r="L477" s="8"/>
      <c r="M477" s="8" t="s">
        <v>4779</v>
      </c>
      <c r="N477" s="8" t="str">
        <f t="shared" si="7"/>
        <v>Families In Society</v>
      </c>
      <c r="O477" s="8" t="str">
        <f>"10443894"</f>
        <v>10443894</v>
      </c>
      <c r="P477" s="8"/>
      <c r="Q477" s="8"/>
      <c r="R477" s="8" t="str">
        <f>"19970501"</f>
        <v>19970501</v>
      </c>
      <c r="S477" s="8">
        <v>78</v>
      </c>
      <c r="T477" s="8">
        <v>3</v>
      </c>
      <c r="U477" s="8">
        <v>240</v>
      </c>
      <c r="V477" s="8"/>
      <c r="W477" s="8">
        <v>15</v>
      </c>
      <c r="X477" s="8"/>
      <c r="Y477" s="8"/>
      <c r="Z477" s="8"/>
      <c r="AA477" s="8"/>
      <c r="AB477" s="8"/>
      <c r="AC477" s="8"/>
      <c r="AD477" s="8" t="s">
        <v>6174</v>
      </c>
      <c r="AE477" s="8" t="s">
        <v>4513</v>
      </c>
      <c r="AF477" s="8"/>
      <c r="AG477" s="8" t="s">
        <v>4782</v>
      </c>
      <c r="AH477" s="8"/>
      <c r="AI477" s="8"/>
      <c r="AJ477" s="8" t="s">
        <v>6175</v>
      </c>
      <c r="AK477" s="8"/>
      <c r="AL477" s="8" t="s">
        <v>6177</v>
      </c>
      <c r="AM477" s="8"/>
      <c r="AN477" s="8"/>
      <c r="AO477" s="8"/>
      <c r="AP477" s="8"/>
      <c r="AQ477" s="8"/>
      <c r="AR477" s="8"/>
      <c r="AS477" s="8"/>
      <c r="AT477" s="8"/>
      <c r="AU477" s="8"/>
      <c r="AV477" s="8"/>
      <c r="AW477" s="8"/>
      <c r="AX477" s="8"/>
      <c r="AY477" s="8"/>
      <c r="AZ477" s="8"/>
      <c r="BA477" s="8"/>
      <c r="BB477" s="8"/>
      <c r="BC477" s="8"/>
      <c r="BD477" s="8"/>
      <c r="BE477" s="8"/>
      <c r="BF477" s="8"/>
      <c r="BG477" s="8"/>
      <c r="BH477" s="8"/>
      <c r="BI477" s="8"/>
      <c r="BJ477" s="8"/>
      <c r="BK477" s="8"/>
      <c r="BL477" s="8"/>
      <c r="BM477" s="8"/>
      <c r="BN477" s="8"/>
      <c r="BO477" s="8"/>
      <c r="BP477" s="8"/>
      <c r="BQ477" s="8"/>
      <c r="BR477" s="8"/>
      <c r="BS477" s="8"/>
      <c r="BT477" s="8"/>
      <c r="BU477" s="8"/>
      <c r="BV477" s="8"/>
      <c r="BW477" s="8"/>
      <c r="BX477" s="8"/>
      <c r="BY477" s="8"/>
      <c r="BZ477" s="8"/>
    </row>
    <row r="478" spans="1:78" ht="13" customHeight="1" x14ac:dyDescent="0.15">
      <c r="A478" s="8" t="s">
        <v>6189</v>
      </c>
      <c r="B478" s="8" t="s">
        <v>4679</v>
      </c>
      <c r="C478" s="11">
        <v>2003</v>
      </c>
      <c r="D478" s="8" t="s">
        <v>6179</v>
      </c>
      <c r="E478" s="8"/>
      <c r="F478" s="8" t="s">
        <v>6178</v>
      </c>
      <c r="G478" s="8" t="str" cm="1">
        <f t="array" ref="G478">LOWER(CleanCode(F478))</f>
        <v>votingrightsandnaturalizationforthekoreanresidentsinjapantheoreticalcategorizationandstructuralanalysis</v>
      </c>
      <c r="H478" s="8"/>
      <c r="I478" s="8"/>
      <c r="J478" s="8" t="s">
        <v>6184</v>
      </c>
      <c r="K478" s="8"/>
      <c r="L478" s="8"/>
      <c r="M478" s="8" t="s">
        <v>6180</v>
      </c>
      <c r="N478" s="8" t="str">
        <f t="shared" si="7"/>
        <v>The Japanese Journal Of Social Psychology</v>
      </c>
      <c r="O478" s="8" t="str">
        <f>"09161503"</f>
        <v>09161503</v>
      </c>
      <c r="P478" s="8"/>
      <c r="Q478" s="8"/>
      <c r="R478" s="8" t="str">
        <f>"20030101"</f>
        <v>20030101</v>
      </c>
      <c r="S478" s="8">
        <v>19</v>
      </c>
      <c r="T478" s="8">
        <v>2</v>
      </c>
      <c r="U478" s="8">
        <v>79</v>
      </c>
      <c r="V478" s="8"/>
      <c r="W478" s="8">
        <v>15</v>
      </c>
      <c r="X478" s="8"/>
      <c r="Y478" s="8"/>
      <c r="Z478" s="8"/>
      <c r="AA478" s="8"/>
      <c r="AB478" s="8"/>
      <c r="AC478" s="8"/>
      <c r="AD478" s="8" t="s">
        <v>6181</v>
      </c>
      <c r="AE478" s="8"/>
      <c r="AF478" s="8"/>
      <c r="AG478" s="8" t="s">
        <v>6182</v>
      </c>
      <c r="AH478" s="8"/>
      <c r="AI478" s="8"/>
      <c r="AJ478" s="8" t="s">
        <v>6183</v>
      </c>
      <c r="AK478" s="8"/>
      <c r="AL478" s="8" t="s">
        <v>6185</v>
      </c>
      <c r="AM478" s="8"/>
      <c r="AN478" s="8"/>
      <c r="AO478" s="8"/>
      <c r="AP478" s="8"/>
      <c r="AQ478" s="8"/>
      <c r="AR478" s="8"/>
      <c r="AS478" s="8"/>
      <c r="AT478" s="8"/>
      <c r="AU478" s="8"/>
      <c r="AV478" s="8"/>
      <c r="AW478" s="8"/>
      <c r="AX478" s="8"/>
      <c r="AY478" s="8"/>
      <c r="AZ478" s="8"/>
      <c r="BA478" s="8"/>
      <c r="BB478" s="8"/>
      <c r="BC478" s="8"/>
      <c r="BD478" s="8"/>
      <c r="BE478" s="8"/>
      <c r="BF478" s="8"/>
      <c r="BG478" s="8"/>
      <c r="BH478" s="8"/>
      <c r="BI478" s="8"/>
      <c r="BJ478" s="8"/>
      <c r="BK478" s="8"/>
      <c r="BL478" s="8"/>
      <c r="BM478" s="8"/>
      <c r="BN478" s="8"/>
      <c r="BO478" s="8"/>
      <c r="BP478" s="8"/>
      <c r="BQ478" s="8"/>
      <c r="BR478" s="8"/>
      <c r="BS478" s="8"/>
      <c r="BT478" s="8"/>
      <c r="BU478" s="8"/>
      <c r="BV478" s="8"/>
      <c r="BW478" s="8"/>
      <c r="BX478" s="8"/>
      <c r="BY478" s="8"/>
      <c r="BZ478" s="8"/>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2:C4"/>
  <sheetViews>
    <sheetView workbookViewId="0">
      <selection activeCell="G6" sqref="G6"/>
    </sheetView>
  </sheetViews>
  <sheetFormatPr baseColWidth="10" defaultRowHeight="13" x14ac:dyDescent="0.15"/>
  <cols>
    <col min="2" max="2" width="12.6640625" bestFit="1" customWidth="1"/>
    <col min="3" max="3" width="79.5" customWidth="1"/>
  </cols>
  <sheetData>
    <row r="2" spans="2:3" x14ac:dyDescent="0.15">
      <c r="B2" s="2" t="s">
        <v>6186</v>
      </c>
      <c r="C2" s="2" t="s">
        <v>6187</v>
      </c>
    </row>
    <row r="3" spans="2:3" ht="70" x14ac:dyDescent="0.15">
      <c r="B3" s="3" t="s">
        <v>6188</v>
      </c>
      <c r="C3" s="4" t="s">
        <v>6190</v>
      </c>
    </row>
    <row r="4" spans="2:3" ht="56" x14ac:dyDescent="0.15">
      <c r="B4" s="3" t="s">
        <v>6189</v>
      </c>
      <c r="C4" s="4" t="s">
        <v>6191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WebOfScience</vt:lpstr>
      <vt:lpstr>PsychInfo</vt:lpstr>
      <vt:lpstr>Combined</vt:lpstr>
      <vt:lpstr>SearchTerms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2021-05-01T12:33:56Z</dcterms:created>
  <dcterms:modified xsi:type="dcterms:W3CDTF">2021-05-01T14:53:11Z</dcterms:modified>
</cp:coreProperties>
</file>